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50" windowHeight="11950" tabRatio="500" activeTab="1"/>
  </bookViews>
  <sheets>
    <sheet name="KELAS 11" sheetId="1" r:id="rId1"/>
    <sheet name="KELAS 10" sheetId="2" r:id="rId2"/>
    <sheet name="XII IPS" sheetId="3" state="hidden" r:id="rId3"/>
  </sheets>
  <externalReferences>
    <externalReference r:id="rId4"/>
  </externalReferences>
  <definedNames>
    <definedName name="_xlnm._FilterDatabase" localSheetId="1" hidden="1">'KELAS 10'!$A$11:$L$129</definedName>
    <definedName name="_xlnm.Print_Titles" localSheetId="2">'XII IPS'!$1:$10</definedName>
    <definedName name="tgl_input">[1]input!$O$2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<sst xmlns="http://schemas.openxmlformats.org/spreadsheetml/2006/main" count="4190" uniqueCount="1698">
  <si>
    <t>PEMERINTAH DAERAH PROVINSI JAWA BARAT</t>
  </si>
  <si>
    <t>DINAS PENDIDIKAN</t>
  </si>
  <si>
    <t>CABANG DINAS PENDIDIKAN WILAYAH VII</t>
  </si>
  <si>
    <t>SMA NEGERI 6 CIMAHI</t>
  </si>
  <si>
    <t>Jalan Melong Raya Nomor 172 Cijerah – Cimahi Selatan Telepon 022 6010934
Website : https://sman6cmh.sch.id email : sman6cmh@gmail.com
Cimahi Selatan - Kota Cimahi 40534</t>
  </si>
  <si>
    <t>DAFTAR PESERTA DIDIK
TAHUN PELAJARAN 2025/2026</t>
  </si>
  <si>
    <t>Kelas : XI-1</t>
  </si>
  <si>
    <t>Wali Kelas : Razzib Zabbal Noor, S.kom</t>
  </si>
  <si>
    <t>Wali Kelas:</t>
  </si>
  <si>
    <t xml:space="preserve">NENGSIH, S.Pd. </t>
  </si>
  <si>
    <t>No</t>
  </si>
  <si>
    <t>No Urut ALL</t>
  </si>
  <si>
    <t>Nomor Pendaftaran</t>
  </si>
  <si>
    <t>NIS</t>
  </si>
  <si>
    <t>NISN</t>
  </si>
  <si>
    <t>NIK</t>
  </si>
  <si>
    <t>No. KK</t>
  </si>
  <si>
    <t>NAMA</t>
  </si>
  <si>
    <t>Asal Sekolah</t>
  </si>
  <si>
    <t>L/P</t>
  </si>
  <si>
    <t>Tempat Lahir</t>
  </si>
  <si>
    <t>Tanggal Lahir</t>
  </si>
  <si>
    <t>Jalur</t>
  </si>
  <si>
    <t>Kelas</t>
  </si>
  <si>
    <t>cek catatan ke -1</t>
  </si>
  <si>
    <t>Voice Note 1</t>
  </si>
  <si>
    <t>keaktifan +</t>
  </si>
  <si>
    <t>flowchart catatan</t>
  </si>
  <si>
    <t>Flowchart Canva Hitung luas bidang</t>
  </si>
  <si>
    <t>devide dan conquer</t>
  </si>
  <si>
    <t>aktif di kelas</t>
  </si>
  <si>
    <t>praktik python 1</t>
  </si>
  <si>
    <t>Aktif 14 agustus 2025</t>
  </si>
  <si>
    <t>Praktik 21</t>
  </si>
  <si>
    <t>Aktif 21 agustus</t>
  </si>
  <si>
    <t>Aktif 28 agsutus</t>
  </si>
  <si>
    <t>4 September</t>
  </si>
  <si>
    <t>UL 11-09</t>
  </si>
  <si>
    <t>Tugas 80%</t>
  </si>
  <si>
    <t>Aktif 20%</t>
  </si>
  <si>
    <t>Total Nilai</t>
  </si>
  <si>
    <t>Nilai Akhir 84 – 92</t>
  </si>
  <si>
    <t>CAT</t>
  </si>
  <si>
    <t>CC</t>
  </si>
  <si>
    <t>Aktif 13-11-25</t>
  </si>
  <si>
    <t>ASAS</t>
  </si>
  <si>
    <t>aktif latihan python</t>
  </si>
  <si>
    <t>latihan ulangan</t>
  </si>
  <si>
    <t>resume -+</t>
  </si>
  <si>
    <t>analisis -+</t>
  </si>
  <si>
    <t>jumlah tugas</t>
  </si>
  <si>
    <t>jumlah aktif</t>
  </si>
  <si>
    <t>Nilai</t>
  </si>
  <si>
    <t>Rapor</t>
  </si>
  <si>
    <t>fix value</t>
  </si>
  <si>
    <t>20224108-1-2-00001</t>
  </si>
  <si>
    <t>0099334640</t>
  </si>
  <si>
    <t>3277016307090003</t>
  </si>
  <si>
    <t>3277011805090345</t>
  </si>
  <si>
    <t>ALEA NUR BINTANG ANZARI</t>
  </si>
  <si>
    <t>SMP NEGERI 4 CIMAHI</t>
  </si>
  <si>
    <t>P</t>
  </si>
  <si>
    <t>PDBK</t>
  </si>
  <si>
    <t>X-1</t>
  </si>
  <si>
    <t>Alea Nur Bintang Anzari</t>
  </si>
  <si>
    <t>20219240-6-2-00556</t>
  </si>
  <si>
    <t>0095292831</t>
  </si>
  <si>
    <t>3277017006090003</t>
  </si>
  <si>
    <t>3277011311060067</t>
  </si>
  <si>
    <t>ALODIA FIDELA ATMAJAYA HARMONO</t>
  </si>
  <si>
    <t>Alodia Fidela Atmajaya Harmono</t>
  </si>
  <si>
    <t>20224108-2-1-00122</t>
  </si>
  <si>
    <t>0098240225</t>
  </si>
  <si>
    <t>3277011303090001</t>
  </si>
  <si>
    <t>3277012409090072</t>
  </si>
  <si>
    <t>ANDRE</t>
  </si>
  <si>
    <t>L</t>
  </si>
  <si>
    <t>KETM</t>
  </si>
  <si>
    <t>Andre</t>
  </si>
  <si>
    <t>20224108-6-2-02198</t>
  </si>
  <si>
    <t>0097255360</t>
  </si>
  <si>
    <t>3273155503090003</t>
  </si>
  <si>
    <t>3273151209103566</t>
  </si>
  <si>
    <t>ANNISA ILMAN HANIFA</t>
  </si>
  <si>
    <t xml:space="preserve">Annisa Ilman Hanifa </t>
  </si>
  <si>
    <t>20224108-9-1-00243</t>
  </si>
  <si>
    <t>0083742368</t>
  </si>
  <si>
    <t>3277010911080001</t>
  </si>
  <si>
    <t>3277011303070043</t>
  </si>
  <si>
    <t>BOBBY ADONOVAN</t>
  </si>
  <si>
    <t>Zonasi</t>
  </si>
  <si>
    <t>Bobby Adonovan</t>
  </si>
  <si>
    <t>20224108-9-1-00014</t>
  </si>
  <si>
    <t>0099534089</t>
  </si>
  <si>
    <t>3277014708090003</t>
  </si>
  <si>
    <t>3277011206070116</t>
  </si>
  <si>
    <t>CALLISTA AURYN ANNAURA</t>
  </si>
  <si>
    <t>Callista Auryn Annaura</t>
  </si>
  <si>
    <t>20219240-6-2-00618</t>
  </si>
  <si>
    <t>0094429770</t>
  </si>
  <si>
    <t>3273090605090001</t>
  </si>
  <si>
    <t>3277012607180011</t>
  </si>
  <si>
    <t>CHESTA MAHARDIKA</t>
  </si>
  <si>
    <t xml:space="preserve">Chesta Mahardika </t>
  </si>
  <si>
    <t>20224108-2-1-00012</t>
  </si>
  <si>
    <t>0085044133</t>
  </si>
  <si>
    <t>3217011711080006</t>
  </si>
  <si>
    <t>3277010502150041</t>
  </si>
  <si>
    <t>DANIAL MOCH MISBAH</t>
  </si>
  <si>
    <t>Danial Moch Misbah</t>
  </si>
  <si>
    <t>20224108-9-1-00016</t>
  </si>
  <si>
    <t>0091904278</t>
  </si>
  <si>
    <t>3273012407090002</t>
  </si>
  <si>
    <t>3273150208230007</t>
  </si>
  <si>
    <t>DAVID ADITAMA BACHRUN</t>
  </si>
  <si>
    <t>SMP NEGERI 12</t>
  </si>
  <si>
    <t>David Aditama Bachrun</t>
  </si>
  <si>
    <t>20224108-2-1-00121</t>
  </si>
  <si>
    <t>0098286456</t>
  </si>
  <si>
    <t>3203115403090003</t>
  </si>
  <si>
    <t>3277010107140022</t>
  </si>
  <si>
    <t>DEWI ANGGRAENI SINAGA</t>
  </si>
  <si>
    <t>SMP PELITA BANGSA</t>
  </si>
  <si>
    <t>Dewi Anggraeni Sinaga</t>
  </si>
  <si>
    <t>20224108-9-1-00072</t>
  </si>
  <si>
    <t>0094624518</t>
  </si>
  <si>
    <t>3273154110090002</t>
  </si>
  <si>
    <t>3273151209105379</t>
  </si>
  <si>
    <t>DWI AL FITRIYANI PUTRI KUSNADI</t>
  </si>
  <si>
    <t>SMP ANGKASA LANUD HUSEIN SASTRANEGARA</t>
  </si>
  <si>
    <t>Zonasi Irisan</t>
  </si>
  <si>
    <t xml:space="preserve">DWI AL FITRIYANI PUTRI KUSNADI </t>
  </si>
  <si>
    <t>20224108-9-1-00305</t>
  </si>
  <si>
    <t>0097184233</t>
  </si>
  <si>
    <t>3277010605090003</t>
  </si>
  <si>
    <t>3277010704210001</t>
  </si>
  <si>
    <t>FADHYL RIZQY PRATAMA</t>
  </si>
  <si>
    <t xml:space="preserve">Fadhyl Rizqy Pratama </t>
  </si>
  <si>
    <t>20224108-5-2-00008</t>
  </si>
  <si>
    <t>0092015852</t>
  </si>
  <si>
    <t>3277012602090007</t>
  </si>
  <si>
    <t>3277011010170011</t>
  </si>
  <si>
    <t>FAJRI HADIYAN ANGGARA</t>
  </si>
  <si>
    <t>MTsN 1 Kota Bandung</t>
  </si>
  <si>
    <t>Kejuaraan</t>
  </si>
  <si>
    <t xml:space="preserve">Fajri Hadiyan Anggara </t>
  </si>
  <si>
    <t>20224108-9-1-00246</t>
  </si>
  <si>
    <t>0098153655</t>
  </si>
  <si>
    <t>3277011706090003</t>
  </si>
  <si>
    <t>3277011702080026</t>
  </si>
  <si>
    <t>FERNANDY ARDIANA SYAHRAYAN</t>
  </si>
  <si>
    <t>SMP NEGERI 1</t>
  </si>
  <si>
    <t>Fernandy Ardiana Syahrayan</t>
  </si>
  <si>
    <t>20224108-9-1-00257</t>
  </si>
  <si>
    <t>0093070911</t>
  </si>
  <si>
    <t>3277011302090004</t>
  </si>
  <si>
    <t>3277010504070007</t>
  </si>
  <si>
    <t>GELLARDY RAVA GUSMINAR</t>
  </si>
  <si>
    <t>SMP NEGERI 7 CIMAHI</t>
  </si>
  <si>
    <t>Gellardy Rava Gusminar  94</t>
  </si>
  <si>
    <t>0092374420</t>
  </si>
  <si>
    <t>3277014305000021</t>
  </si>
  <si>
    <t>3277012810110019</t>
  </si>
  <si>
    <t>GHAITSA NAJWA KAMILA</t>
  </si>
  <si>
    <t>Ghaitsa Najwa Kamila 76</t>
  </si>
  <si>
    <t>20224108-4-2-00007</t>
  </si>
  <si>
    <t>0087870138</t>
  </si>
  <si>
    <t>3204106008080005</t>
  </si>
  <si>
    <t>3204100603120013</t>
  </si>
  <si>
    <t>INDRI GUSMIANA</t>
  </si>
  <si>
    <t>SMPN 1 MARGAASIH</t>
  </si>
  <si>
    <t>Perpindahan</t>
  </si>
  <si>
    <t xml:space="preserve">INDRI GUSMIANA </t>
  </si>
  <si>
    <t>20224108-5-2-00014</t>
  </si>
  <si>
    <t>0081228149</t>
  </si>
  <si>
    <t>3273154910080001</t>
  </si>
  <si>
    <t>3273150909103598</t>
  </si>
  <si>
    <t>KAISYA RAHMAH ANGGUN PRIBADI</t>
  </si>
  <si>
    <t>SMP NEGERI 41</t>
  </si>
  <si>
    <t>Kaisya Rahmah Anggun Pribadi</t>
  </si>
  <si>
    <t>20224108-2-1-00131</t>
  </si>
  <si>
    <t>0095598217</t>
  </si>
  <si>
    <t>3277016304090002</t>
  </si>
  <si>
    <t>3277011007170004</t>
  </si>
  <si>
    <t>KIRANA PUSPITA MAHARANI</t>
  </si>
  <si>
    <t>Kirana Puspita Maharani</t>
  </si>
  <si>
    <t>20224108-9-1-00450</t>
  </si>
  <si>
    <t>0096129871</t>
  </si>
  <si>
    <t>3277014503090002</t>
  </si>
  <si>
    <t>3277012803070075</t>
  </si>
  <si>
    <t>LAKEISHA AZIZAH</t>
  </si>
  <si>
    <t>Lakeisha Azizah</t>
  </si>
  <si>
    <t>20224108-9-1-00226</t>
  </si>
  <si>
    <t>0082810569</t>
  </si>
  <si>
    <t>3273154908080003</t>
  </si>
  <si>
    <t>3273151109107629</t>
  </si>
  <si>
    <t>MAESYA SABANI</t>
  </si>
  <si>
    <t>SMP PLUS SINDANG RESMI</t>
  </si>
  <si>
    <t>Maesya Sa'bani</t>
  </si>
  <si>
    <t>MAESYA SA'BANI</t>
  </si>
  <si>
    <t>20224139-4-2-00022</t>
  </si>
  <si>
    <t>0081144388</t>
  </si>
  <si>
    <t>3173086804080003</t>
  </si>
  <si>
    <t>3277012401140060</t>
  </si>
  <si>
    <t>NADHIIFAH KIRANA SUMANTRI</t>
  </si>
  <si>
    <t xml:space="preserve">NADHIIFAH KIRANA SUMANTRI </t>
  </si>
  <si>
    <t>20224108-9-1-00122</t>
  </si>
  <si>
    <t>0088497035</t>
  </si>
  <si>
    <t>3277026110080002</t>
  </si>
  <si>
    <t>3277021805090104</t>
  </si>
  <si>
    <t>NAURA SHAIRA OKTAVIANTI PRATAMI</t>
  </si>
  <si>
    <t>SMP NEGERI 9 CIMAHI</t>
  </si>
  <si>
    <t>Naura Shaira Oktavianti Pratami</t>
  </si>
  <si>
    <t>20224108-6-2-02159</t>
  </si>
  <si>
    <t>0082717931</t>
  </si>
  <si>
    <t>3273156610080001</t>
  </si>
  <si>
    <t>3273150909102751</t>
  </si>
  <si>
    <t>NAZMA RAISHA PUTRI</t>
  </si>
  <si>
    <t>SMP NEGERI 57</t>
  </si>
  <si>
    <t>Nazma raisha putri</t>
  </si>
  <si>
    <t>20224108-9-1-00376</t>
  </si>
  <si>
    <t>0088525509</t>
  </si>
  <si>
    <t>3217106812080004</t>
  </si>
  <si>
    <t>3217103010060040</t>
  </si>
  <si>
    <t>NAZWA DWI ANGGRAENI</t>
  </si>
  <si>
    <t>SMP PLUS YPP DARUSSURUR</t>
  </si>
  <si>
    <t>Nazwa Dwi Anggraeni</t>
  </si>
  <si>
    <t>20224108-2-1-00043</t>
  </si>
  <si>
    <t>0095731844</t>
  </si>
  <si>
    <t>3277016505090003</t>
  </si>
  <si>
    <t>3277012808080021</t>
  </si>
  <si>
    <t>NESYA HAURA TASMIRA</t>
  </si>
  <si>
    <t>SMP NEGERI 1 CIMAHI</t>
  </si>
  <si>
    <t>Nesya Haura Tasmira</t>
  </si>
  <si>
    <t>20224108-9-1-00061</t>
  </si>
  <si>
    <t>0093497754</t>
  </si>
  <si>
    <t>3204104505090009</t>
  </si>
  <si>
    <t>3204102505110152</t>
  </si>
  <si>
    <t>PUTRI KIRANI SALWIYAH KHALID</t>
  </si>
  <si>
    <t>Putri kirani salwiyah khalid</t>
  </si>
  <si>
    <t>20224108-6-2-02087</t>
  </si>
  <si>
    <t>0086545584</t>
  </si>
  <si>
    <t>3273156907080002</t>
  </si>
  <si>
    <t>3273150909103398</t>
  </si>
  <si>
    <t>RAISSA NAZDAH ABDIYANI</t>
  </si>
  <si>
    <t>SMP DARUL FALAH</t>
  </si>
  <si>
    <t xml:space="preserve">Raissa Nazdah Abdiyani </t>
  </si>
  <si>
    <t>20224108-9-1-00022</t>
  </si>
  <si>
    <t>0087399214</t>
  </si>
  <si>
    <t>3277014708080003</t>
  </si>
  <si>
    <t>3277010311061765</t>
  </si>
  <si>
    <t>RAISYA AMALIA</t>
  </si>
  <si>
    <t xml:space="preserve">Raisya Amalia </t>
  </si>
  <si>
    <t>20224108-9-1-00003</t>
  </si>
  <si>
    <t>0092841307</t>
  </si>
  <si>
    <t>REHAN HUSNI SALIM</t>
  </si>
  <si>
    <t>Rehan Husni Salim</t>
  </si>
  <si>
    <t>20224108-9-1-00220</t>
  </si>
  <si>
    <t>0085821008</t>
  </si>
  <si>
    <t>3273151512080001</t>
  </si>
  <si>
    <t>3273152001140009</t>
  </si>
  <si>
    <t>RENANDO BRAVOCIANO</t>
  </si>
  <si>
    <t>Renando Bravociano</t>
  </si>
  <si>
    <t>20219235-6-2-00865</t>
  </si>
  <si>
    <t>3080779226</t>
  </si>
  <si>
    <t>3273156605080002</t>
  </si>
  <si>
    <t>3273151109104981</t>
  </si>
  <si>
    <t>SIFA ANGGRAENI</t>
  </si>
  <si>
    <t>SMP PASUNDAN 2</t>
  </si>
  <si>
    <t xml:space="preserve">Sifa Anggraeni </t>
  </si>
  <si>
    <t>20224108-6-2-01978</t>
  </si>
  <si>
    <t>0095289888</t>
  </si>
  <si>
    <t>3277014201090004</t>
  </si>
  <si>
    <t>3277011704070029</t>
  </si>
  <si>
    <t>WINDY ALYA MUTIARA RAHMAH</t>
  </si>
  <si>
    <t xml:space="preserve">WINDY ALYA MUTIARA RAHMAH </t>
  </si>
  <si>
    <t>20224108-9-1-00096</t>
  </si>
  <si>
    <t>0097220505</t>
  </si>
  <si>
    <t>3277016806090006</t>
  </si>
  <si>
    <t>3277010509080030</t>
  </si>
  <si>
    <t>ZAHRA AULIA KIRANIA</t>
  </si>
  <si>
    <t>MTs DARUSSALAM</t>
  </si>
  <si>
    <t xml:space="preserve">Zahra Aulia Kirania </t>
  </si>
  <si>
    <t>Laki-Laki</t>
  </si>
  <si>
    <t>MAX</t>
  </si>
  <si>
    <t>Perempuan</t>
  </si>
  <si>
    <t>MIN</t>
  </si>
  <si>
    <t>`</t>
  </si>
  <si>
    <t>DAFTAR REKAP PEMBELAJARAN MURID
TAHUN PELAJARAN 2025/2026</t>
  </si>
  <si>
    <t>Kelas : XI-2</t>
  </si>
  <si>
    <t xml:space="preserve">Wali Kelas : </t>
  </si>
  <si>
    <t>DEWI ADHARINI, S.Si., M.Pd.</t>
  </si>
  <si>
    <t>aktif</t>
  </si>
  <si>
    <t>25 agustus</t>
  </si>
  <si>
    <t xml:space="preserve">1 September </t>
  </si>
  <si>
    <t>8 september</t>
  </si>
  <si>
    <t>akfitf</t>
  </si>
  <si>
    <t>20224139-6-2-02317</t>
  </si>
  <si>
    <t>0089561949</t>
  </si>
  <si>
    <t>3277014911080004</t>
  </si>
  <si>
    <t>3277012903070067</t>
  </si>
  <si>
    <t>ALFAIRA BERLIYANI</t>
  </si>
  <si>
    <t>X-2</t>
  </si>
  <si>
    <t>PJJ</t>
  </si>
  <si>
    <t xml:space="preserve">Alfaira Berliyani </t>
  </si>
  <si>
    <t>20219240-6-2-00563</t>
  </si>
  <si>
    <t>0094191941</t>
  </si>
  <si>
    <t>3277015803090002</t>
  </si>
  <si>
    <t>3277012406090004</t>
  </si>
  <si>
    <t>AMELIA RAHMA ARISTAWATI</t>
  </si>
  <si>
    <t>Amelia Rahma</t>
  </si>
  <si>
    <t>20224108-9-1-00351</t>
  </si>
  <si>
    <t>0083626044</t>
  </si>
  <si>
    <t>3273156507080004</t>
  </si>
  <si>
    <t>3273152506110008</t>
  </si>
  <si>
    <t>ANGGITA ASTYANI</t>
  </si>
  <si>
    <t>Anggita Astyani</t>
  </si>
  <si>
    <t>20224108-9-1-00231</t>
  </si>
  <si>
    <t>0076086800</t>
  </si>
  <si>
    <t>3277015312070007</t>
  </si>
  <si>
    <t>3277012709160045</t>
  </si>
  <si>
    <t>AULIA AZKA MUKAYYIS</t>
  </si>
  <si>
    <t>Aulia Azka Mukayyis</t>
  </si>
  <si>
    <t>20224108-9-1-00420</t>
  </si>
  <si>
    <t>0095913000</t>
  </si>
  <si>
    <t>3273156901090005</t>
  </si>
  <si>
    <t>3273151312110028</t>
  </si>
  <si>
    <t>AURA DWI ANZHANI</t>
  </si>
  <si>
    <t xml:space="preserve">Aura Dwi Anzhani </t>
  </si>
  <si>
    <t>20224108-4-2-00017</t>
  </si>
  <si>
    <t>0095646442</t>
  </si>
  <si>
    <t>3277012501090003</t>
  </si>
  <si>
    <t>3277010211061673</t>
  </si>
  <si>
    <t>AZKA BAHARRIZKI PUTRA HERMANTO</t>
  </si>
  <si>
    <t>SMP PLUS AL AQSHA</t>
  </si>
  <si>
    <t>Azka Baharrizki Putra Hermanto</t>
  </si>
  <si>
    <t>20224108-9-1-00249</t>
  </si>
  <si>
    <t>0088164501</t>
  </si>
  <si>
    <t>3277014404080006</t>
  </si>
  <si>
    <t>3277010602230004</t>
  </si>
  <si>
    <t>CINTA DWI APRILIANA</t>
  </si>
  <si>
    <t>Cinta Dwi Apriliana</t>
  </si>
  <si>
    <t>20224108-2-1-00030</t>
  </si>
  <si>
    <t>0094718442</t>
  </si>
  <si>
    <t>3277012502090007</t>
  </si>
  <si>
    <t>3277012301070038</t>
  </si>
  <si>
    <t>DERIEL RAFIQAYSA</t>
  </si>
  <si>
    <t xml:space="preserve">Deriel Rafiqaysa </t>
  </si>
  <si>
    <t>20224108-2-1-00103</t>
  </si>
  <si>
    <t>0098792210</t>
  </si>
  <si>
    <t>3277016301090004</t>
  </si>
  <si>
    <t>3277012310070002</t>
  </si>
  <si>
    <t>EFFLLY RACHMAWATI NOERANI</t>
  </si>
  <si>
    <t>SMP NEGERI 27</t>
  </si>
  <si>
    <t>EFELLY RACHMAWATI NOERANI</t>
  </si>
  <si>
    <t>20219240-6-2-00531</t>
  </si>
  <si>
    <t>0089043956</t>
  </si>
  <si>
    <t>3273040809080001</t>
  </si>
  <si>
    <t>3273150908190001</t>
  </si>
  <si>
    <t>FAREL ANDHIKA PUTRA</t>
  </si>
  <si>
    <t>Farel Andhika Putra</t>
  </si>
  <si>
    <t>20224108-9-1-00005</t>
  </si>
  <si>
    <t>0089421468</t>
  </si>
  <si>
    <t>3277010711080005</t>
  </si>
  <si>
    <t>3277010211062002</t>
  </si>
  <si>
    <t>FATHIN ABIYYU SUKMA</t>
  </si>
  <si>
    <t xml:space="preserve">Fathin Abiyyu Sukma </t>
  </si>
  <si>
    <t>20224108-2-1-00145</t>
  </si>
  <si>
    <t>0084037929</t>
  </si>
  <si>
    <t>3217152711080001</t>
  </si>
  <si>
    <t>3277012312190002</t>
  </si>
  <si>
    <t>FAWAZA BARIQ ALKAMIL</t>
  </si>
  <si>
    <t>SMP IT FITHRAH INSANI</t>
  </si>
  <si>
    <t xml:space="preserve">Fawaza Bariq alkamil </t>
  </si>
  <si>
    <t>20224108-9-1-00393</t>
  </si>
  <si>
    <t>0082191290</t>
  </si>
  <si>
    <t>3204444110080001</t>
  </si>
  <si>
    <t>3273152209170012</t>
  </si>
  <si>
    <t>FITRIA RIZQI AMALIA SUCI</t>
  </si>
  <si>
    <t>Fitria Rizqi Amaliasuci</t>
  </si>
  <si>
    <t>20224108-9-1-00439</t>
  </si>
  <si>
    <t>0081154931</t>
  </si>
  <si>
    <t>5102062810080002</t>
  </si>
  <si>
    <t>3216070904074608</t>
  </si>
  <si>
    <t>GUIDO JOSAFAT</t>
  </si>
  <si>
    <t xml:space="preserve">Guido Josafat </t>
  </si>
  <si>
    <t>20224108-9-1-00040</t>
  </si>
  <si>
    <t>0091261825</t>
  </si>
  <si>
    <t>3273154903090002</t>
  </si>
  <si>
    <t>3273152808170012</t>
  </si>
  <si>
    <t>KAYLA HUMAIRA MAULIDA AZZAHRA</t>
  </si>
  <si>
    <t xml:space="preserve">Kayla Humaira Maulida Azzahra </t>
  </si>
  <si>
    <t>20224114-6-2-00199</t>
  </si>
  <si>
    <t>0093688574</t>
  </si>
  <si>
    <t>3277016704090003</t>
  </si>
  <si>
    <t>3277011606100132</t>
  </si>
  <si>
    <t>KEIKO AQILA ANANDIRA</t>
  </si>
  <si>
    <t>SMP ASSALAAM</t>
  </si>
  <si>
    <t>Keiko Aqila Anandira</t>
  </si>
  <si>
    <t>20224108-9-1-00177</t>
  </si>
  <si>
    <t>0081219411</t>
  </si>
  <si>
    <t>3277015212080008</t>
  </si>
  <si>
    <t>3277010904070100</t>
  </si>
  <si>
    <t>KESYA KIANYA QUROTAAYUNI</t>
  </si>
  <si>
    <t xml:space="preserve">Kesya Kianya Qurota’ayuni </t>
  </si>
  <si>
    <t>KESYA KIANYA QUROTA'AYUNI</t>
  </si>
  <si>
    <t>20224108-9-1-00113</t>
  </si>
  <si>
    <t>0083397715</t>
  </si>
  <si>
    <t>3277016210080002</t>
  </si>
  <si>
    <t>3277013112080039</t>
  </si>
  <si>
    <t>KEYSA REGITA NURFITRI ADRIANA</t>
  </si>
  <si>
    <t>Keysa Regita Nurfitri Adriana</t>
  </si>
  <si>
    <t>20224108-9-1-00348</t>
  </si>
  <si>
    <t>0097884501</t>
  </si>
  <si>
    <t>3312157110090002</t>
  </si>
  <si>
    <t>3312151711090003</t>
  </si>
  <si>
    <t>KEYZILA NAFFISAHANIF</t>
  </si>
  <si>
    <t>Keyzila Naffisahanif</t>
  </si>
  <si>
    <t>20224108-9-1-00333</t>
  </si>
  <si>
    <t>0089647345</t>
  </si>
  <si>
    <t>3277014807080005</t>
  </si>
  <si>
    <t>3277012101110028</t>
  </si>
  <si>
    <t>LAUDYA CANTIKA SARI</t>
  </si>
  <si>
    <t>Laudya Cantika Sari</t>
  </si>
  <si>
    <t>20224108-9-1-00219</t>
  </si>
  <si>
    <t>0097310415</t>
  </si>
  <si>
    <t>3273164503090002</t>
  </si>
  <si>
    <t>3277022301140013</t>
  </si>
  <si>
    <t>LESTARI DWI ALTHAFUNISA</t>
  </si>
  <si>
    <t>MTsS Riyadlul Huda</t>
  </si>
  <si>
    <t>Lestari Dwi Althafunisa</t>
  </si>
  <si>
    <t>20224108-6-2-02260</t>
  </si>
  <si>
    <t>0097736063</t>
  </si>
  <si>
    <t>3277032302090005</t>
  </si>
  <si>
    <t>3277032705110010</t>
  </si>
  <si>
    <t>MUHAMMAD AHNAF ALFAREZI</t>
  </si>
  <si>
    <t>SMP NEGERI 13 CIMAHI</t>
  </si>
  <si>
    <t>Muhammad ahnaf alfarezi 94</t>
  </si>
  <si>
    <t>20224108-9-1-00135</t>
  </si>
  <si>
    <t>0097653167</t>
  </si>
  <si>
    <t>3273151603090001</t>
  </si>
  <si>
    <t>3273150909103632</t>
  </si>
  <si>
    <t>MUHAMMAD FAUZAN AZMI HANIF</t>
  </si>
  <si>
    <t>SMP NEGERI 4 SUMEDANG</t>
  </si>
  <si>
    <t>M. Fauzan azmi hanif 91</t>
  </si>
  <si>
    <t>20224108-9-1-00104</t>
  </si>
  <si>
    <t>0084533001</t>
  </si>
  <si>
    <t>3273157110080002</t>
  </si>
  <si>
    <t>3273150909103203</t>
  </si>
  <si>
    <t>NABIILA NUR TAMIIMAH</t>
  </si>
  <si>
    <t>Nabiila Nur Tamiimah</t>
  </si>
  <si>
    <t>20224108-5-2-00017</t>
  </si>
  <si>
    <t>0087907930</t>
  </si>
  <si>
    <t>3277014511080007</t>
  </si>
  <si>
    <t>3277011604070304</t>
  </si>
  <si>
    <t>NABILA GUNAWAN</t>
  </si>
  <si>
    <t xml:space="preserve">Nabila Gunawan </t>
  </si>
  <si>
    <t>20219240-6-2-00460</t>
  </si>
  <si>
    <t>0096356610</t>
  </si>
  <si>
    <t>3277014702090001</t>
  </si>
  <si>
    <t>3277010902090005</t>
  </si>
  <si>
    <t>NADIA MAHARANI</t>
  </si>
  <si>
    <t xml:space="preserve">Nadia Maharani </t>
  </si>
  <si>
    <t>20224108-9-1-00032</t>
  </si>
  <si>
    <t>0082559240</t>
  </si>
  <si>
    <t>3273155008080002</t>
  </si>
  <si>
    <t>3273150310120028</t>
  </si>
  <si>
    <t>NADYA NUR ATTIFA RISALMA</t>
  </si>
  <si>
    <t>20224112-6-2-00628</t>
  </si>
  <si>
    <t>0082371648</t>
  </si>
  <si>
    <t>3277012907080003</t>
  </si>
  <si>
    <t>3277011403230009</t>
  </si>
  <si>
    <t>NAYARI ISNA LATIFAH</t>
  </si>
  <si>
    <t>Nayari Isna Latifah</t>
  </si>
  <si>
    <t>20224108-9-1-00132</t>
  </si>
  <si>
    <t>0092490103</t>
  </si>
  <si>
    <t>3277016403090010</t>
  </si>
  <si>
    <t>3277010906080043</t>
  </si>
  <si>
    <t>NAZLA NAIMAH SIBGHATULLAH</t>
  </si>
  <si>
    <t xml:space="preserve">Nazla Naimah Sibghatullah </t>
  </si>
  <si>
    <t>NAZLA NA'IMAH SIBGHATULLAH</t>
  </si>
  <si>
    <t>0081488693</t>
  </si>
  <si>
    <t>3277012503080007</t>
  </si>
  <si>
    <t>3277011107070023</t>
  </si>
  <si>
    <t>RADEN MUHAMMAD RAFI SHOLIHUDDIN</t>
  </si>
  <si>
    <t>Raden Muhammad Rafi Sholihuddin</t>
  </si>
  <si>
    <t>20224108-9-1-00115</t>
  </si>
  <si>
    <t>0098938060</t>
  </si>
  <si>
    <t>3277010303090002</t>
  </si>
  <si>
    <t>3277010207090241</t>
  </si>
  <si>
    <t>RAFI IKHSAN ALRASYID</t>
  </si>
  <si>
    <t xml:space="preserve">RAFI IKHSAN ALRASYID </t>
  </si>
  <si>
    <t>20224108-1-2-00003</t>
  </si>
  <si>
    <t>0094992588</t>
  </si>
  <si>
    <t>3277016101090001</t>
  </si>
  <si>
    <t>3277011902090021</t>
  </si>
  <si>
    <t>RAISYA ANGELIA</t>
  </si>
  <si>
    <t xml:space="preserve">RAISYA ANGELIA </t>
  </si>
  <si>
    <t>20224108-4-2-00016</t>
  </si>
  <si>
    <t>0083968805</t>
  </si>
  <si>
    <t>3277015808080004</t>
  </si>
  <si>
    <t>3277010408210018</t>
  </si>
  <si>
    <t>SAFFANAH PUTRI KAMILAH</t>
  </si>
  <si>
    <t>Safanah</t>
  </si>
  <si>
    <t>20224108-9-1-00153</t>
  </si>
  <si>
    <t>0086315065</t>
  </si>
  <si>
    <t>3277015411080001</t>
  </si>
  <si>
    <t>3277011711080005</t>
  </si>
  <si>
    <t>SILMI AGHNIYA AZ-ZAHRA</t>
  </si>
  <si>
    <t>MTS YANURI ANNAMIRA</t>
  </si>
  <si>
    <t>X-10</t>
  </si>
  <si>
    <t>20224108-6-2-02228</t>
  </si>
  <si>
    <t>0099942370</t>
  </si>
  <si>
    <t>3277014805090007</t>
  </si>
  <si>
    <t>3277013107080012</t>
  </si>
  <si>
    <t>TANTI AZIZAH PUTRI JAMALUDIN</t>
  </si>
  <si>
    <t>SMP AL-BADAR CIPULUS</t>
  </si>
  <si>
    <t>Tanti Azizah Putri Jamaludin</t>
  </si>
  <si>
    <t>20224108-2-1-00064</t>
  </si>
  <si>
    <t>0092641855</t>
  </si>
  <si>
    <t>3273186005090002</t>
  </si>
  <si>
    <t>3277012310130019</t>
  </si>
  <si>
    <t>TASYA ASTI AURELIA</t>
  </si>
  <si>
    <t>SMP NEGERI 23</t>
  </si>
  <si>
    <t xml:space="preserve">Tasya Asti Aurelia </t>
  </si>
  <si>
    <t>Kepala Sekolah</t>
  </si>
  <si>
    <t>Cimahi, ......................</t>
  </si>
  <si>
    <t>LINA KUSLINA, M.Pd</t>
  </si>
  <si>
    <t>_________________________</t>
  </si>
  <si>
    <t>__________________</t>
  </si>
  <si>
    <t>NIP. 197105281997022002</t>
  </si>
  <si>
    <t>DAFTAR REKAP ABSEN DAN NILAI PESERTA DIDIK
TAHUN PELAJARAN 2025/2026</t>
  </si>
  <si>
    <t>Kelas : XI-3</t>
  </si>
  <si>
    <t>RINI ARYANTINI, S.Pd</t>
  </si>
  <si>
    <t>UTS</t>
  </si>
  <si>
    <t>22/07/05 cek catatan ke -1</t>
  </si>
  <si>
    <t>keaktifan</t>
  </si>
  <si>
    <t>Aktif</t>
  </si>
  <si>
    <t>urut kumpul</t>
  </si>
  <si>
    <t>nilai devide</t>
  </si>
  <si>
    <t>Aktif 2 -9</t>
  </si>
  <si>
    <t>Ulangan</t>
  </si>
  <si>
    <t>Final Code Combat</t>
  </si>
  <si>
    <t>jumlah Plus</t>
  </si>
  <si>
    <t>20219240-6-2-00722</t>
  </si>
  <si>
    <t>0081443370</t>
  </si>
  <si>
    <t>3210210509080001</t>
  </si>
  <si>
    <t>3273151512140002</t>
  </si>
  <si>
    <t>ABDHI RESTU PRATAMA</t>
  </si>
  <si>
    <t>SMP NEGERI 39</t>
  </si>
  <si>
    <t>X-3</t>
  </si>
  <si>
    <t xml:space="preserve">Abdhi Restu Pratama </t>
  </si>
  <si>
    <t>20224108-9-1-00362</t>
  </si>
  <si>
    <t>0077233308</t>
  </si>
  <si>
    <t>3273154911070004</t>
  </si>
  <si>
    <t>3273151209102065</t>
  </si>
  <si>
    <t>ADEELA HALWA KHAIRANI</t>
  </si>
  <si>
    <t>SMP NEGERI 9</t>
  </si>
  <si>
    <t xml:space="preserve">Adeela Halwa Khairani </t>
  </si>
  <si>
    <t>20224108-9-1-00356</t>
  </si>
  <si>
    <t>0095530152</t>
  </si>
  <si>
    <t>3273156502090001</t>
  </si>
  <si>
    <t>3273151109109134</t>
  </si>
  <si>
    <t>AGNA ARUNI AMALIA</t>
  </si>
  <si>
    <t>SMP NEGERI 55</t>
  </si>
  <si>
    <t>20224108-6-2-01970</t>
  </si>
  <si>
    <t>0098409105</t>
  </si>
  <si>
    <t>3277011204090006</t>
  </si>
  <si>
    <t>3277010701130014</t>
  </si>
  <si>
    <t>ALVIN NURAHMAN</t>
  </si>
  <si>
    <t>Alvin Nurahman</t>
  </si>
  <si>
    <t>0085965772</t>
  </si>
  <si>
    <t>3277015411080003</t>
  </si>
  <si>
    <t>3277010103210012</t>
  </si>
  <si>
    <t>AMALIA TRIYANI</t>
  </si>
  <si>
    <t>Amalia Triyani</t>
  </si>
  <si>
    <t>20219240-9-1-00464</t>
  </si>
  <si>
    <t>0086322601</t>
  </si>
  <si>
    <t>3273155907080002</t>
  </si>
  <si>
    <t>AMELIA PUTRI PRATIWI</t>
  </si>
  <si>
    <t xml:space="preserve">Amelia Putri Pratiwi </t>
  </si>
  <si>
    <t>20224108-9-1-00405</t>
  </si>
  <si>
    <t>0096701256</t>
  </si>
  <si>
    <t>3277014804090008</t>
  </si>
  <si>
    <t>3277010511060892</t>
  </si>
  <si>
    <t>ANIS FITRY</t>
  </si>
  <si>
    <t xml:space="preserve">Anis Fitry </t>
  </si>
  <si>
    <t>20224108-9-1-00108</t>
  </si>
  <si>
    <t>0085414542</t>
  </si>
  <si>
    <t>3273152711080001</t>
  </si>
  <si>
    <t>3273150909102269</t>
  </si>
  <si>
    <t>ANUGRAH WIYASA</t>
  </si>
  <si>
    <t>SMP NEGERI 50</t>
  </si>
  <si>
    <t xml:space="preserve">anugrahwiyasa </t>
  </si>
  <si>
    <t>20224108-6-2-02238</t>
  </si>
  <si>
    <t>0094352212</t>
  </si>
  <si>
    <t>3277014902090003</t>
  </si>
  <si>
    <t>3277013112080044</t>
  </si>
  <si>
    <t>ARLYN NAFIZA PUTRI RAHMAN</t>
  </si>
  <si>
    <t>20224108-9-1-00160</t>
  </si>
  <si>
    <t>3081028826</t>
  </si>
  <si>
    <t>3273155812000013</t>
  </si>
  <si>
    <t>3273151012140008</t>
  </si>
  <si>
    <t>CAHYA KUMAIRA PUTRI HIDAYAH</t>
  </si>
  <si>
    <t>SMP YPKKP</t>
  </si>
  <si>
    <t>20224108-6-2-01995</t>
  </si>
  <si>
    <t>0097984469</t>
  </si>
  <si>
    <t>3277014705090003</t>
  </si>
  <si>
    <t>3277011202090015</t>
  </si>
  <si>
    <t>CHIKA SAKURA</t>
  </si>
  <si>
    <t>MTSS MANBA`UL HUDA</t>
  </si>
  <si>
    <t>20224108-2-1-00061</t>
  </si>
  <si>
    <t>0101897198</t>
  </si>
  <si>
    <t>3273154606100005</t>
  </si>
  <si>
    <t>3273151109108286</t>
  </si>
  <si>
    <t>DEWI ANDRIYANI</t>
  </si>
  <si>
    <t xml:space="preserve">Dewi Andriyani </t>
  </si>
  <si>
    <t>20224108-9-1-00063</t>
  </si>
  <si>
    <t>0093030566</t>
  </si>
  <si>
    <t>DIANA ARISTA</t>
  </si>
  <si>
    <t>diana arista</t>
  </si>
  <si>
    <t>20219306-6-2-00385</t>
  </si>
  <si>
    <t>0092065253</t>
  </si>
  <si>
    <t>3603286607090002</t>
  </si>
  <si>
    <t>3277012603070048</t>
  </si>
  <si>
    <t>FILDZA KHAIRINA RIDWAN</t>
  </si>
  <si>
    <t>Fildza Khairina Ridwan</t>
  </si>
  <si>
    <t>20224108-9-1-00131</t>
  </si>
  <si>
    <t>3090168065</t>
  </si>
  <si>
    <t>3273150705090004</t>
  </si>
  <si>
    <t>3273150909100526</t>
  </si>
  <si>
    <t>GARNETTA ARTANTY</t>
  </si>
  <si>
    <t>MTSS PERSIS RAHAYU</t>
  </si>
  <si>
    <t>Garnetta Artanty</t>
  </si>
  <si>
    <t>20224108-4-2-00003</t>
  </si>
  <si>
    <t>0099966202</t>
  </si>
  <si>
    <t>GHIANDRA MAULANA</t>
  </si>
  <si>
    <t>Ghiandra maulana</t>
  </si>
  <si>
    <t>20219240-4-2-00024</t>
  </si>
  <si>
    <t>0091430065</t>
  </si>
  <si>
    <t>3277014101090012</t>
  </si>
  <si>
    <t>3277012011130021</t>
  </si>
  <si>
    <t>INTAN AULIA HIDAYAH</t>
  </si>
  <si>
    <t xml:space="preserve">Intan Aulia Hidayah </t>
  </si>
  <si>
    <t>20224108-2-1-00016</t>
  </si>
  <si>
    <t>0083864591</t>
  </si>
  <si>
    <t>3277016110080003</t>
  </si>
  <si>
    <t>3277012008070045</t>
  </si>
  <si>
    <t>JIHAN NAQIYA</t>
  </si>
  <si>
    <t>Jihan Naqiya</t>
  </si>
  <si>
    <t>20224108-2-1-00133</t>
  </si>
  <si>
    <t>0096630335</t>
  </si>
  <si>
    <t>3277012912080006</t>
  </si>
  <si>
    <t>3277010511060352</t>
  </si>
  <si>
    <t>KAFKA ABDEE HAFIEDZ</t>
  </si>
  <si>
    <t>Kafka Abdee Hafiedz</t>
  </si>
  <si>
    <t>20224108-9-1-00340</t>
  </si>
  <si>
    <t>0079470223</t>
  </si>
  <si>
    <t>3273055110070003</t>
  </si>
  <si>
    <t>3277010803210025</t>
  </si>
  <si>
    <t>KENFITRIA SALSABILLA PEGARANI</t>
  </si>
  <si>
    <t>KENFITRIA SALSABILA PEGARANI</t>
  </si>
  <si>
    <t xml:space="preserve">Kenfitria Salsabila Pegarani </t>
  </si>
  <si>
    <t>20224108-5-2-00018</t>
  </si>
  <si>
    <t>0089775160</t>
  </si>
  <si>
    <t>3277011909090002</t>
  </si>
  <si>
    <t>3204100506200009</t>
  </si>
  <si>
    <t>LUBNA LUTFIFFAH</t>
  </si>
  <si>
    <t>SMP BESTARI UTAMI</t>
  </si>
  <si>
    <t>Lubna Lutfiffah</t>
  </si>
  <si>
    <t>20224108-9-1-00029</t>
  </si>
  <si>
    <t>0081792912</t>
  </si>
  <si>
    <t>3205134710080005</t>
  </si>
  <si>
    <t>3277010511060968</t>
  </si>
  <si>
    <t>LUTFIAH OKTAFIANI</t>
  </si>
  <si>
    <t xml:space="preserve">Lutfiah Oktafiani </t>
  </si>
  <si>
    <t>20224108-9-1-00157</t>
  </si>
  <si>
    <t>0093717526</t>
  </si>
  <si>
    <t>3277011905080006</t>
  </si>
  <si>
    <t>3277011901120011</t>
  </si>
  <si>
    <t>MALFA RAISYA KHANSA</t>
  </si>
  <si>
    <t>Malfa Raisya Khansa</t>
  </si>
  <si>
    <t>20224108-6-2-02239</t>
  </si>
  <si>
    <t>0091973930</t>
  </si>
  <si>
    <t>3277012708080003</t>
  </si>
  <si>
    <t>3277011704070024</t>
  </si>
  <si>
    <t>MEGA LESTARI</t>
  </si>
  <si>
    <t xml:space="preserve">Mega lestari </t>
  </si>
  <si>
    <t>20224108-9-1-00413</t>
  </si>
  <si>
    <t>0086007662</t>
  </si>
  <si>
    <t>3277010212080003</t>
  </si>
  <si>
    <t>3277011904070413</t>
  </si>
  <si>
    <t>MUHAMAD ALIFFIAN RAMADHANI</t>
  </si>
  <si>
    <t>Muhamad Aliffian Ramadhani</t>
  </si>
  <si>
    <t>20224108-9-1-00216</t>
  </si>
  <si>
    <t>0092761255</t>
  </si>
  <si>
    <t>3204460602090004</t>
  </si>
  <si>
    <t>3204461004050193</t>
  </si>
  <si>
    <t>MUHAMMAD ARSYAD ALYASA</t>
  </si>
  <si>
    <t>SMPN 2 MARGAASIH</t>
  </si>
  <si>
    <t>Muhammad Arsyad Alyasa</t>
  </si>
  <si>
    <t>20224108-9-1-00059</t>
  </si>
  <si>
    <t>3098781299</t>
  </si>
  <si>
    <t>3273150404090002</t>
  </si>
  <si>
    <t>3273150102120011</t>
  </si>
  <si>
    <t>MUHAMMAD RIZKI MALIK ABDILAH</t>
  </si>
  <si>
    <t xml:space="preserve">Muhammad Rizki Malik Abdilah </t>
  </si>
  <si>
    <t>20224108-9-1-00159</t>
  </si>
  <si>
    <t>0096209432</t>
  </si>
  <si>
    <t>3273151302090001</t>
  </si>
  <si>
    <t>3273150909100768</t>
  </si>
  <si>
    <t>MUHAMMAD ZIYAD ARHATTA</t>
  </si>
  <si>
    <t xml:space="preserve">Muhammad Ziyad Arhatta </t>
  </si>
  <si>
    <t>20224108-9-1-00214</t>
  </si>
  <si>
    <t>0082302994</t>
  </si>
  <si>
    <t>NABILLA KHOIRUNNISA</t>
  </si>
  <si>
    <t>Nabilla Khoirunnisa</t>
  </si>
  <si>
    <t>20224108-2-1-00085</t>
  </si>
  <si>
    <t>0085691465</t>
  </si>
  <si>
    <t>3277015411080007</t>
  </si>
  <si>
    <t>3277012701080034</t>
  </si>
  <si>
    <t>NAZWA HASNA PUTERI</t>
  </si>
  <si>
    <t xml:space="preserve">Nazwa Hasna Puteri </t>
  </si>
  <si>
    <t>20224108-5-2-00006</t>
  </si>
  <si>
    <t>0099385990</t>
  </si>
  <si>
    <t>3273156401090001</t>
  </si>
  <si>
    <t>3273151109109375</t>
  </si>
  <si>
    <t>NISRINA ANDRIANI MARDIAH</t>
  </si>
  <si>
    <t>Nisrina Andriani Mardiah</t>
  </si>
  <si>
    <t>20224108-6-2-02104</t>
  </si>
  <si>
    <t>0088405311</t>
  </si>
  <si>
    <t>3277014110080002</t>
  </si>
  <si>
    <t>3277012403090007</t>
  </si>
  <si>
    <t>OKTAVIANI FITRIA</t>
  </si>
  <si>
    <t>Oktaviani Fitria</t>
  </si>
  <si>
    <t>20224108-2-1-00065</t>
  </si>
  <si>
    <t>0099022887</t>
  </si>
  <si>
    <t>3277016203090006</t>
  </si>
  <si>
    <t>3277011406110006</t>
  </si>
  <si>
    <t>PRISA RAHMA</t>
  </si>
  <si>
    <t>SMP BPPI BOJONG</t>
  </si>
  <si>
    <t>Prisa Rahma</t>
  </si>
  <si>
    <t>20224108-9-1-00404</t>
  </si>
  <si>
    <t>0086113153</t>
  </si>
  <si>
    <t>3273154510080001</t>
  </si>
  <si>
    <t>3273151109105442</t>
  </si>
  <si>
    <t>PUTRI TSAMROTUL FUADAH</t>
  </si>
  <si>
    <t>Putri Tsamrotul Fuadah</t>
  </si>
  <si>
    <t>20224108-9-1-00427</t>
  </si>
  <si>
    <t>0087973538</t>
  </si>
  <si>
    <t>3277011505080002</t>
  </si>
  <si>
    <t>3277010111060949</t>
  </si>
  <si>
    <t>RADEN MOCHAMAD REYHAN FIRDAUS</t>
  </si>
  <si>
    <t>R Mochamad Reyhan</t>
  </si>
  <si>
    <t>20224108-9-1-00447</t>
  </si>
  <si>
    <t>0085808338</t>
  </si>
  <si>
    <t>3204105111080002</t>
  </si>
  <si>
    <t>3204102104054045</t>
  </si>
  <si>
    <t>REYSYA RINDU ANANDA</t>
  </si>
  <si>
    <t>SMP WIYATA BAKTI</t>
  </si>
  <si>
    <t>Reysya Rindu Ananda</t>
  </si>
  <si>
    <t>20219240-6-2-00521</t>
  </si>
  <si>
    <t>0088987256</t>
  </si>
  <si>
    <t>3277012111080006</t>
  </si>
  <si>
    <t>3277010311060427</t>
  </si>
  <si>
    <t>SAMMY ADHITYA RAHMAN</t>
  </si>
  <si>
    <t>Sammy Adhitya Rahman</t>
  </si>
  <si>
    <t>20224108-2-1-00080</t>
  </si>
  <si>
    <t>0094726224</t>
  </si>
  <si>
    <t>3273156601090003</t>
  </si>
  <si>
    <t>3273150909102779</t>
  </si>
  <si>
    <t>SISKA UMAEROH</t>
  </si>
  <si>
    <t>MTSS DAARUR RAHMAH</t>
  </si>
  <si>
    <t>Siska Umaeroh</t>
  </si>
  <si>
    <t>20224108-6-2-02072</t>
  </si>
  <si>
    <t>0094336021</t>
  </si>
  <si>
    <t>3277012604090003</t>
  </si>
  <si>
    <t>3277012609110010</t>
  </si>
  <si>
    <t>ZIDANE DZIAULHAQ FAHDILLA</t>
  </si>
  <si>
    <t>Zidane dziaulhaq fahdilla</t>
  </si>
  <si>
    <t xml:space="preserve">Cimahi, </t>
  </si>
  <si>
    <t>Kelas : X-1</t>
  </si>
  <si>
    <t>Dadang Rustandi, S.Pd.</t>
  </si>
  <si>
    <t>Tugas Catatan1</t>
  </si>
  <si>
    <t>nilai Aktif</t>
  </si>
  <si>
    <t>Cat-2 devide</t>
  </si>
  <si>
    <t>cat sistem komputer</t>
  </si>
  <si>
    <t>observasi hp</t>
  </si>
  <si>
    <t>konversi biner</t>
  </si>
  <si>
    <t>Jumlah biner</t>
  </si>
  <si>
    <t>kurang biner</t>
  </si>
  <si>
    <t>Nilai Akhir 75– 92</t>
  </si>
  <si>
    <t>UI IMK</t>
  </si>
  <si>
    <t>rangkum Rakit PC</t>
  </si>
  <si>
    <t>Infografis Rakit PC</t>
  </si>
  <si>
    <t>Link Tutor Mail Merge</t>
  </si>
  <si>
    <t>Nilai Tugas</t>
  </si>
  <si>
    <t>rumus normalisasi</t>
  </si>
  <si>
    <t>fix</t>
  </si>
  <si>
    <t>0093563232</t>
  </si>
  <si>
    <t>ADELIA ANANDA PUTRI</t>
  </si>
  <si>
    <t>CIMAHI</t>
  </si>
  <si>
    <t>Adelia ananda putri</t>
  </si>
  <si>
    <t>0091424360</t>
  </si>
  <si>
    <t>AIRA NAURAH ZAIDA</t>
  </si>
  <si>
    <t>GARUT</t>
  </si>
  <si>
    <t xml:space="preserve">Aira Naurah Zaida </t>
  </si>
  <si>
    <t>0098216101</t>
  </si>
  <si>
    <t>AKHDAM MAULANA RIZKY</t>
  </si>
  <si>
    <t>BANDUNG</t>
  </si>
  <si>
    <t>Akhdam Maulana Rizky</t>
  </si>
  <si>
    <t>0094405844</t>
  </si>
  <si>
    <t>ALFIKRI SURYA AYUBI</t>
  </si>
  <si>
    <t>I</t>
  </si>
  <si>
    <t xml:space="preserve">Al Fikri Surya Ayubi </t>
  </si>
  <si>
    <t>0104606607</t>
  </si>
  <si>
    <t>ALIF RAFKA WIJAYA</t>
  </si>
  <si>
    <t>Alif rafka wijaya</t>
  </si>
  <si>
    <t>0095446594</t>
  </si>
  <si>
    <t>ALVINS SONJAYA ALBAR</t>
  </si>
  <si>
    <t>Alvins sonjaya albar</t>
  </si>
  <si>
    <t>0095121325</t>
  </si>
  <si>
    <t>AMALIYA SITI MABRURROH</t>
  </si>
  <si>
    <t xml:space="preserve">amaliya siti mabrurroh </t>
  </si>
  <si>
    <t>0097581098</t>
  </si>
  <si>
    <t>ANNISA HIDAYANTI</t>
  </si>
  <si>
    <t>Annia Hidayanti</t>
  </si>
  <si>
    <t>0107672332</t>
  </si>
  <si>
    <t>AURELL SHABILA JAYNAPUTRI</t>
  </si>
  <si>
    <t>Aurell Shabila JaynaPutri</t>
  </si>
  <si>
    <t>0098239827</t>
  </si>
  <si>
    <t>AZKA MAYLA KHANSA</t>
  </si>
  <si>
    <t>KEBUMEN</t>
  </si>
  <si>
    <t>Azka Mayla Khansa</t>
  </si>
  <si>
    <t>0091095712</t>
  </si>
  <si>
    <t>AZWAR AUFA HARDIANSYAH</t>
  </si>
  <si>
    <t xml:space="preserve">     </t>
  </si>
  <si>
    <t>s</t>
  </si>
  <si>
    <t xml:space="preserve">Azwar Aufa Hardiansyah </t>
  </si>
  <si>
    <t>0102789907</t>
  </si>
  <si>
    <t>AZZIRA SYIFA SUPANGAT</t>
  </si>
  <si>
    <t>azzira syifa supangat</t>
  </si>
  <si>
    <t>0097604287</t>
  </si>
  <si>
    <t>CHEISYA YOLLANDA PUTRI AZKIA</t>
  </si>
  <si>
    <t>0102493202</t>
  </si>
  <si>
    <t>DAVINA ADHYA KHAIRUNNISA</t>
  </si>
  <si>
    <t>Davina Adhya Khairunnisa</t>
  </si>
  <si>
    <t>0095180836</t>
  </si>
  <si>
    <t>DEPSA EKA NUGRAHA</t>
  </si>
  <si>
    <t>Depsa Eka Nugraha</t>
  </si>
  <si>
    <t>20224108-9-1-00432</t>
  </si>
  <si>
    <t>0092909295</t>
  </si>
  <si>
    <t>FELLISA PUTRIANI</t>
  </si>
  <si>
    <t>fellisa putriani</t>
  </si>
  <si>
    <t>0109789387</t>
  </si>
  <si>
    <t>FIRAS ILMI CAHYADIN</t>
  </si>
  <si>
    <t xml:space="preserve">Firas Ilmi cahyadin </t>
  </si>
  <si>
    <t>0098559297</t>
  </si>
  <si>
    <t>GAZZA AKBAR</t>
  </si>
  <si>
    <t>Gazza Akbar</t>
  </si>
  <si>
    <t>0104965756</t>
  </si>
  <si>
    <t>GIO GUCFA AL HAQKI</t>
  </si>
  <si>
    <t>Gio Gucfa Al Haqki</t>
  </si>
  <si>
    <t>0095325840</t>
  </si>
  <si>
    <t>HASAN MAULANA</t>
  </si>
  <si>
    <t>Hasan maualana</t>
  </si>
  <si>
    <t>0093049968</t>
  </si>
  <si>
    <t>ICHA KAHERUNNISA</t>
  </si>
  <si>
    <t xml:space="preserve">icha kaherunnisa </t>
  </si>
  <si>
    <t>3097211597</t>
  </si>
  <si>
    <t>KANZA BERLIANA</t>
  </si>
  <si>
    <t xml:space="preserve">Kanza Berliana </t>
  </si>
  <si>
    <t>0091260792</t>
  </si>
  <si>
    <t>KEYLA OKTAVIANI ERYAN PUTRI</t>
  </si>
  <si>
    <t>Keyla Oktaviani Eryan Putri</t>
  </si>
  <si>
    <t>0096096984</t>
  </si>
  <si>
    <t>KHOIRUNNISA</t>
  </si>
  <si>
    <t xml:space="preserve">khoirunnisa </t>
  </si>
  <si>
    <t>0096890249</t>
  </si>
  <si>
    <t>KIFA AGUSTINA AZ-ZAHRA</t>
  </si>
  <si>
    <t xml:space="preserve">Kifa Agustina Az-zahra </t>
  </si>
  <si>
    <t>0094628236</t>
  </si>
  <si>
    <t>LUTHFI FAUZAN PRAYATA</t>
  </si>
  <si>
    <t xml:space="preserve">Luthfi Fauzan Prayata </t>
  </si>
  <si>
    <t>0106017855</t>
  </si>
  <si>
    <t>MASAGUS MUHAMAD HANIF ATHALLAH</t>
  </si>
  <si>
    <t>M.Desta 76</t>
  </si>
  <si>
    <t>0093582245</t>
  </si>
  <si>
    <t>MUHAMMAD DESTA DAVITRAH PUTRA NUGRAHA</t>
  </si>
  <si>
    <t>Masagus Muhamad Hanif Athallah 32</t>
  </si>
  <si>
    <t>0106272994</t>
  </si>
  <si>
    <t>MUHAMMAD FAHRI ABDUL HADI</t>
  </si>
  <si>
    <t>Muhammad Fahri Abdul Hadi</t>
  </si>
  <si>
    <t>0097596437</t>
  </si>
  <si>
    <t>MUHAMMAD RAKA IMANSYAH</t>
  </si>
  <si>
    <t xml:space="preserve">Muhammad Raka Imansyah </t>
  </si>
  <si>
    <t>0102060663</t>
  </si>
  <si>
    <t>MUHAMMAD RAZVAN PUTRA DENA</t>
  </si>
  <si>
    <t>Muhammad Razvan Putra Dena</t>
  </si>
  <si>
    <t>0109875071</t>
  </si>
  <si>
    <t>NABIL MUKARROM</t>
  </si>
  <si>
    <t>TASIKMALAYA</t>
  </si>
  <si>
    <t>Nabil Mukarrom</t>
  </si>
  <si>
    <t>0094465082</t>
  </si>
  <si>
    <t>NADITA PRATIWI</t>
  </si>
  <si>
    <t>Nadita pratiwi</t>
  </si>
  <si>
    <t>20224108-9-1-00295</t>
  </si>
  <si>
    <t>0108682068</t>
  </si>
  <si>
    <t>NADZIFA ZIVANA LETISYA</t>
  </si>
  <si>
    <t>Nadzifa Zivana Letisya</t>
  </si>
  <si>
    <t>20224108-2-1-00114</t>
  </si>
  <si>
    <t>0102638303</t>
  </si>
  <si>
    <t>NAYLA ZULFA SAPHIRA</t>
  </si>
  <si>
    <t xml:space="preserve">Nayla Zulfa Saphira </t>
  </si>
  <si>
    <t>0093078194</t>
  </si>
  <si>
    <t>PUTRI KHOIRUN NISA</t>
  </si>
  <si>
    <t>putri khoirun nisa</t>
  </si>
  <si>
    <t>0093687829</t>
  </si>
  <si>
    <t>RADITYA FACHREZA</t>
  </si>
  <si>
    <t>Raditya Fachreza</t>
  </si>
  <si>
    <t>0103004404</t>
  </si>
  <si>
    <t>RAFI AHMAD BASIL IBNI MAULUDI</t>
  </si>
  <si>
    <t xml:space="preserve">Rafi Ahmad Basil Ibni Mauludi </t>
  </si>
  <si>
    <t>0093618654</t>
  </si>
  <si>
    <t>RAISSA OKTAHAVIAN STEPANI</t>
  </si>
  <si>
    <t>Raissa oktahavian stepani</t>
  </si>
  <si>
    <t>0098639858</t>
  </si>
  <si>
    <t>RAYNA KHANSA'A YASNISA</t>
  </si>
  <si>
    <t>Rayna Khansa'a Yasnisa</t>
  </si>
  <si>
    <t>0098266032</t>
  </si>
  <si>
    <t>REGINA MELIANI PUTRI</t>
  </si>
  <si>
    <t xml:space="preserve">Regina meliani putri </t>
  </si>
  <si>
    <t>0093283561</t>
  </si>
  <si>
    <t>RESTINA SITI MARIYAM</t>
  </si>
  <si>
    <t>restina siti mariyam</t>
  </si>
  <si>
    <t>0097293475</t>
  </si>
  <si>
    <t>RIKA AMELIA JAELANI</t>
  </si>
  <si>
    <t xml:space="preserve">Rika Amelia Jaelani </t>
  </si>
  <si>
    <t>3099406088</t>
  </si>
  <si>
    <t>SENDY ANDYKA PURNAMA</t>
  </si>
  <si>
    <t xml:space="preserve">SENDY ANDYKA PURNAMA </t>
  </si>
  <si>
    <t>0102934008</t>
  </si>
  <si>
    <t>SHOPIA KHAIRUNISA</t>
  </si>
  <si>
    <t>Shopia khairunisa</t>
  </si>
  <si>
    <t>0096817934</t>
  </si>
  <si>
    <t>SILFA SULIASTI NURUL HIJJAH</t>
  </si>
  <si>
    <t>silfa suliasti nurul hijjah</t>
  </si>
  <si>
    <t>3090259322</t>
  </si>
  <si>
    <t>SYAFA FITRIANI</t>
  </si>
  <si>
    <t>0096080554</t>
  </si>
  <si>
    <t>ULFI FAUZIAH AZKIAH</t>
  </si>
  <si>
    <t>d</t>
  </si>
  <si>
    <t>ulfi fauziah akiah</t>
  </si>
  <si>
    <t>Laki-laki</t>
  </si>
  <si>
    <t>Wali Kelas</t>
  </si>
  <si>
    <t>_____________________</t>
  </si>
  <si>
    <t>Kelas : X-2</t>
  </si>
  <si>
    <t>Rizki Yulia Rahayu, S.Pd.</t>
  </si>
  <si>
    <t>PTS</t>
  </si>
  <si>
    <t>Catatan Informatika 30-07-25</t>
  </si>
  <si>
    <t>Point Keaktifan siswa</t>
  </si>
  <si>
    <t>Dekomposisi 06-08-25</t>
  </si>
  <si>
    <t>Devide &amp; conqueror 13-08-25</t>
  </si>
  <si>
    <t>Sistem Komputer 27-08-25 video HP</t>
  </si>
  <si>
    <t>Konversi biner 03-09-25</t>
  </si>
  <si>
    <t>jumlah biner 10-9-25</t>
  </si>
  <si>
    <t>latihan biner 17-9-25</t>
  </si>
  <si>
    <t>Nilai Akhir 75– 90</t>
  </si>
  <si>
    <t>rangkum IMK</t>
  </si>
  <si>
    <t>Pretest TIK</t>
  </si>
  <si>
    <t>0102013454</t>
  </si>
  <si>
    <t>AGHNIYA NURUL AENI</t>
  </si>
  <si>
    <t>Aghniya Nurul Aeni</t>
  </si>
  <si>
    <t>0093890203</t>
  </si>
  <si>
    <t>ALIF KHOLIFAH KHOIRUN NISA</t>
  </si>
  <si>
    <t>Alif Kholifah Khoirun Nisa</t>
  </si>
  <si>
    <t>0092320462</t>
  </si>
  <si>
    <t>ANUGRAH ROLAS MARTUA MANALU</t>
  </si>
  <si>
    <t xml:space="preserve">Anugrah Rolas Martua Manalu </t>
  </si>
  <si>
    <t>0094702205</t>
  </si>
  <si>
    <t>ARGA DEVRIKA HUSAENI</t>
  </si>
  <si>
    <t>Arga Devrika Husaeni</t>
  </si>
  <si>
    <t>0098240286</t>
  </si>
  <si>
    <t>ASHILA MARSA AULIA</t>
  </si>
  <si>
    <t>ashila marsa aulia</t>
  </si>
  <si>
    <t>0096630461</t>
  </si>
  <si>
    <t>AYESSHA PUTRI RINALDI</t>
  </si>
  <si>
    <t xml:space="preserve">AYESSHA PUTRI RINALDI </t>
  </si>
  <si>
    <t>0095113644</t>
  </si>
  <si>
    <t>BELLA ANASTASYA HENDRYANI</t>
  </si>
  <si>
    <t>Bella Anastasya Hendryani</t>
  </si>
  <si>
    <t>0099517775</t>
  </si>
  <si>
    <t>BERLI</t>
  </si>
  <si>
    <t>0099418434</t>
  </si>
  <si>
    <t>CUT KEYLA KITAMI</t>
  </si>
  <si>
    <t xml:space="preserve">Cut Keyla Kitami </t>
  </si>
  <si>
    <t>0106582840</t>
  </si>
  <si>
    <t>DAVINA ARDIA ANASTASYA PUTRI</t>
  </si>
  <si>
    <t>Davina Ardia Anastasya Putri</t>
  </si>
  <si>
    <t>0092251221</t>
  </si>
  <si>
    <t>DEA SEPTIANI</t>
  </si>
  <si>
    <t xml:space="preserve">Dea Septiani </t>
  </si>
  <si>
    <t>0099957477</t>
  </si>
  <si>
    <t>DEVIN RIZKY SETIYO PRANOTO</t>
  </si>
  <si>
    <t>Devin Rizky Setiyo Pranoto</t>
  </si>
  <si>
    <t>0109066312</t>
  </si>
  <si>
    <t>FADIL FADILAH</t>
  </si>
  <si>
    <t>fadil fadilah</t>
  </si>
  <si>
    <t>0095321713</t>
  </si>
  <si>
    <t>FRISCA CECILIA</t>
  </si>
  <si>
    <t>Frisca Cecilia</t>
  </si>
  <si>
    <t>0106561979</t>
  </si>
  <si>
    <t>GABRIELA FUNNY TAMBUNAN</t>
  </si>
  <si>
    <t>Gabriela funny tambunan</t>
  </si>
  <si>
    <t>0104553910</t>
  </si>
  <si>
    <t>GIO RAY ANDHIKA ANWAR</t>
  </si>
  <si>
    <t>Gio Ray Andhika Anwar</t>
  </si>
  <si>
    <t>0095257514</t>
  </si>
  <si>
    <t>HABIB RISKI AL BHANI</t>
  </si>
  <si>
    <t xml:space="preserve">Habib Riski Al Bhani </t>
  </si>
  <si>
    <t>0097147868</t>
  </si>
  <si>
    <t>IKHSAN NUR SALEH</t>
  </si>
  <si>
    <t>0094086248</t>
  </si>
  <si>
    <t>IKRAM GIBRAN DZIAULHAQ</t>
  </si>
  <si>
    <t xml:space="preserve">Ikram Gibran Dziaulhaq </t>
  </si>
  <si>
    <t>0104612361</t>
  </si>
  <si>
    <t>IREN SYAFITRI</t>
  </si>
  <si>
    <t>Iren Syafitri</t>
  </si>
  <si>
    <t>0093546032</t>
  </si>
  <si>
    <t>LAILA FITRIA</t>
  </si>
  <si>
    <t xml:space="preserve">Laila Fitria </t>
  </si>
  <si>
    <t>0101777497</t>
  </si>
  <si>
    <t>MEIKAL PUTRA BANI PERDANA</t>
  </si>
  <si>
    <t>Meikal putra bani perdana</t>
  </si>
  <si>
    <t>0104986863</t>
  </si>
  <si>
    <t>MOHAMAD ARIF NURROHMAN</t>
  </si>
  <si>
    <t>mohamad arif nurrohman</t>
  </si>
  <si>
    <t>0096457486</t>
  </si>
  <si>
    <t>MUHAMMAD DHAFIN AR RAZI</t>
  </si>
  <si>
    <t>Muhammad dhafin arrazi</t>
  </si>
  <si>
    <t>0099964275</t>
  </si>
  <si>
    <t>MUHAMMAD RAIHAN</t>
  </si>
  <si>
    <t xml:space="preserve">Muhammad Raihan </t>
  </si>
  <si>
    <t>3096412917</t>
  </si>
  <si>
    <t>MUHAMMAD REZA ABDILLAH</t>
  </si>
  <si>
    <t xml:space="preserve">Muhammad Reza abdillah </t>
  </si>
  <si>
    <t>0097960712</t>
  </si>
  <si>
    <t>NABILA MUFIDA WIBOWO</t>
  </si>
  <si>
    <t>Nabila mufida wibowo</t>
  </si>
  <si>
    <t>0093285040</t>
  </si>
  <si>
    <t>NABILLA PUTRI RAHAYU</t>
  </si>
  <si>
    <t>Nabilla Putri Rahayu</t>
  </si>
  <si>
    <t>0104093360</t>
  </si>
  <si>
    <t>NADIVA NURUL ASYIFA</t>
  </si>
  <si>
    <t xml:space="preserve">Nadiva Nurul Asyifa </t>
  </si>
  <si>
    <t>0106946745</t>
  </si>
  <si>
    <t>NAFA HANIFAH FEBRIANI</t>
  </si>
  <si>
    <t xml:space="preserve">Nafa Hanifah Febriani </t>
  </si>
  <si>
    <t>0104433358</t>
  </si>
  <si>
    <t>NANDA SHAFA KIRANA*</t>
  </si>
  <si>
    <t>NANDA SHAFA KIRANA</t>
  </si>
  <si>
    <t>nanda shafa kirana</t>
  </si>
  <si>
    <t>0093682099</t>
  </si>
  <si>
    <t>NAZWA AULIA SALSABILA</t>
  </si>
  <si>
    <t>Nazwa aulia salsabila</t>
  </si>
  <si>
    <t>0096301062</t>
  </si>
  <si>
    <t>NUR FADILLAH</t>
  </si>
  <si>
    <t xml:space="preserve">NUR FADILLAH </t>
  </si>
  <si>
    <t>0106409372</t>
  </si>
  <si>
    <t>NURRAKHMANITA AZZAHRA</t>
  </si>
  <si>
    <t>Nurrakhmanita azzahra</t>
  </si>
  <si>
    <t>0092199743</t>
  </si>
  <si>
    <t>QEANO OKTAVIA SWARANANDA</t>
  </si>
  <si>
    <t>3098727235</t>
  </si>
  <si>
    <t>QIARA PUTRI AZURA</t>
  </si>
  <si>
    <t>Qiara Putri Azura</t>
  </si>
  <si>
    <t>0097514805</t>
  </si>
  <si>
    <t>RAFLI ABDUL MAULANA</t>
  </si>
  <si>
    <t>rafli abdul maulana</t>
  </si>
  <si>
    <t>0096988018</t>
  </si>
  <si>
    <t>RANGGA DWI KURNIYANTO</t>
  </si>
  <si>
    <t xml:space="preserve">Rangga Dwi kurniyanto </t>
  </si>
  <si>
    <t>0094538843</t>
  </si>
  <si>
    <t>REIYA AZREL KUNKEYRA</t>
  </si>
  <si>
    <t>Reiya Azrel Kunkeyra</t>
  </si>
  <si>
    <t>0105716730</t>
  </si>
  <si>
    <t>REVINA FEBRIANTI</t>
  </si>
  <si>
    <t>Revina febrianti</t>
  </si>
  <si>
    <t>0091512312</t>
  </si>
  <si>
    <t>REYSA NUR'AENI</t>
  </si>
  <si>
    <t xml:space="preserve">Reysa nur aeni </t>
  </si>
  <si>
    <t>0097536978</t>
  </si>
  <si>
    <t>RICKY FIRMAN HERDIANSYAH</t>
  </si>
  <si>
    <t xml:space="preserve">RICKY FIRMAN HENDRIANSYAH </t>
  </si>
  <si>
    <t>0109712566</t>
  </si>
  <si>
    <t>RINDU ZIDNI ZAKIA</t>
  </si>
  <si>
    <t>Rindu Zidni Zakia</t>
  </si>
  <si>
    <t>0102506916</t>
  </si>
  <si>
    <t>SAEFUDYN MUHAMMAD AF GHANY</t>
  </si>
  <si>
    <t>0091521030</t>
  </si>
  <si>
    <t>SHANDY AWALUDIN</t>
  </si>
  <si>
    <t>shandy awaludin</t>
  </si>
  <si>
    <t>0093717009</t>
  </si>
  <si>
    <t>SINTIA NURAINI</t>
  </si>
  <si>
    <t>sintia nuraini</t>
  </si>
  <si>
    <t>0093085474</t>
  </si>
  <si>
    <t>SITI MAEMUNAH RAHMADANI</t>
  </si>
  <si>
    <t xml:space="preserve">Siti Maemunah Rahmadani </t>
  </si>
  <si>
    <t>0091819121</t>
  </si>
  <si>
    <t>SYAHRINY OKTAVIANI RAHAYU</t>
  </si>
  <si>
    <t xml:space="preserve">Syahriny Oktaviani Rahayu </t>
  </si>
  <si>
    <t>Kelas : X-3</t>
  </si>
  <si>
    <t>Sari Sartika, S.Pd.</t>
  </si>
  <si>
    <t>Cat-2</t>
  </si>
  <si>
    <t>aktif 22</t>
  </si>
  <si>
    <t>cat. Identifikasi hp</t>
  </si>
  <si>
    <t>Observasi HP</t>
  </si>
  <si>
    <t>Aktif 12-09-2025</t>
  </si>
  <si>
    <t>UI IMK 24-10</t>
  </si>
  <si>
    <t>Aktif 31-10</t>
  </si>
  <si>
    <t>0102533234</t>
  </si>
  <si>
    <t>ADAM RIDHO NUR AKBAR</t>
  </si>
  <si>
    <t xml:space="preserve">ADAM RIDHO NUR AKBAR </t>
  </si>
  <si>
    <t>0095812253</t>
  </si>
  <si>
    <t>ALIIFAH NURSASMITA</t>
  </si>
  <si>
    <t>Aliifah nursasmita</t>
  </si>
  <si>
    <t>0103717465</t>
  </si>
  <si>
    <t>ALISHA NATHA MARSELA</t>
  </si>
  <si>
    <t xml:space="preserve">Alisha Natha Marsela </t>
  </si>
  <si>
    <t>0103349724</t>
  </si>
  <si>
    <t>ARKAN KHAIRY RAHMAN</t>
  </si>
  <si>
    <t>Arkan Khairy Rahman</t>
  </si>
  <si>
    <t>0092780358</t>
  </si>
  <si>
    <t>AYU ARIYANTI</t>
  </si>
  <si>
    <t xml:space="preserve">Ayu Ariyanti </t>
  </si>
  <si>
    <t>0106796556</t>
  </si>
  <si>
    <t>CAHAYA SRI MAHADEWI</t>
  </si>
  <si>
    <t>0104430518</t>
  </si>
  <si>
    <t>CALVIN NAIBAHO</t>
  </si>
  <si>
    <t xml:space="preserve">Calvin Naibaho </t>
  </si>
  <si>
    <t>0098332774</t>
  </si>
  <si>
    <t>CANDRA SANI ANANDA</t>
  </si>
  <si>
    <t>candra sani ananda</t>
  </si>
  <si>
    <t>0096700921</t>
  </si>
  <si>
    <t>DAANISH SHAZIYA DESTRIAR RAHMAT</t>
  </si>
  <si>
    <t>Daanis Shaziya Destriar Rahmat</t>
  </si>
  <si>
    <t>3099740259</t>
  </si>
  <si>
    <t>DARA ELVARIA ZULIA</t>
  </si>
  <si>
    <t xml:space="preserve">Dara elvaria zulia </t>
  </si>
  <si>
    <t>3105837808</t>
  </si>
  <si>
    <t>DELLA SITI MUNAZAH MARDIAH</t>
  </si>
  <si>
    <t>0094909590</t>
  </si>
  <si>
    <t>DEVIA ANATASYA</t>
  </si>
  <si>
    <t xml:space="preserve">devia anatasya </t>
  </si>
  <si>
    <t>0092173922</t>
  </si>
  <si>
    <t>DHAFIN RAZAQA PUTRA</t>
  </si>
  <si>
    <t xml:space="preserve">Dhafin Razaqa Putra </t>
  </si>
  <si>
    <t>FIDELA DIDRIKA NARESWARI *</t>
  </si>
  <si>
    <t>FIDELA DIDRIKA NARESWARI</t>
  </si>
  <si>
    <t>Fidela Didrika Nareswari</t>
  </si>
  <si>
    <t>0095959355</t>
  </si>
  <si>
    <t>GHIANDA CETTA DESTRIANTI</t>
  </si>
  <si>
    <t xml:space="preserve">Ghianda cetta destrianti </t>
  </si>
  <si>
    <t>3104934369</t>
  </si>
  <si>
    <t>GRACE RACHEL</t>
  </si>
  <si>
    <t xml:space="preserve">Grace rachel </t>
  </si>
  <si>
    <t>0093796158</t>
  </si>
  <si>
    <t>HARTA AL KINDI</t>
  </si>
  <si>
    <t>Harta Alkindi</t>
  </si>
  <si>
    <t>0099717769</t>
  </si>
  <si>
    <t>HELGA DESNATALIA ZEGA **</t>
  </si>
  <si>
    <t>HELGA DESNATALIA ZEGA</t>
  </si>
  <si>
    <t xml:space="preserve">HELGA DESNATALIA ZEGA </t>
  </si>
  <si>
    <t>0105807615</t>
  </si>
  <si>
    <t>ISAIAH KENNETH ONGGELENG</t>
  </si>
  <si>
    <t>Isaiah Kenneth Onggeleng</t>
  </si>
  <si>
    <t>0108284559</t>
  </si>
  <si>
    <t>KAMELIA ARBA INARUS</t>
  </si>
  <si>
    <t>Kamelia arba inarus</t>
  </si>
  <si>
    <t>0104062616</t>
  </si>
  <si>
    <t>KEYLA PUTRI APRILIA</t>
  </si>
  <si>
    <t xml:space="preserve">Keyla Putri Aprilia </t>
  </si>
  <si>
    <t>0107159648</t>
  </si>
  <si>
    <t>LAYLA NUR ANNISAH</t>
  </si>
  <si>
    <t>Layla Nur Annisah</t>
  </si>
  <si>
    <t>0098464619</t>
  </si>
  <si>
    <t>MOCHAMAD IRWAN BEARLIANA</t>
  </si>
  <si>
    <t>M.Levidhya Kerta Pratama 60</t>
  </si>
  <si>
    <t>0099445241</t>
  </si>
  <si>
    <t>MUHAMAD BAGAS JULIAN FAHREZI</t>
  </si>
  <si>
    <t>MOCHAMAD IRWAN BEARLIANA 56</t>
  </si>
  <si>
    <t>0105108878</t>
  </si>
  <si>
    <t>MUHAMMAD LEVIDHYA KERTYA PRATAMA</t>
  </si>
  <si>
    <t>muhamad bagas julian 84</t>
  </si>
  <si>
    <t>0108380586</t>
  </si>
  <si>
    <t>MUHAMMAD NUR GHANI</t>
  </si>
  <si>
    <t xml:space="preserve">Muhammad nur ghani </t>
  </si>
  <si>
    <t>0095300849</t>
  </si>
  <si>
    <t>MUHAMMAD REZKY SAID PUTRA RAMADHAN</t>
  </si>
  <si>
    <t xml:space="preserve">Muhammad Rezky Said Putra </t>
  </si>
  <si>
    <t>0094789529</t>
  </si>
  <si>
    <t>MUTIARA RAHMADEWI</t>
  </si>
  <si>
    <t xml:space="preserve">Mutiara Rahmadewi </t>
  </si>
  <si>
    <t>0098911128</t>
  </si>
  <si>
    <t>NAFISAH NAILAL HUSNA</t>
  </si>
  <si>
    <t>Nafisah Nailal Husna</t>
  </si>
  <si>
    <t>0104468091</t>
  </si>
  <si>
    <t>NAILA IKRIMATUN NISA</t>
  </si>
  <si>
    <t>Naila Ikrimatun Nisa</t>
  </si>
  <si>
    <t>0101695135</t>
  </si>
  <si>
    <t>NATASYA AMELIA PUTRI</t>
  </si>
  <si>
    <t>Natasya Amelia Putri</t>
  </si>
  <si>
    <t>0099405495</t>
  </si>
  <si>
    <t>NAZWA NUR AMELIA</t>
  </si>
  <si>
    <t>Nazwa nur amelia</t>
  </si>
  <si>
    <t>0096265739</t>
  </si>
  <si>
    <t>PUTRA PERMANA SIDIK</t>
  </si>
  <si>
    <t xml:space="preserve">Putra Permana sidik </t>
  </si>
  <si>
    <t>0092976783</t>
  </si>
  <si>
    <t>QONITA NAILA HAZNA</t>
  </si>
  <si>
    <t xml:space="preserve">Qonita Naila Hazna </t>
  </si>
  <si>
    <t>0091854312</t>
  </si>
  <si>
    <t>RAAFI DWI PRADIPTA</t>
  </si>
  <si>
    <t xml:space="preserve">Raafi dwi Pradipta </t>
  </si>
  <si>
    <t>0093910542</t>
  </si>
  <si>
    <t>RASYA PRIATNA PUTRA</t>
  </si>
  <si>
    <t xml:space="preserve">Rasya Priatna Putra </t>
  </si>
  <si>
    <t>0109568036</t>
  </si>
  <si>
    <t>REYHAN FAJAR JUNIAN</t>
  </si>
  <si>
    <t>Reyhan Fajar Junian</t>
  </si>
  <si>
    <t>0104732085</t>
  </si>
  <si>
    <t>REZQI NURASSYIFA RAMADHANI</t>
  </si>
  <si>
    <t>Rezqi nurassyifa ramadhani</t>
  </si>
  <si>
    <t>0107321707</t>
  </si>
  <si>
    <t>RIFKI RADITYA</t>
  </si>
  <si>
    <t xml:space="preserve">Rifki Raditya </t>
  </si>
  <si>
    <t>0092574917</t>
  </si>
  <si>
    <t>RISKI JULIANSYAH</t>
  </si>
  <si>
    <t xml:space="preserve">Riski Juliansyah </t>
  </si>
  <si>
    <t>0103181045</t>
  </si>
  <si>
    <t>RISMA ANZANI FITRIANI</t>
  </si>
  <si>
    <t xml:space="preserve">risma anzani fitriani </t>
  </si>
  <si>
    <t>0096278562</t>
  </si>
  <si>
    <t>RIYANI RAHMADANI</t>
  </si>
  <si>
    <t xml:space="preserve">Riyani Rahmadani </t>
  </si>
  <si>
    <t>0096561146</t>
  </si>
  <si>
    <t>SABRINA NOVANTI</t>
  </si>
  <si>
    <t>Sabrina Novanti</t>
  </si>
  <si>
    <t>0093627667</t>
  </si>
  <si>
    <t>SISIL NOVITA HEMANINGSIH</t>
  </si>
  <si>
    <t>Sisil novita hemaningsih</t>
  </si>
  <si>
    <t>0096456159</t>
  </si>
  <si>
    <t>SITI MARWAH SOLIHAH</t>
  </si>
  <si>
    <t xml:space="preserve">Siti Marwah solihah </t>
  </si>
  <si>
    <t>0096593185</t>
  </si>
  <si>
    <t>SYAHRIEL AL MULKHIANSYAH</t>
  </si>
  <si>
    <t xml:space="preserve">SYAHRIEL ALMUKHNIANSYAH </t>
  </si>
  <si>
    <t>SYAHRIEL ALMUKHNIANSYAH</t>
  </si>
  <si>
    <t>0109791707</t>
  </si>
  <si>
    <t>SYERA AURELIA AZAHRA AZKIYA KURNIAWAN</t>
  </si>
  <si>
    <t>Syera Aurelia</t>
  </si>
  <si>
    <t>3091779992</t>
  </si>
  <si>
    <t>WULAN AULIA</t>
  </si>
  <si>
    <t>Wulan Aulia</t>
  </si>
  <si>
    <t>Jl. Melong Raya No. 172 Tlp. 022 6010934 Cijerah - Cimahi selatan 40534</t>
  </si>
  <si>
    <t>web : www.sman6cimahi.sch.id ; email : sma6cimahi@yahoo.com</t>
  </si>
  <si>
    <t>NSS : 301020903016 - NPSN : 20224108</t>
  </si>
  <si>
    <t>DAFTAR SISWA</t>
  </si>
  <si>
    <t>TAHUN PELAJARAN 2019/2020</t>
  </si>
  <si>
    <t xml:space="preserve">KELAS XII IPS 1 </t>
  </si>
  <si>
    <t xml:space="preserve">WALI KELAS : </t>
  </si>
  <si>
    <t>NO</t>
  </si>
  <si>
    <t>ASAL KELAS</t>
  </si>
  <si>
    <t>ASAL SMP</t>
  </si>
  <si>
    <t>KET</t>
  </si>
  <si>
    <t>KELAS</t>
  </si>
  <si>
    <t xml:space="preserve">0023519774 </t>
  </si>
  <si>
    <t>X'IIS.5</t>
  </si>
  <si>
    <t>AKMAL ABDUL ARIK</t>
  </si>
  <si>
    <t>SMP NEGERI 23 BANDUNG</t>
  </si>
  <si>
    <t>XI.IPS.1</t>
  </si>
  <si>
    <t xml:space="preserve">0021254757 </t>
  </si>
  <si>
    <t>X'S.1</t>
  </si>
  <si>
    <t>ALIYAH ZAHRA FITRIA</t>
  </si>
  <si>
    <t>XI.IPS.2</t>
  </si>
  <si>
    <t xml:space="preserve">0022375564 </t>
  </si>
  <si>
    <t>X'S.4</t>
  </si>
  <si>
    <t>ANITA DIAN VANESA</t>
  </si>
  <si>
    <t>XI.IPS.3</t>
  </si>
  <si>
    <t xml:space="preserve">0021899558 </t>
  </si>
  <si>
    <t>X'S.2</t>
  </si>
  <si>
    <t>ANNISA SHOLEHATI</t>
  </si>
  <si>
    <t>XI.IPS.4</t>
  </si>
  <si>
    <t xml:space="preserve">0010546159 </t>
  </si>
  <si>
    <t>X'S.3</t>
  </si>
  <si>
    <t>ARGI SEPTI ALAMSYAH</t>
  </si>
  <si>
    <t>SMP PASUNDAN 2 CIMAHI</t>
  </si>
  <si>
    <t>XI.IPS.5</t>
  </si>
  <si>
    <t xml:space="preserve">0020830227 </t>
  </si>
  <si>
    <t>ARTHA NATAHAMIDJAJA S</t>
  </si>
  <si>
    <t>SMP NEGERI 10 CIMAHI</t>
  </si>
  <si>
    <t xml:space="preserve">0022384199 </t>
  </si>
  <si>
    <t>DESI FITRIANTI LESTARI</t>
  </si>
  <si>
    <t xml:space="preserve">0026198483 </t>
  </si>
  <si>
    <t>DIANDRA MAHARANI REZAPUTRI F</t>
  </si>
  <si>
    <t>SMP NEGERI 3 MARGAHAYU</t>
  </si>
  <si>
    <t xml:space="preserve">Daftar Tunggu </t>
  </si>
  <si>
    <t xml:space="preserve">0017053964 </t>
  </si>
  <si>
    <t>ESTER KOMALA</t>
  </si>
  <si>
    <t>SMP NEGERI 4 CMAHI</t>
  </si>
  <si>
    <t>Dinda Ayu Zharfa</t>
  </si>
  <si>
    <t xml:space="preserve">0015697332 </t>
  </si>
  <si>
    <t>FAHMI ASEP RAHMAN</t>
  </si>
  <si>
    <t>Muhammad Rafi Shiddiq</t>
  </si>
  <si>
    <t xml:space="preserve">0028533793 </t>
  </si>
  <si>
    <t>FANDAN NIKE CITRA AURIL</t>
  </si>
  <si>
    <t>Adie Dinatha</t>
  </si>
  <si>
    <t>Lunas</t>
  </si>
  <si>
    <t xml:space="preserve">0015856011 </t>
  </si>
  <si>
    <t>FARAH CANTIKA WIDIANTY</t>
  </si>
  <si>
    <t>SMP HIKMAH TELADAN</t>
  </si>
  <si>
    <t>Mochammad Ridwan</t>
  </si>
  <si>
    <t xml:space="preserve">0005340265 </t>
  </si>
  <si>
    <t>FEBRIO VALENTINO</t>
  </si>
  <si>
    <t>SMP NEGERI 25 BANDUNG</t>
  </si>
  <si>
    <t>Mochamad Ra'fi Rinaldi</t>
  </si>
  <si>
    <t xml:space="preserve">0020756993 </t>
  </si>
  <si>
    <t>INDI WARISNA YULIANA</t>
  </si>
  <si>
    <t>SMP PGRI 1 CIMAHI</t>
  </si>
  <si>
    <t>RIZKI TAUFIK NUGRAHA</t>
  </si>
  <si>
    <t xml:space="preserve">0028511650 </t>
  </si>
  <si>
    <t>INEKE SHINTIA DEWI</t>
  </si>
  <si>
    <t>SMP NEGERI 15 BANDUNG</t>
  </si>
  <si>
    <t xml:space="preserve">0021832405 </t>
  </si>
  <si>
    <t>INGGIT SRI CHAYUNI</t>
  </si>
  <si>
    <t xml:space="preserve">0001391245 </t>
  </si>
  <si>
    <t>IRMAN HERDIANSYAH</t>
  </si>
  <si>
    <t>SMP NEGERI 2 MARGAASIH</t>
  </si>
  <si>
    <t xml:space="preserve">0021832476 </t>
  </si>
  <si>
    <t>JOSHUA MUHAMAD FURQON</t>
  </si>
  <si>
    <t xml:space="preserve">0028628148 </t>
  </si>
  <si>
    <t>JUANTI YATMIKA</t>
  </si>
  <si>
    <t>SMP NEGERI 1 MARGAASIH</t>
  </si>
  <si>
    <t xml:space="preserve">0025794376 </t>
  </si>
  <si>
    <t>LOGAN AL RAHMAN</t>
  </si>
  <si>
    <t xml:space="preserve">0014819943 </t>
  </si>
  <si>
    <t>MUAMAR MUHAMMAD AJALI</t>
  </si>
  <si>
    <t xml:space="preserve">0019175805 </t>
  </si>
  <si>
    <t>MUHAMMAD ALFADILLAH MAHPUD</t>
  </si>
  <si>
    <t xml:space="preserve">0022192519 </t>
  </si>
  <si>
    <t>MUHAMMAD LUTHFAN RAMADHAN</t>
  </si>
  <si>
    <t xml:space="preserve">0024409918 </t>
  </si>
  <si>
    <t>MUR DAFFA KRESNA</t>
  </si>
  <si>
    <t xml:space="preserve">0021498805 </t>
  </si>
  <si>
    <t>NIDA ALAWIYAH</t>
  </si>
  <si>
    <t xml:space="preserve">0024888397 </t>
  </si>
  <si>
    <t>PIPIT INDRIYANI SAVITRI</t>
  </si>
  <si>
    <t xml:space="preserve">0021832469 </t>
  </si>
  <si>
    <t>PUTRI LIYANI</t>
  </si>
  <si>
    <t xml:space="preserve">0021419020 </t>
  </si>
  <si>
    <t>RAMZI SHOBARUDDIN</t>
  </si>
  <si>
    <t>SMP NEGERI 39 BANDUNG</t>
  </si>
  <si>
    <t xml:space="preserve">0027737267 </t>
  </si>
  <si>
    <t>RENDRI ZIDNY BAITUZAHRA</t>
  </si>
  <si>
    <t>SMP NEGERI 6 BANDUNG</t>
  </si>
  <si>
    <t xml:space="preserve">0023519650 </t>
  </si>
  <si>
    <t>REVI FRESTYA YOSIANA</t>
  </si>
  <si>
    <t>SMP NEGERI 2 PADALARANG</t>
  </si>
  <si>
    <t xml:space="preserve">0021899566 </t>
  </si>
  <si>
    <t>RISMI SETIANI RUBY</t>
  </si>
  <si>
    <t xml:space="preserve">0021498979 </t>
  </si>
  <si>
    <t>SELYA ALTISA NUR ASY-SYIFA</t>
  </si>
  <si>
    <t>SMP NEGERI 6 CIMAHI</t>
  </si>
  <si>
    <t xml:space="preserve">0015697434 </t>
  </si>
  <si>
    <t>SHANDY SAEPUL IHSAN</t>
  </si>
  <si>
    <t>SMP PASUNDAN 7 BANDUNG</t>
  </si>
  <si>
    <t xml:space="preserve">0022375998 </t>
  </si>
  <si>
    <t>SOPHIE ANDRIANI HABIBAH</t>
  </si>
  <si>
    <t>SMP NEGERI 36 BANDUNG</t>
  </si>
  <si>
    <t xml:space="preserve">0022639352 </t>
  </si>
  <si>
    <t>SYAILA RAHMA</t>
  </si>
  <si>
    <t xml:space="preserve">0014830324 </t>
  </si>
  <si>
    <t>TWEEDE RHAMADANIAR SUBAGIO</t>
  </si>
  <si>
    <t>LAKI-LAKI</t>
  </si>
  <si>
    <t>PEREMPUAN</t>
  </si>
  <si>
    <t>KEPALA SEKOLAH</t>
  </si>
  <si>
    <t>CIMAHI,.....................................</t>
  </si>
  <si>
    <t>Drs. MAMAN JAJAT, M.Pd.</t>
  </si>
  <si>
    <t>NIP. 196203051991031005</t>
  </si>
  <si>
    <t xml:space="preserve">KELAS XII IPS 2 </t>
  </si>
  <si>
    <t xml:space="preserve">0021498815 </t>
  </si>
  <si>
    <t>AJI WIGUNA</t>
  </si>
  <si>
    <t xml:space="preserve">0011267243 </t>
  </si>
  <si>
    <t>ANISA TIARA FITRI</t>
  </si>
  <si>
    <t xml:space="preserve">0020757330 </t>
  </si>
  <si>
    <t>APRILLIANTY AZZAHRA</t>
  </si>
  <si>
    <t xml:space="preserve">0015697374 </t>
  </si>
  <si>
    <t>AZIJAH NUR HASANAH ROSTIANI</t>
  </si>
  <si>
    <t xml:space="preserve">0022310198 </t>
  </si>
  <si>
    <t>DARRELL SYABIAN ROMERO</t>
  </si>
  <si>
    <t xml:space="preserve">0020633418 </t>
  </si>
  <si>
    <t>DESSYLVA FITRIA PUDJAWATIE</t>
  </si>
  <si>
    <t xml:space="preserve">0010529878 </t>
  </si>
  <si>
    <t>DICKY TRIANA</t>
  </si>
  <si>
    <t>SMP NEGERI 9 BANDUNG</t>
  </si>
  <si>
    <t xml:space="preserve">0023519624 </t>
  </si>
  <si>
    <t>EGI FIRMANSYAH</t>
  </si>
  <si>
    <t xml:space="preserve">0022639344 </t>
  </si>
  <si>
    <t>EGLAN PRADIPTA</t>
  </si>
  <si>
    <t xml:space="preserve">0016395361 </t>
  </si>
  <si>
    <t>ERINA SURYANI</t>
  </si>
  <si>
    <t xml:space="preserve">0021498801 </t>
  </si>
  <si>
    <t>ESTI APRILIANI</t>
  </si>
  <si>
    <t xml:space="preserve">0027177054 </t>
  </si>
  <si>
    <t>FAJAR DWI PANGESTU</t>
  </si>
  <si>
    <t xml:space="preserve">0038229115 </t>
  </si>
  <si>
    <t xml:space="preserve">FRETY FAUZIAH </t>
  </si>
  <si>
    <t>MTs NEGERI 1 BANDUNG</t>
  </si>
  <si>
    <t xml:space="preserve">0025011314 </t>
  </si>
  <si>
    <t>GHANI BAGUS SAJIWO</t>
  </si>
  <si>
    <t>SMP NEGERI 26 BANDUNG</t>
  </si>
  <si>
    <t xml:space="preserve">0022096125 </t>
  </si>
  <si>
    <t>HILMI HAMZAH</t>
  </si>
  <si>
    <t>SMP NEGERI 47 BANDUNG</t>
  </si>
  <si>
    <t xml:space="preserve">0025744813 </t>
  </si>
  <si>
    <t>IKBAL MAULANA</t>
  </si>
  <si>
    <t xml:space="preserve">0023163407 </t>
  </si>
  <si>
    <t>IKLIMA MEILATUFI AMANATUL FIRDAUSHA</t>
  </si>
  <si>
    <t xml:space="preserve">0026051561 </t>
  </si>
  <si>
    <t>INEZ DEWANTI</t>
  </si>
  <si>
    <t xml:space="preserve">0022875496 </t>
  </si>
  <si>
    <t>INTAN FAYSA FARADILLA</t>
  </si>
  <si>
    <t xml:space="preserve">0024465273 </t>
  </si>
  <si>
    <t>MEISYA LISNAWATI ANGGRAENI</t>
  </si>
  <si>
    <t xml:space="preserve">0015787803 </t>
  </si>
  <si>
    <t>MOHAMAD MIFTAHUL HASAN</t>
  </si>
  <si>
    <t xml:space="preserve">0017808836 </t>
  </si>
  <si>
    <t>MUHAMMAD MAULANA YUSUF</t>
  </si>
  <si>
    <t xml:space="preserve">0011789839 </t>
  </si>
  <si>
    <t>MUHAMMAD RAAFI FAJRI</t>
  </si>
  <si>
    <t>SMP NEGERI 29 BANDUNG</t>
  </si>
  <si>
    <t xml:space="preserve">0027187119 </t>
  </si>
  <si>
    <t>NENG NURI AMALIA</t>
  </si>
  <si>
    <t xml:space="preserve">0015773644 </t>
  </si>
  <si>
    <t>NOVI INTAN TIANA</t>
  </si>
  <si>
    <t xml:space="preserve">0014819652 </t>
  </si>
  <si>
    <t>OSMA OKTAVIANI</t>
  </si>
  <si>
    <t xml:space="preserve">0015251100 </t>
  </si>
  <si>
    <t>RAFA AISHA PUTRI SURYANA</t>
  </si>
  <si>
    <t>MTs AL ISTIQOMAH</t>
  </si>
  <si>
    <t xml:space="preserve">0015210082 </t>
  </si>
  <si>
    <t xml:space="preserve">ROFI UMMIYYAH </t>
  </si>
  <si>
    <t xml:space="preserve">0015623664 </t>
  </si>
  <si>
    <t>RYAN ISKANDAR PRATAMA</t>
  </si>
  <si>
    <t xml:space="preserve">0024932629 </t>
  </si>
  <si>
    <t>SABILA MUFIDAH</t>
  </si>
  <si>
    <t xml:space="preserve">0015697368 </t>
  </si>
  <si>
    <t>SHAFA LUTHFIAH NURLAELI</t>
  </si>
  <si>
    <t xml:space="preserve">0020757768 </t>
  </si>
  <si>
    <t>SHAFIRA PRATIWI SULISTYAWATI</t>
  </si>
  <si>
    <t>SMP NEGERI 11 CIMAHI</t>
  </si>
  <si>
    <t xml:space="preserve">0021832573 </t>
  </si>
  <si>
    <t>SILVA NURIANTY</t>
  </si>
  <si>
    <t xml:space="preserve">0001289255 </t>
  </si>
  <si>
    <t xml:space="preserve">SYIFA NABILLAH </t>
  </si>
  <si>
    <t xml:space="preserve">0014819955 </t>
  </si>
  <si>
    <t>WIDYA NUR HIDAYAH</t>
  </si>
  <si>
    <t xml:space="preserve">0023197688 </t>
  </si>
  <si>
    <t>YUGA WIJAKSANA</t>
  </si>
  <si>
    <t>SMP NEGERI 41 BANDUNG</t>
  </si>
  <si>
    <t xml:space="preserve">KELAS XII IPS 3 </t>
  </si>
  <si>
    <t xml:space="preserve">WALI KELAS </t>
  </si>
  <si>
    <t xml:space="preserve">0014830088 </t>
  </si>
  <si>
    <t>AHMAD NUR IQSAN</t>
  </si>
  <si>
    <t>SMP MUSLIMIN CIBEUREUM</t>
  </si>
  <si>
    <t xml:space="preserve">0017822128 </t>
  </si>
  <si>
    <t>ANITA DEWI</t>
  </si>
  <si>
    <t xml:space="preserve">0023455542 </t>
  </si>
  <si>
    <t>ANNISA LUTHFIANTI SOLIHAT S</t>
  </si>
  <si>
    <t xml:space="preserve">0010512806 </t>
  </si>
  <si>
    <t>ARI HARIADI PERMANA</t>
  </si>
  <si>
    <t xml:space="preserve">0020149142 </t>
  </si>
  <si>
    <t>ASYFA NUR JANAH</t>
  </si>
  <si>
    <t xml:space="preserve">0020300153 </t>
  </si>
  <si>
    <t>DELLA MARVINA</t>
  </si>
  <si>
    <t>0020633057</t>
  </si>
  <si>
    <t xml:space="preserve">DETIA AMANDA </t>
  </si>
  <si>
    <t xml:space="preserve">0015754961 </t>
  </si>
  <si>
    <t>EVI FITRIANI</t>
  </si>
  <si>
    <t xml:space="preserve">0014819659 </t>
  </si>
  <si>
    <t>FAISAL RAMDAN</t>
  </si>
  <si>
    <t xml:space="preserve">0022639709 </t>
  </si>
  <si>
    <t>FAJAR KURNIA NUGRAHA</t>
  </si>
  <si>
    <t xml:space="preserve">0027591049 </t>
  </si>
  <si>
    <t>FATHIA FARHATUNNISSA</t>
  </si>
  <si>
    <t xml:space="preserve">0015754922 </t>
  </si>
  <si>
    <t>HENDRI PRASETYA WANDI</t>
  </si>
  <si>
    <t xml:space="preserve">0029804917 </t>
  </si>
  <si>
    <t>IKBAL NUDIN</t>
  </si>
  <si>
    <t xml:space="preserve">0020757399 </t>
  </si>
  <si>
    <t>INEZ OKTAVIANI</t>
  </si>
  <si>
    <t xml:space="preserve">0020757288 </t>
  </si>
  <si>
    <t>INTAN NUR ANNISA</t>
  </si>
  <si>
    <t xml:space="preserve">0022639363 </t>
  </si>
  <si>
    <t>IRHAS DANIAL ARSY</t>
  </si>
  <si>
    <t xml:space="preserve">0023257319 </t>
  </si>
  <si>
    <t>KARISMA PARDES</t>
  </si>
  <si>
    <t xml:space="preserve">0014819964 </t>
  </si>
  <si>
    <t>LAILA NUR FITRIA</t>
  </si>
  <si>
    <t xml:space="preserve">0017118240 </t>
  </si>
  <si>
    <t>MUHAMMAD DANDI JUANDA</t>
  </si>
  <si>
    <t xml:space="preserve">0027909055 </t>
  </si>
  <si>
    <t>MUHAMMAD NAUFAL AWIYOKO</t>
  </si>
  <si>
    <t xml:space="preserve">0024982141 </t>
  </si>
  <si>
    <t>NABIEL DUTA RIZQI SOLEHUDIN</t>
  </si>
  <si>
    <t xml:space="preserve">0021498277 </t>
  </si>
  <si>
    <t>NUR ANISA</t>
  </si>
  <si>
    <t xml:space="preserve">0015957446 </t>
  </si>
  <si>
    <t>OKSHA PERMETI</t>
  </si>
  <si>
    <t>SMP NEGERI 8 CIMAHI</t>
  </si>
  <si>
    <t xml:space="preserve">0026051501 </t>
  </si>
  <si>
    <t>PUTRI DAMAYANTI PERMATASARI</t>
  </si>
  <si>
    <t xml:space="preserve">0026619414 </t>
  </si>
  <si>
    <t>RAIHAN AKMAL</t>
  </si>
  <si>
    <t xml:space="preserve">0015697339 </t>
  </si>
  <si>
    <t>RAMADHAN ADITYA NUGRAHA</t>
  </si>
  <si>
    <t xml:space="preserve">0023664918 </t>
  </si>
  <si>
    <t>RIANTI KARYA GUMILANG</t>
  </si>
  <si>
    <t xml:space="preserve">0022350550 </t>
  </si>
  <si>
    <t>SALSABILA RIRIN AGUSTINI</t>
  </si>
  <si>
    <t>MTs DARUL MAARIF</t>
  </si>
  <si>
    <t xml:space="preserve">0027578917 </t>
  </si>
  <si>
    <t>SITI WINDI SAFITRI</t>
  </si>
  <si>
    <t xml:space="preserve">0005899757 </t>
  </si>
  <si>
    <t>SIVA INDRIYANI</t>
  </si>
  <si>
    <t>SMP MULIMIN CIBEUREUM</t>
  </si>
  <si>
    <t xml:space="preserve">0029237746 </t>
  </si>
  <si>
    <t>SYAFIRA YULIANI</t>
  </si>
  <si>
    <t xml:space="preserve">0020757287 </t>
  </si>
  <si>
    <t>SYAHLA HUWAIDA ACHYAR</t>
  </si>
  <si>
    <t xml:space="preserve">0027079566 </t>
  </si>
  <si>
    <t>TRIA SITI NURJANAH</t>
  </si>
  <si>
    <t xml:space="preserve">0020757353 </t>
  </si>
  <si>
    <t>ZEIN MALIKI</t>
  </si>
  <si>
    <t>0022310179</t>
  </si>
  <si>
    <t>MUHAMMAD RAFI SHIDIQ</t>
  </si>
  <si>
    <t>SMPN 11 BANDUNG</t>
  </si>
  <si>
    <t>0022281222</t>
  </si>
  <si>
    <t>ADIE DINATHA</t>
  </si>
  <si>
    <t>SMP  YWKA BANDUNG</t>
  </si>
  <si>
    <t xml:space="preserve">KELAS XII IPS 4 </t>
  </si>
  <si>
    <t>WALI KELAS :</t>
  </si>
  <si>
    <t xml:space="preserve">0024323872 </t>
  </si>
  <si>
    <t>ADE SIFA</t>
  </si>
  <si>
    <t>SMP YPKKP BANDUNG</t>
  </si>
  <si>
    <t xml:space="preserve">0020757396 </t>
  </si>
  <si>
    <t>ANANDA TRIA KUSUMA</t>
  </si>
  <si>
    <t xml:space="preserve">0023455574 </t>
  </si>
  <si>
    <t>ANNISA NOVIYANTI</t>
  </si>
  <si>
    <t xml:space="preserve">0020168609 </t>
  </si>
  <si>
    <t>AULIA FATMA</t>
  </si>
  <si>
    <t>SMP N 41 BANDUNG</t>
  </si>
  <si>
    <t xml:space="preserve">0021832462 </t>
  </si>
  <si>
    <t>BAGAS WIDIANTO</t>
  </si>
  <si>
    <t xml:space="preserve">0021832498 </t>
  </si>
  <si>
    <t>DAELI ANNA PUTRIFOSA</t>
  </si>
  <si>
    <t xml:space="preserve">0010302604 </t>
  </si>
  <si>
    <t>DINI AGUSTINI</t>
  </si>
  <si>
    <t xml:space="preserve">0146186154 </t>
  </si>
  <si>
    <t>DWIKY MUHAMMAD TEGAR</t>
  </si>
  <si>
    <t xml:space="preserve">0022639693 </t>
  </si>
  <si>
    <t>FADLI ARDIANSYAH KUSUMAH</t>
  </si>
  <si>
    <t xml:space="preserve">0023455332 </t>
  </si>
  <si>
    <t>FATHAN ALVIVA FAMARA</t>
  </si>
  <si>
    <t xml:space="preserve">0029075713 </t>
  </si>
  <si>
    <t>FRISCA ANANDHITA</t>
  </si>
  <si>
    <t xml:space="preserve">0015697401 </t>
  </si>
  <si>
    <t>HANA NURISMAN</t>
  </si>
  <si>
    <t xml:space="preserve">0021832585 </t>
  </si>
  <si>
    <t>IFFA TAZKIA JULIANTI</t>
  </si>
  <si>
    <t xml:space="preserve">0016640267 </t>
  </si>
  <si>
    <t>ILHAM RAMANDHA PUTRA</t>
  </si>
  <si>
    <t xml:space="preserve">0022375596 </t>
  </si>
  <si>
    <t>KESY HAROMIYANI</t>
  </si>
  <si>
    <t>SMP NEGERI 2 PANGKALAN</t>
  </si>
  <si>
    <t>MIA YULIANTI</t>
  </si>
  <si>
    <t>MTs AL AMANAH</t>
  </si>
  <si>
    <t xml:space="preserve">0021832480 </t>
  </si>
  <si>
    <t>MUHAMAD IRGI</t>
  </si>
  <si>
    <t xml:space="preserve">0013023188 </t>
  </si>
  <si>
    <t>MUHAMMAD HASBI ALFARISI</t>
  </si>
  <si>
    <t xml:space="preserve">0022310187 </t>
  </si>
  <si>
    <t>MUHAMMAD ROHMANI ADDIE</t>
  </si>
  <si>
    <t xml:space="preserve">0000060991 </t>
  </si>
  <si>
    <t>PAJAR PADLILAAH</t>
  </si>
  <si>
    <t xml:space="preserve">0019448530 </t>
  </si>
  <si>
    <t>RIJKI RAMDANI</t>
  </si>
  <si>
    <t>0022619846</t>
  </si>
  <si>
    <t>SAFFIRA APRIANI</t>
  </si>
  <si>
    <t>SMP NEGERI 1 CILEUNYI</t>
  </si>
  <si>
    <t xml:space="preserve">0027335869 </t>
  </si>
  <si>
    <t>SEFTIANA ANGGARA</t>
  </si>
  <si>
    <t xml:space="preserve">0028471963 </t>
  </si>
  <si>
    <t>SIGALINGGING ARNOLD SUPRIYADI</t>
  </si>
  <si>
    <t xml:space="preserve">0028321695 </t>
  </si>
  <si>
    <t>SISKA WIDIANINGSIH</t>
  </si>
  <si>
    <t xml:space="preserve">0020757354 </t>
  </si>
  <si>
    <t>SUSILAWATI</t>
  </si>
  <si>
    <t>MTs A-ISTIKOMAH</t>
  </si>
  <si>
    <t xml:space="preserve">0021254747 </t>
  </si>
  <si>
    <t>TRINITA HERLIANA PUTRI</t>
  </si>
  <si>
    <t xml:space="preserve">0027173029 </t>
  </si>
  <si>
    <t>YOSEPH AFRYANDI SAPUTRA</t>
  </si>
  <si>
    <t xml:space="preserve">0015754926 </t>
  </si>
  <si>
    <t>YULIANINGRUM</t>
  </si>
  <si>
    <t xml:space="preserve">0018478500 </t>
  </si>
  <si>
    <t>ZHAIMA SARAH GINA</t>
  </si>
  <si>
    <t>0021832519</t>
  </si>
  <si>
    <t>MOCHAMMAD RIDWAN</t>
  </si>
  <si>
    <t>0022699654</t>
  </si>
  <si>
    <t>MOCHAMMAD RA'FI RINALDI</t>
  </si>
  <si>
    <t>SMP NEGERI 1 MANDAU</t>
  </si>
  <si>
    <t xml:space="preserve">KELAS XII IPS 5 </t>
  </si>
  <si>
    <t xml:space="preserve">0025782412 </t>
  </si>
  <si>
    <t xml:space="preserve">ALISA APRILIANI </t>
  </si>
  <si>
    <t xml:space="preserve">0017113306 </t>
  </si>
  <si>
    <t>AMELIA SEPTIANI</t>
  </si>
  <si>
    <t xml:space="preserve">0026940064 </t>
  </si>
  <si>
    <t xml:space="preserve">ANDHIKA ARDIANSYAH </t>
  </si>
  <si>
    <t xml:space="preserve">0023530965 </t>
  </si>
  <si>
    <t>ANGGI NICO JUNIARKO SILALAHI</t>
  </si>
  <si>
    <t xml:space="preserve">0021899501 </t>
  </si>
  <si>
    <t xml:space="preserve">ANNISA RIYANI DEWI </t>
  </si>
  <si>
    <t xml:space="preserve">0023535270 </t>
  </si>
  <si>
    <t>ARGEN MUHAMAD ADLI</t>
  </si>
  <si>
    <t xml:space="preserve">0015754957 </t>
  </si>
  <si>
    <t>ARUM AMALIA</t>
  </si>
  <si>
    <t xml:space="preserve">0023535292 </t>
  </si>
  <si>
    <t>AUDREY RACHELLI SENJAYA</t>
  </si>
  <si>
    <t xml:space="preserve">0014699830 </t>
  </si>
  <si>
    <t>BULAN TRISNA HAPSARI</t>
  </si>
  <si>
    <t xml:space="preserve">0020633068 </t>
  </si>
  <si>
    <t>DINA AULIA HIDAYATILLAH</t>
  </si>
  <si>
    <t xml:space="preserve">0017448559 </t>
  </si>
  <si>
    <t>EVA AFRIANI</t>
  </si>
  <si>
    <t xml:space="preserve">0023307921 </t>
  </si>
  <si>
    <t>GINA RAHMAWATI</t>
  </si>
  <si>
    <t xml:space="preserve">0021498807 </t>
  </si>
  <si>
    <t>GITA APRILIA</t>
  </si>
  <si>
    <t xml:space="preserve">9998612084 </t>
  </si>
  <si>
    <t>HARIS KURNIA</t>
  </si>
  <si>
    <t xml:space="preserve">0020756806 </t>
  </si>
  <si>
    <t>JOY FERNANDO SAGALA</t>
  </si>
  <si>
    <t>SMP MUTIARA 4</t>
  </si>
  <si>
    <t xml:space="preserve">0027180823 </t>
  </si>
  <si>
    <t>JUAN HARLI P. LUMBAN TORUAN</t>
  </si>
  <si>
    <t>SMP ADVENT CIMINDI</t>
  </si>
  <si>
    <t xml:space="preserve">0010427436 </t>
  </si>
  <si>
    <t>MOCHAMAD FAHRIEL MAULANA</t>
  </si>
  <si>
    <t xml:space="preserve">0025575301 </t>
  </si>
  <si>
    <t>MUHAMMAD RAIHAN HAFIZIN</t>
  </si>
  <si>
    <t xml:space="preserve">0023778040 </t>
  </si>
  <si>
    <t>MUHAMMAD RIZKY RAMADHAN</t>
  </si>
  <si>
    <t xml:space="preserve">0024271581 </t>
  </si>
  <si>
    <t>MUTIARA HANUM CENDANA</t>
  </si>
  <si>
    <t xml:space="preserve">0022681288 </t>
  </si>
  <si>
    <t>NISA KARIMATUL WAHIDAH</t>
  </si>
  <si>
    <t>SMP NEGERI 43 BANDUNG</t>
  </si>
  <si>
    <t xml:space="preserve">0029322893 </t>
  </si>
  <si>
    <t xml:space="preserve">NOVITA ASTRIAWAN </t>
  </si>
  <si>
    <t xml:space="preserve">0022639790 </t>
  </si>
  <si>
    <t xml:space="preserve">PUTRIE AULYA MAULYA SARIE </t>
  </si>
  <si>
    <t xml:space="preserve">0018458006 </t>
  </si>
  <si>
    <t>RAVIKAL AVILA RIFALDI</t>
  </si>
  <si>
    <t xml:space="preserve">0002629009 </t>
  </si>
  <si>
    <t>RIKI FIRMANSYAH</t>
  </si>
  <si>
    <t xml:space="preserve">0015439558 </t>
  </si>
  <si>
    <t>RIVALDI FAHMI HANANTA</t>
  </si>
  <si>
    <t xml:space="preserve">0010580227 </t>
  </si>
  <si>
    <t>RIZKY ANWAR MAULANA PUTRA</t>
  </si>
  <si>
    <t xml:space="preserve">0021554424 </t>
  </si>
  <si>
    <t>RUSYDI ABDURROHMAN</t>
  </si>
  <si>
    <t xml:space="preserve">0021832508 </t>
  </si>
  <si>
    <t>SALMA KHALIDA PUTRI</t>
  </si>
  <si>
    <t xml:space="preserve">0017671679 </t>
  </si>
  <si>
    <t>SARAH HANDOYU</t>
  </si>
  <si>
    <t>SMP ANGKASA BANDUNG</t>
  </si>
  <si>
    <t xml:space="preserve">0029225471 </t>
  </si>
  <si>
    <t>TIARA PUSPITA</t>
  </si>
  <si>
    <t xml:space="preserve">0025027406 </t>
  </si>
  <si>
    <t>YULI YULIANI</t>
  </si>
  <si>
    <t xml:space="preserve">0022032319 </t>
  </si>
  <si>
    <t>ZAHWA ANIDAPUTRI</t>
  </si>
  <si>
    <t>0023197681</t>
  </si>
  <si>
    <t>DINDA AYU ZHARFA</t>
  </si>
  <si>
    <t>0022310195</t>
  </si>
  <si>
    <t>MUHAMMAD IRFAN DZAKWAN CARSTENTIO</t>
  </si>
  <si>
    <t>SMPN 4 CIMAHI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</si>
</sst>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([$Rp-421]* #,##0_);_([$Rp-421]* \(#,##0\);_([$Rp-421]* \-_);_(@_)"/>
    <numFmt numFmtId="177" formatCode="0_ "/>
    <numFmt numFmtId="178" formatCode="0.00_ "/>
    <numFmt numFmtId="179" formatCode="0."/>
    <numFmt numFmtId="180" formatCode="yyyy\-mm\-dd"/>
  </numFmts>
  <fonts count="68">
    <font>
      <sz val="11"/>
      <color rgb="FF000000"/>
      <name val="Calibri"/>
      <charset val="134"/>
    </font>
    <font>
      <sz val="11"/>
      <name val="Calibri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b/>
      <i/>
      <sz val="8"/>
      <name val="Times New Roman"/>
      <charset val="134"/>
    </font>
    <font>
      <b/>
      <sz val="12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u/>
      <sz val="10"/>
      <name val="Calibri"/>
      <charset val="134"/>
    </font>
    <font>
      <sz val="10"/>
      <color rgb="FF000000"/>
      <name val="Calibri"/>
      <charset val="134"/>
    </font>
    <font>
      <sz val="8"/>
      <name val="Calibri"/>
      <charset val="134"/>
    </font>
    <font>
      <sz val="12"/>
      <color rgb="FF000000"/>
      <name val="Times New Roman"/>
      <charset val="134"/>
    </font>
    <font>
      <sz val="10"/>
      <color rgb="FF000000"/>
      <name val="Arial"/>
      <charset val="1"/>
    </font>
    <font>
      <sz val="11"/>
      <color rgb="FF000000"/>
      <name val="Arial"/>
      <charset val="1"/>
    </font>
    <font>
      <b/>
      <sz val="16"/>
      <color rgb="FF000000"/>
      <name val="Times New Roman"/>
      <charset val="1"/>
    </font>
    <font>
      <sz val="8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Calibri"/>
      <charset val="134"/>
    </font>
    <font>
      <sz val="10"/>
      <color rgb="FF000000"/>
      <name val="Bookman Old Style"/>
      <charset val="134"/>
    </font>
    <font>
      <sz val="10"/>
      <color rgb="FF000000"/>
      <name val="Bookman Old Style"/>
      <charset val="1"/>
    </font>
    <font>
      <sz val="10"/>
      <color rgb="FF000000"/>
      <name val="Berlin Sans FB"/>
      <charset val="1"/>
    </font>
    <font>
      <sz val="10"/>
      <color rgb="FF000000"/>
      <name val="Cambria"/>
      <charset val="1"/>
    </font>
    <font>
      <sz val="10"/>
      <color rgb="FF000000"/>
      <name val="Berlin Sans FB"/>
      <charset val="134"/>
    </font>
    <font>
      <sz val="11"/>
      <color rgb="FF000000"/>
      <name val="Berlin Sans FB"/>
      <charset val="134"/>
    </font>
    <font>
      <sz val="8"/>
      <color rgb="FF000000"/>
      <name val="Berlin Sans FB"/>
      <charset val="1"/>
    </font>
    <font>
      <sz val="9.5"/>
      <name val="Arial"/>
      <charset val="134"/>
    </font>
    <font>
      <sz val="10"/>
      <name val="Arial"/>
      <charset val="1"/>
    </font>
    <font>
      <sz val="10"/>
      <color rgb="FFFF0000"/>
      <name val="Arial"/>
      <charset val="1"/>
    </font>
    <font>
      <sz val="10"/>
      <color rgb="FF000000"/>
      <name val="Arial"/>
      <charset val="134"/>
    </font>
    <font>
      <u/>
      <sz val="10"/>
      <color rgb="FF000000"/>
      <name val="Arial"/>
      <charset val="134"/>
    </font>
    <font>
      <sz val="10"/>
      <name val="Bookman Old Style"/>
      <charset val="134"/>
    </font>
    <font>
      <sz val="10"/>
      <name val="Berlin Sans FB"/>
      <charset val="1"/>
    </font>
    <font>
      <sz val="10"/>
      <name val="Bookman Old Style"/>
      <charset val="1"/>
    </font>
    <font>
      <sz val="10"/>
      <name val="Arial"/>
      <charset val="134"/>
    </font>
    <font>
      <sz val="9"/>
      <name val="Berlin Sans FB"/>
      <charset val="1"/>
    </font>
    <font>
      <sz val="11"/>
      <name val="Arial"/>
      <charset val="1"/>
    </font>
    <font>
      <b/>
      <sz val="16"/>
      <name val="Times New Roman"/>
      <charset val="1"/>
    </font>
    <font>
      <sz val="8"/>
      <name val="Arial"/>
      <charset val="1"/>
    </font>
    <font>
      <b/>
      <sz val="10"/>
      <name val="Arial"/>
      <charset val="1"/>
    </font>
    <font>
      <b/>
      <sz val="11"/>
      <color rgb="FF000000"/>
      <name val="Arial"/>
      <charset val="134"/>
    </font>
    <font>
      <sz val="9.5"/>
      <name val="Arial"/>
      <charset val="1"/>
    </font>
    <font>
      <sz val="9"/>
      <name val="Arial"/>
      <charset val="1"/>
    </font>
    <font>
      <b/>
      <sz val="16"/>
      <name val="Arial"/>
      <charset val="1"/>
    </font>
    <font>
      <sz val="10"/>
      <color rgb="FF000000"/>
      <name val="Times New Roman"/>
      <charset val="134"/>
    </font>
    <font>
      <u/>
      <sz val="10"/>
      <name val="Arial"/>
      <charset val="134"/>
    </font>
    <font>
      <sz val="10"/>
      <name val="Calibri"/>
      <charset val="1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000000"/>
      <name val="Calibri"/>
      <charset val="1"/>
    </font>
  </fonts>
  <fills count="4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66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E0C2CD"/>
        <bgColor rgb="FFFFD8CE"/>
      </patternFill>
    </fill>
    <fill>
      <patternFill patternType="solid">
        <fgColor rgb="FFFFD8CE"/>
        <bgColor rgb="FFDEE6EF"/>
      </patternFill>
    </fill>
    <fill>
      <patternFill patternType="solid">
        <fgColor rgb="FF00A933"/>
        <bgColor rgb="FF008000"/>
      </patternFill>
    </fill>
    <fill>
      <patternFill patternType="solid">
        <fgColor rgb="FFBF819E"/>
        <bgColor rgb="FF808080"/>
      </patternFill>
    </fill>
    <fill>
      <patternFill patternType="solid">
        <fgColor rgb="FF81D41A"/>
        <bgColor rgb="FFA9D18E"/>
      </patternFill>
    </fill>
    <fill>
      <patternFill patternType="solid">
        <fgColor rgb="FFFFA6A6"/>
        <bgColor rgb="FFE0C2CD"/>
      </patternFill>
    </fill>
    <fill>
      <patternFill patternType="solid">
        <fgColor rgb="FFDEE6EF"/>
        <bgColor rgb="FFDAE3F3"/>
      </patternFill>
    </fill>
    <fill>
      <patternFill patternType="solid">
        <fgColor rgb="FFFFD428"/>
        <bgColor rgb="FFFFFF00"/>
      </patternFill>
    </fill>
    <fill>
      <patternFill patternType="solid">
        <fgColor rgb="FFA9D18E"/>
        <bgColor rgb="FFC5E0B4"/>
      </patternFill>
    </fill>
    <fill>
      <patternFill patternType="solid">
        <fgColor rgb="FFC5E0B4"/>
        <bgColor rgb="FFA9D18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34" fillId="0" borderId="0" applyBorder="0" applyAlignment="0" applyProtection="0"/>
    <xf numFmtId="44" fontId="34" fillId="0" borderId="0" applyBorder="0" applyAlignment="0" applyProtection="0"/>
    <xf numFmtId="9" fontId="0" fillId="0" borderId="0" applyBorder="0" applyProtection="0"/>
    <xf numFmtId="41" fontId="34" fillId="0" borderId="0" applyBorder="0" applyAlignment="0" applyProtection="0"/>
    <xf numFmtId="42" fontId="34" fillId="0" borderId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15" borderId="12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16" borderId="15" applyNumberFormat="0" applyAlignment="0" applyProtection="0">
      <alignment vertical="center"/>
    </xf>
    <xf numFmtId="0" fontId="57" fillId="17" borderId="16" applyNumberFormat="0" applyAlignment="0" applyProtection="0">
      <alignment vertical="center"/>
    </xf>
    <xf numFmtId="0" fontId="58" fillId="17" borderId="15" applyNumberFormat="0" applyAlignment="0" applyProtection="0">
      <alignment vertical="center"/>
    </xf>
    <xf numFmtId="0" fontId="59" fillId="18" borderId="17" applyNumberFormat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4" fillId="2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0" fontId="65" fillId="34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6" borderId="0" applyNumberFormat="0" applyBorder="0" applyAlignment="0" applyProtection="0">
      <alignment vertical="center"/>
    </xf>
    <xf numFmtId="0" fontId="65" fillId="37" borderId="0" applyNumberFormat="0" applyBorder="0" applyAlignment="0" applyProtection="0">
      <alignment vertical="center"/>
    </xf>
    <xf numFmtId="0" fontId="65" fillId="38" borderId="0" applyNumberFormat="0" applyBorder="0" applyAlignment="0" applyProtection="0">
      <alignment vertical="center"/>
    </xf>
    <xf numFmtId="0" fontId="66" fillId="39" borderId="0" applyNumberFormat="0" applyBorder="0" applyAlignment="0" applyProtection="0">
      <alignment vertical="center"/>
    </xf>
    <xf numFmtId="0" fontId="66" fillId="40" borderId="0" applyNumberFormat="0" applyBorder="0" applyAlignment="0" applyProtection="0">
      <alignment vertical="center"/>
    </xf>
    <xf numFmtId="0" fontId="65" fillId="41" borderId="0" applyNumberFormat="0" applyBorder="0" applyAlignment="0" applyProtection="0">
      <alignment vertical="center"/>
    </xf>
    <xf numFmtId="0" fontId="65" fillId="4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4" borderId="0" applyNumberFormat="0" applyBorder="0" applyAlignment="0" applyProtection="0">
      <alignment vertical="center"/>
    </xf>
    <xf numFmtId="0" fontId="65" fillId="4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7" fillId="0" borderId="0"/>
    <xf numFmtId="0" fontId="67" fillId="0" borderId="0"/>
    <xf numFmtId="0" fontId="67" fillId="0" borderId="0"/>
    <xf numFmtId="0" fontId="27" fillId="0" borderId="0"/>
  </cellStyleXfs>
  <cellXfs count="217">
    <xf numFmtId="0" fontId="0" fillId="0" borderId="0" xfId="0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2" fillId="0" borderId="0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/>
    </xf>
    <xf numFmtId="0" fontId="6" fillId="0" borderId="0" xfId="0" applyFont="1" applyAlignment="1" applyProtection="1"/>
    <xf numFmtId="0" fontId="7" fillId="2" borderId="2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176" fontId="6" fillId="2" borderId="2" xfId="0" applyNumberFormat="1" applyFont="1" applyFill="1" applyBorder="1" applyAlignment="1" applyProtection="1">
      <alignment horizontal="center" vertical="center"/>
    </xf>
    <xf numFmtId="176" fontId="7" fillId="2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/>
    </xf>
    <xf numFmtId="1" fontId="8" fillId="0" borderId="3" xfId="0" applyNumberFormat="1" applyFont="1" applyBorder="1" applyAlignment="1" applyProtection="1">
      <alignment horizontal="left" vertical="center"/>
      <protection locked="0"/>
    </xf>
    <xf numFmtId="1" fontId="8" fillId="0" borderId="2" xfId="0" applyNumberFormat="1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center" vertical="center"/>
    </xf>
    <xf numFmtId="0" fontId="8" fillId="0" borderId="0" xfId="0" applyFont="1" applyAlignment="1" applyProtection="1"/>
    <xf numFmtId="0" fontId="8" fillId="0" borderId="0" xfId="0" applyFont="1" applyAlignment="1" applyProtection="1">
      <alignment horizontal="center"/>
    </xf>
    <xf numFmtId="0" fontId="9" fillId="0" borderId="0" xfId="0" applyFont="1" applyAlignment="1" applyProtection="1"/>
    <xf numFmtId="0" fontId="6" fillId="2" borderId="2" xfId="0" applyFont="1" applyFill="1" applyBorder="1" applyAlignment="1" applyProtection="1">
      <alignment horizontal="center" vertical="center"/>
    </xf>
    <xf numFmtId="176" fontId="6" fillId="2" borderId="2" xfId="0" applyNumberFormat="1" applyFont="1" applyFill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left" vertical="center"/>
    </xf>
    <xf numFmtId="0" fontId="8" fillId="0" borderId="2" xfId="0" applyFont="1" applyBorder="1" applyAlignment="1" applyProtection="1">
      <alignment horizontal="center"/>
    </xf>
    <xf numFmtId="0" fontId="8" fillId="0" borderId="0" xfId="0" applyFont="1" applyAlignment="1" applyProtection="1">
      <alignment horizontal="left"/>
    </xf>
    <xf numFmtId="0" fontId="6" fillId="0" borderId="0" xfId="0" applyFont="1" applyAlignment="1" applyProtection="1">
      <alignment horizontal="center"/>
    </xf>
    <xf numFmtId="0" fontId="8" fillId="0" borderId="2" xfId="50" applyFont="1" applyBorder="1" applyAlignment="1" applyProtection="1">
      <alignment horizontal="center" vertical="center"/>
    </xf>
    <xf numFmtId="0" fontId="8" fillId="0" borderId="2" xfId="0" applyFont="1" applyBorder="1" applyAlignment="1" applyProtection="1"/>
    <xf numFmtId="0" fontId="8" fillId="0" borderId="0" xfId="0" applyFont="1" applyAlignment="1" applyProtection="1">
      <alignment horizontal="right"/>
    </xf>
    <xf numFmtId="0" fontId="8" fillId="0" borderId="5" xfId="0" applyFont="1" applyBorder="1" applyAlignment="1" applyProtection="1">
      <alignment horizontal="center"/>
    </xf>
    <xf numFmtId="0" fontId="7" fillId="0" borderId="0" xfId="0" applyFont="1" applyAlignment="1" applyProtection="1">
      <alignment horizontal="center"/>
    </xf>
    <xf numFmtId="0" fontId="6" fillId="3" borderId="2" xfId="0" applyFont="1" applyFill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left" vertical="center"/>
    </xf>
    <xf numFmtId="0" fontId="10" fillId="2" borderId="2" xfId="0" applyFont="1" applyFill="1" applyBorder="1" applyAlignment="1" applyProtection="1">
      <alignment horizontal="left" vertical="center"/>
    </xf>
    <xf numFmtId="0" fontId="10" fillId="0" borderId="2" xfId="0" applyFont="1" applyBorder="1" applyAlignment="1" applyProtection="1"/>
    <xf numFmtId="0" fontId="1" fillId="0" borderId="5" xfId="0" applyFont="1" applyBorder="1" applyAlignment="1" applyProtection="1">
      <alignment horizontal="center"/>
    </xf>
    <xf numFmtId="0" fontId="5" fillId="0" borderId="0" xfId="0" applyFont="1" applyAlignment="1" applyProtection="1"/>
    <xf numFmtId="0" fontId="1" fillId="0" borderId="2" xfId="0" applyFont="1" applyBorder="1" applyAlignment="1" applyProtection="1">
      <alignment horizontal="center"/>
    </xf>
    <xf numFmtId="0" fontId="1" fillId="0" borderId="2" xfId="0" applyFont="1" applyBorder="1" applyAlignment="1" applyProtection="1"/>
    <xf numFmtId="0" fontId="5" fillId="3" borderId="2" xfId="0" applyFont="1" applyFill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left" vertical="center"/>
    </xf>
    <xf numFmtId="0" fontId="1" fillId="0" borderId="2" xfId="0" applyFont="1" applyBorder="1" applyAlignment="1" applyProtection="1">
      <alignment horizontal="center" vertical="center"/>
    </xf>
    <xf numFmtId="1" fontId="8" fillId="0" borderId="2" xfId="0" applyNumberFormat="1" applyFont="1" applyBorder="1" applyAlignment="1" applyProtection="1">
      <alignment horizontal="left"/>
      <protection locked="0"/>
    </xf>
    <xf numFmtId="0" fontId="8" fillId="0" borderId="4" xfId="0" applyFont="1" applyBorder="1" applyAlignment="1" applyProtection="1">
      <alignment horizontal="center"/>
    </xf>
    <xf numFmtId="1" fontId="8" fillId="0" borderId="3" xfId="0" applyNumberFormat="1" applyFont="1" applyBorder="1" applyAlignment="1" applyProtection="1">
      <alignment horizontal="left"/>
      <protection locked="0"/>
    </xf>
    <xf numFmtId="0" fontId="8" fillId="4" borderId="4" xfId="0" applyFont="1" applyFill="1" applyBorder="1" applyAlignment="1" applyProtection="1">
      <alignment horizontal="center"/>
    </xf>
    <xf numFmtId="1" fontId="8" fillId="4" borderId="3" xfId="0" applyNumberFormat="1" applyFont="1" applyFill="1" applyBorder="1" applyAlignment="1" applyProtection="1">
      <alignment horizontal="left"/>
      <protection locked="0"/>
    </xf>
    <xf numFmtId="1" fontId="8" fillId="4" borderId="2" xfId="0" applyNumberFormat="1" applyFont="1" applyFill="1" applyBorder="1" applyAlignment="1" applyProtection="1">
      <alignment horizontal="left" vertical="center"/>
      <protection locked="0"/>
    </xf>
    <xf numFmtId="0" fontId="8" fillId="0" borderId="6" xfId="0" applyFont="1" applyBorder="1" applyAlignment="1" applyProtection="1">
      <alignment horizontal="center"/>
    </xf>
    <xf numFmtId="1" fontId="8" fillId="0" borderId="7" xfId="0" applyNumberFormat="1" applyFont="1" applyBorder="1" applyAlignment="1" applyProtection="1">
      <alignment horizontal="left"/>
      <protection locked="0"/>
    </xf>
    <xf numFmtId="1" fontId="8" fillId="0" borderId="8" xfId="0" applyNumberFormat="1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/>
    </xf>
    <xf numFmtId="0" fontId="8" fillId="0" borderId="2" xfId="50" applyFont="1" applyBorder="1" applyAlignment="1" applyProtection="1">
      <alignment vertical="center"/>
    </xf>
    <xf numFmtId="0" fontId="8" fillId="4" borderId="2" xfId="0" applyFont="1" applyFill="1" applyBorder="1" applyAlignment="1" applyProtection="1">
      <alignment horizontal="left" vertical="center"/>
    </xf>
    <xf numFmtId="0" fontId="8" fillId="4" borderId="2" xfId="50" applyFont="1" applyFill="1" applyBorder="1" applyAlignment="1" applyProtection="1">
      <alignment horizontal="center" vertical="center"/>
    </xf>
    <xf numFmtId="0" fontId="8" fillId="4" borderId="2" xfId="0" applyFont="1" applyFill="1" applyBorder="1" applyAlignment="1" applyProtection="1"/>
    <xf numFmtId="0" fontId="8" fillId="4" borderId="2" xfId="0" applyFont="1" applyFill="1" applyBorder="1" applyAlignment="1" applyProtection="1">
      <alignment horizontal="center"/>
    </xf>
    <xf numFmtId="0" fontId="8" fillId="0" borderId="8" xfId="0" applyFont="1" applyBorder="1" applyAlignment="1" applyProtection="1">
      <alignment horizontal="left" vertical="center"/>
    </xf>
    <xf numFmtId="0" fontId="8" fillId="0" borderId="8" xfId="50" applyFont="1" applyBorder="1" applyAlignment="1" applyProtection="1">
      <alignment horizontal="center" vertical="center"/>
    </xf>
    <xf numFmtId="0" fontId="10" fillId="0" borderId="2" xfId="51" applyFont="1" applyBorder="1" applyAlignment="1" applyProtection="1">
      <alignment vertical="center"/>
    </xf>
    <xf numFmtId="0" fontId="1" fillId="0" borderId="8" xfId="0" applyFont="1" applyBorder="1" applyAlignment="1" applyProtection="1">
      <alignment horizontal="center"/>
    </xf>
    <xf numFmtId="0" fontId="1" fillId="0" borderId="2" xfId="0" applyFont="1" applyBorder="1" applyAlignment="1" applyProtection="1">
      <alignment horizontal="left"/>
    </xf>
    <xf numFmtId="0" fontId="11" fillId="0" borderId="2" xfId="0" applyFont="1" applyBorder="1" applyAlignment="1" applyProtection="1">
      <alignment horizontal="left" vertical="center"/>
    </xf>
    <xf numFmtId="0" fontId="12" fillId="0" borderId="0" xfId="0" applyFont="1" applyAlignment="1" applyProtection="1"/>
    <xf numFmtId="0" fontId="13" fillId="0" borderId="0" xfId="0" applyFont="1" applyAlignment="1" applyProtection="1">
      <alignment horizontal="center" vertical="center"/>
    </xf>
    <xf numFmtId="0" fontId="13" fillId="0" borderId="0" xfId="0" applyFont="1" applyAlignment="1" applyProtection="1">
      <alignment vertical="center"/>
    </xf>
    <xf numFmtId="0" fontId="13" fillId="0" borderId="0" xfId="0" applyFont="1" applyAlignment="1" applyProtection="1">
      <alignment horizontal="center"/>
    </xf>
    <xf numFmtId="0" fontId="13" fillId="0" borderId="0" xfId="0" applyFont="1" applyAlignment="1" applyProtection="1"/>
    <xf numFmtId="0" fontId="14" fillId="0" borderId="0" xfId="55" applyFont="1" applyBorder="1" applyAlignment="1" applyProtection="1">
      <alignment horizontal="center"/>
    </xf>
    <xf numFmtId="0" fontId="15" fillId="0" borderId="0" xfId="55" applyFont="1" applyBorder="1" applyAlignment="1" applyProtection="1">
      <alignment horizontal="center"/>
    </xf>
    <xf numFmtId="0" fontId="16" fillId="0" borderId="0" xfId="55" applyFont="1" applyBorder="1" applyAlignment="1" applyProtection="1">
      <alignment horizontal="center" vertical="top" wrapText="1"/>
    </xf>
    <xf numFmtId="0" fontId="17" fillId="0" borderId="0" xfId="55" applyFont="1" applyBorder="1" applyAlignment="1" applyProtection="1">
      <alignment horizontal="center" vertical="top" wrapText="1"/>
    </xf>
    <xf numFmtId="0" fontId="13" fillId="0" borderId="0" xfId="55" applyFont="1" applyAlignment="1" applyProtection="1"/>
    <xf numFmtId="0" fontId="17" fillId="0" borderId="0" xfId="55" applyFont="1" applyAlignment="1" applyProtection="1">
      <alignment horizontal="center" vertical="center"/>
    </xf>
    <xf numFmtId="0" fontId="17" fillId="0" borderId="2" xfId="0" applyFont="1" applyBorder="1" applyAlignment="1" applyProtection="1">
      <alignment horizontal="center" vertical="center"/>
    </xf>
    <xf numFmtId="0" fontId="18" fillId="0" borderId="2" xfId="0" applyFont="1" applyBorder="1" applyAlignment="1" applyProtection="1">
      <alignment horizontal="center" vertical="center"/>
    </xf>
    <xf numFmtId="0" fontId="13" fillId="0" borderId="2" xfId="0" applyFont="1" applyBorder="1" applyAlignment="1" applyProtection="1">
      <alignment horizontal="center"/>
    </xf>
    <xf numFmtId="0" fontId="13" fillId="0" borderId="2" xfId="0" applyFont="1" applyBorder="1" applyAlignment="1" applyProtection="1"/>
    <xf numFmtId="0" fontId="19" fillId="0" borderId="2" xfId="0" applyFont="1" applyBorder="1" applyAlignment="1" applyProtection="1">
      <alignment horizontal="center" vertical="center"/>
    </xf>
    <xf numFmtId="0" fontId="19" fillId="0" borderId="9" xfId="0" applyFont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center" vertical="center"/>
    </xf>
    <xf numFmtId="0" fontId="13" fillId="0" borderId="0" xfId="55" applyFont="1" applyAlignment="1" applyProtection="1">
      <alignment horizontal="center" vertical="center"/>
    </xf>
    <xf numFmtId="0" fontId="13" fillId="0" borderId="0" xfId="55" applyFont="1" applyAlignment="1" applyProtection="1">
      <alignment horizontal="right"/>
    </xf>
    <xf numFmtId="0" fontId="20" fillId="0" borderId="2" xfId="0" applyFont="1" applyBorder="1" applyAlignment="1" applyProtection="1">
      <alignment horizontal="center" vertical="center"/>
    </xf>
    <xf numFmtId="0" fontId="21" fillId="0" borderId="2" xfId="0" applyFont="1" applyBorder="1" applyAlignment="1" applyProtection="1"/>
    <xf numFmtId="0" fontId="22" fillId="0" borderId="2" xfId="0" applyFont="1" applyBorder="1" applyAlignment="1" applyProtection="1">
      <alignment vertical="center"/>
    </xf>
    <xf numFmtId="0" fontId="21" fillId="0" borderId="2" xfId="0" applyFont="1" applyBorder="1" applyAlignment="1" applyProtection="1">
      <alignment horizontal="center"/>
    </xf>
    <xf numFmtId="0" fontId="23" fillId="0" borderId="2" xfId="0" applyFont="1" applyBorder="1" applyAlignment="1" applyProtection="1">
      <alignment horizontal="center"/>
    </xf>
    <xf numFmtId="0" fontId="24" fillId="0" borderId="2" xfId="0" applyFont="1" applyBorder="1" applyAlignment="1" applyProtection="1">
      <alignment horizontal="center"/>
    </xf>
    <xf numFmtId="0" fontId="25" fillId="0" borderId="2" xfId="0" applyFont="1" applyBorder="1" applyAlignment="1" applyProtection="1">
      <alignment vertical="center"/>
    </xf>
    <xf numFmtId="0" fontId="22" fillId="0" borderId="8" xfId="0" applyFont="1" applyBorder="1" applyAlignment="1" applyProtection="1">
      <alignment vertical="center"/>
    </xf>
    <xf numFmtId="0" fontId="21" fillId="0" borderId="2" xfId="0" applyFont="1" applyBorder="1" applyAlignment="1" applyProtection="1">
      <alignment horizontal="left"/>
    </xf>
    <xf numFmtId="0" fontId="13" fillId="0" borderId="0" xfId="0" applyFont="1" applyAlignment="1" applyProtection="1">
      <alignment horizontal="right"/>
    </xf>
    <xf numFmtId="0" fontId="13" fillId="0" borderId="0" xfId="0" applyFont="1" applyAlignment="1" applyProtection="1">
      <alignment horizontal="left" indent="11"/>
    </xf>
    <xf numFmtId="22" fontId="13" fillId="0" borderId="2" xfId="0" applyNumberFormat="1" applyFont="1" applyBorder="1" applyAlignment="1" applyProtection="1"/>
    <xf numFmtId="0" fontId="13" fillId="0" borderId="2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/>
    <xf numFmtId="22" fontId="13" fillId="0" borderId="0" xfId="0" applyNumberFormat="1" applyFont="1" applyAlignment="1" applyProtection="1"/>
    <xf numFmtId="0" fontId="26" fillId="0" borderId="0" xfId="0" applyFont="1" applyAlignment="1" applyProtection="1">
      <alignment horizontal="left"/>
    </xf>
    <xf numFmtId="0" fontId="16" fillId="0" borderId="2" xfId="0" applyFont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center"/>
    </xf>
    <xf numFmtId="0" fontId="0" fillId="0" borderId="2" xfId="0" applyBorder="1" applyAlignment="1" applyProtection="1"/>
    <xf numFmtId="10" fontId="13" fillId="0" borderId="2" xfId="0" applyNumberFormat="1" applyFont="1" applyBorder="1" applyAlignment="1" applyProtection="1">
      <alignment horizontal="center" vertical="center" wrapText="1"/>
    </xf>
    <xf numFmtId="10" fontId="27" fillId="0" borderId="2" xfId="0" applyNumberFormat="1" applyFont="1" applyBorder="1" applyAlignment="1" applyProtection="1">
      <alignment horizontal="center" vertical="center" wrapText="1"/>
    </xf>
    <xf numFmtId="0" fontId="28" fillId="0" borderId="0" xfId="0" applyFont="1" applyAlignment="1" applyProtection="1">
      <alignment horizontal="left"/>
    </xf>
    <xf numFmtId="0" fontId="27" fillId="0" borderId="2" xfId="0" applyFont="1" applyBorder="1" applyAlignment="1" applyProtection="1">
      <alignment horizontal="center" vertical="center" wrapText="1"/>
    </xf>
    <xf numFmtId="0" fontId="27" fillId="5" borderId="2" xfId="0" applyFont="1" applyFill="1" applyBorder="1" applyAlignment="1" applyProtection="1">
      <alignment horizontal="center" vertical="center" wrapText="1"/>
    </xf>
    <xf numFmtId="0" fontId="13" fillId="0" borderId="2" xfId="0" applyFont="1" applyBorder="1" applyAlignment="1" applyProtection="1">
      <alignment horizontal="left"/>
    </xf>
    <xf numFmtId="0" fontId="29" fillId="5" borderId="2" xfId="0" applyFont="1" applyFill="1" applyBorder="1" applyAlignment="1" applyProtection="1">
      <alignment horizontal="center"/>
    </xf>
    <xf numFmtId="0" fontId="13" fillId="6" borderId="2" xfId="0" applyFont="1" applyFill="1" applyBorder="1" applyAlignment="1" applyProtection="1">
      <alignment horizontal="center"/>
    </xf>
    <xf numFmtId="0" fontId="13" fillId="6" borderId="2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>
      <alignment horizontal="right" vertical="center"/>
    </xf>
    <xf numFmtId="177" fontId="13" fillId="0" borderId="0" xfId="0" applyNumberFormat="1" applyFont="1" applyAlignment="1" applyProtection="1"/>
    <xf numFmtId="178" fontId="13" fillId="0" borderId="0" xfId="0" applyNumberFormat="1" applyFont="1" applyAlignment="1" applyProtection="1">
      <alignment horizontal="center"/>
    </xf>
    <xf numFmtId="178" fontId="13" fillId="0" borderId="2" xfId="0" applyNumberFormat="1" applyFont="1" applyBorder="1" applyAlignment="1" applyProtection="1">
      <alignment horizontal="center"/>
    </xf>
    <xf numFmtId="178" fontId="13" fillId="0" borderId="2" xfId="0" applyNumberFormat="1" applyFont="1" applyBorder="1" applyAlignment="1" applyProtection="1">
      <alignment horizontal="center" vertical="center"/>
    </xf>
    <xf numFmtId="0" fontId="30" fillId="0" borderId="0" xfId="0" applyFont="1" applyAlignment="1" applyProtection="1">
      <alignment horizontal="left"/>
    </xf>
    <xf numFmtId="0" fontId="29" fillId="0" borderId="0" xfId="0" applyFont="1" applyAlignment="1" applyProtection="1">
      <alignment horizontal="left"/>
    </xf>
    <xf numFmtId="0" fontId="13" fillId="0" borderId="2" xfId="0" applyFont="1" applyBorder="1" applyAlignment="1" applyProtection="1">
      <alignment vertical="center"/>
    </xf>
    <xf numFmtId="0" fontId="31" fillId="0" borderId="2" xfId="0" applyFont="1" applyBorder="1" applyAlignment="1" applyProtection="1">
      <alignment horizontal="center" vertical="center"/>
    </xf>
    <xf numFmtId="0" fontId="32" fillId="0" borderId="2" xfId="0" applyFont="1" applyBorder="1" applyAlignment="1" applyProtection="1">
      <alignment vertical="center"/>
    </xf>
    <xf numFmtId="0" fontId="32" fillId="0" borderId="2" xfId="0" applyFont="1" applyBorder="1" applyAlignment="1" applyProtection="1">
      <alignment horizontal="center" vertical="center"/>
    </xf>
    <xf numFmtId="0" fontId="33" fillId="0" borderId="2" xfId="0" applyFont="1" applyBorder="1" applyAlignment="1" applyProtection="1">
      <alignment horizontal="center" vertical="center"/>
    </xf>
    <xf numFmtId="0" fontId="24" fillId="0" borderId="2" xfId="0" applyFont="1" applyBorder="1" applyAlignment="1" applyProtection="1">
      <alignment horizontal="center" vertical="center"/>
    </xf>
    <xf numFmtId="0" fontId="27" fillId="0" borderId="0" xfId="0" applyFont="1" applyAlignment="1" applyProtection="1">
      <alignment horizontal="center" vertical="center"/>
    </xf>
    <xf numFmtId="0" fontId="34" fillId="0" borderId="0" xfId="0" applyFont="1" applyAlignment="1" applyProtection="1">
      <alignment horizontal="right"/>
    </xf>
    <xf numFmtId="0" fontId="27" fillId="0" borderId="0" xfId="0" applyFont="1" applyAlignment="1" applyProtection="1"/>
    <xf numFmtId="0" fontId="27" fillId="0" borderId="0" xfId="0" applyFont="1" applyAlignment="1" applyProtection="1">
      <alignment horizontal="center"/>
    </xf>
    <xf numFmtId="22" fontId="13" fillId="0" borderId="2" xfId="0" applyNumberFormat="1" applyFont="1" applyBorder="1" applyAlignment="1" applyProtection="1">
      <alignment vertical="center"/>
    </xf>
    <xf numFmtId="0" fontId="0" fillId="0" borderId="2" xfId="0" applyFont="1" applyBorder="1" applyAlignment="1" applyProtection="1">
      <alignment vertical="center"/>
    </xf>
    <xf numFmtId="0" fontId="34" fillId="0" borderId="0" xfId="0" applyFont="1" applyAlignment="1" applyProtection="1">
      <alignment horizontal="left"/>
    </xf>
    <xf numFmtId="0" fontId="0" fillId="0" borderId="2" xfId="0" applyFont="1" applyBorder="1" applyAlignment="1" applyProtection="1">
      <alignment horizontal="center" vertical="center"/>
    </xf>
    <xf numFmtId="0" fontId="16" fillId="0" borderId="2" xfId="0" applyFont="1" applyBorder="1" applyAlignment="1" applyProtection="1">
      <alignment horizontal="center" wrapText="1"/>
    </xf>
    <xf numFmtId="0" fontId="13" fillId="0" borderId="2" xfId="0" applyFont="1" applyBorder="1" applyAlignment="1" applyProtection="1">
      <alignment wrapText="1"/>
    </xf>
    <xf numFmtId="0" fontId="16" fillId="0" borderId="10" xfId="0" applyFont="1" applyBorder="1" applyAlignment="1" applyProtection="1">
      <alignment horizontal="center" wrapText="1"/>
    </xf>
    <xf numFmtId="0" fontId="13" fillId="0" borderId="10" xfId="0" applyFont="1" applyBorder="1" applyAlignment="1" applyProtection="1">
      <alignment horizontal="center" vertical="center"/>
    </xf>
    <xf numFmtId="2" fontId="13" fillId="5" borderId="2" xfId="0" applyNumberFormat="1" applyFont="1" applyFill="1" applyBorder="1" applyAlignment="1" applyProtection="1">
      <alignment horizontal="center" vertical="center"/>
    </xf>
    <xf numFmtId="2" fontId="13" fillId="0" borderId="0" xfId="0" applyNumberFormat="1" applyFont="1" applyAlignment="1" applyProtection="1">
      <alignment horizontal="center" vertical="center"/>
    </xf>
    <xf numFmtId="0" fontId="35" fillId="0" borderId="2" xfId="0" applyFont="1" applyBorder="1" applyAlignment="1" applyProtection="1">
      <alignment vertical="center"/>
    </xf>
    <xf numFmtId="0" fontId="13" fillId="0" borderId="2" xfId="0" applyFont="1" applyBorder="1" applyAlignment="1" applyProtection="1">
      <alignment horizontal="center" wrapText="1"/>
    </xf>
    <xf numFmtId="0" fontId="13" fillId="0" borderId="2" xfId="3" applyNumberFormat="1" applyFont="1" applyBorder="1" applyAlignment="1" applyProtection="1">
      <alignment horizontal="center"/>
    </xf>
    <xf numFmtId="2" fontId="29" fillId="5" borderId="2" xfId="0" applyNumberFormat="1" applyFont="1" applyFill="1" applyBorder="1" applyAlignment="1" applyProtection="1">
      <alignment horizontal="center" vertical="top"/>
    </xf>
    <xf numFmtId="10" fontId="13" fillId="0" borderId="0" xfId="0" applyNumberFormat="1" applyFont="1" applyAlignment="1" applyProtection="1">
      <alignment horizontal="center"/>
    </xf>
    <xf numFmtId="10" fontId="13" fillId="0" borderId="0" xfId="0" applyNumberFormat="1" applyFont="1" applyAlignment="1" applyProtection="1"/>
    <xf numFmtId="0" fontId="32" fillId="0" borderId="0" xfId="0" applyFont="1" applyAlignment="1" applyProtection="1">
      <alignment horizontal="center" vertical="center"/>
    </xf>
    <xf numFmtId="2" fontId="29" fillId="0" borderId="0" xfId="0" applyNumberFormat="1" applyFont="1" applyAlignment="1" applyProtection="1">
      <alignment horizontal="center" vertical="top"/>
    </xf>
    <xf numFmtId="10" fontId="13" fillId="0" borderId="0" xfId="0" applyNumberFormat="1" applyFont="1" applyAlignment="1" applyProtection="1">
      <alignment horizontal="center" vertical="center"/>
    </xf>
    <xf numFmtId="0" fontId="0" fillId="0" borderId="0" xfId="0" applyAlignment="1" applyProtection="1"/>
    <xf numFmtId="0" fontId="27" fillId="0" borderId="0" xfId="0" applyFont="1" applyAlignment="1" applyProtection="1">
      <alignment vertical="center"/>
    </xf>
    <xf numFmtId="0" fontId="27" fillId="0" borderId="0" xfId="0" applyFont="1" applyAlignment="1" applyProtection="1">
      <alignment horizontal="center" wrapText="1"/>
    </xf>
    <xf numFmtId="0" fontId="36" fillId="0" borderId="0" xfId="55" applyFont="1" applyBorder="1" applyAlignment="1" applyProtection="1">
      <alignment horizontal="center"/>
    </xf>
    <xf numFmtId="0" fontId="37" fillId="0" borderId="0" xfId="55" applyFont="1" applyBorder="1" applyAlignment="1" applyProtection="1">
      <alignment horizontal="center"/>
    </xf>
    <xf numFmtId="0" fontId="38" fillId="0" borderId="0" xfId="55" applyFont="1" applyBorder="1" applyAlignment="1" applyProtection="1">
      <alignment horizontal="center" vertical="top" wrapText="1"/>
    </xf>
    <xf numFmtId="0" fontId="39" fillId="0" borderId="0" xfId="55" applyFont="1" applyBorder="1" applyAlignment="1" applyProtection="1">
      <alignment horizontal="center" vertical="top" wrapText="1"/>
    </xf>
    <xf numFmtId="0" fontId="39" fillId="0" borderId="0" xfId="55" applyFont="1" applyAlignment="1" applyProtection="1">
      <alignment horizontal="left" vertical="center"/>
    </xf>
    <xf numFmtId="0" fontId="27" fillId="0" borderId="0" xfId="55" applyFont="1" applyAlignment="1" applyProtection="1"/>
    <xf numFmtId="0" fontId="39" fillId="0" borderId="2" xfId="0" applyFont="1" applyBorder="1" applyAlignment="1" applyProtection="1">
      <alignment horizontal="center" vertical="center"/>
    </xf>
    <xf numFmtId="0" fontId="40" fillId="0" borderId="2" xfId="0" applyFont="1" applyBorder="1" applyAlignment="1" applyProtection="1">
      <alignment horizontal="center" vertical="center"/>
    </xf>
    <xf numFmtId="0" fontId="27" fillId="0" borderId="2" xfId="0" applyFont="1" applyBorder="1" applyAlignment="1" applyProtection="1">
      <alignment horizontal="center"/>
    </xf>
    <xf numFmtId="0" fontId="27" fillId="0" borderId="2" xfId="0" applyFont="1" applyBorder="1" applyAlignment="1" applyProtection="1"/>
    <xf numFmtId="0" fontId="27" fillId="4" borderId="2" xfId="0" applyFont="1" applyFill="1" applyBorder="1" applyAlignment="1" applyProtection="1">
      <alignment horizontal="center"/>
    </xf>
    <xf numFmtId="0" fontId="27" fillId="0" borderId="0" xfId="0" applyFont="1" applyAlignment="1" applyProtection="1">
      <alignment horizontal="left" vertical="center"/>
    </xf>
    <xf numFmtId="0" fontId="39" fillId="0" borderId="0" xfId="55" applyFont="1" applyAlignment="1" applyProtection="1">
      <alignment horizontal="center" vertical="center"/>
    </xf>
    <xf numFmtId="0" fontId="27" fillId="0" borderId="0" xfId="0" applyFont="1" applyAlignment="1" applyProtection="1">
      <alignment horizontal="right"/>
    </xf>
    <xf numFmtId="0" fontId="32" fillId="0" borderId="2" xfId="0" applyFont="1" applyBorder="1" applyAlignment="1" applyProtection="1"/>
    <xf numFmtId="0" fontId="27" fillId="0" borderId="0" xfId="55" applyFont="1" applyAlignment="1" applyProtection="1">
      <alignment horizontal="right"/>
    </xf>
    <xf numFmtId="0" fontId="41" fillId="0" borderId="0" xfId="0" applyFont="1" applyAlignment="1" applyProtection="1"/>
    <xf numFmtId="0" fontId="42" fillId="0" borderId="0" xfId="0" applyFont="1" applyAlignment="1" applyProtection="1"/>
    <xf numFmtId="0" fontId="29" fillId="0" borderId="9" xfId="0" applyFont="1" applyBorder="1" applyAlignment="1" applyProtection="1">
      <alignment vertical="center"/>
    </xf>
    <xf numFmtId="0" fontId="29" fillId="0" borderId="11" xfId="0" applyFont="1" applyBorder="1" applyAlignment="1" applyProtection="1">
      <alignment vertical="center"/>
    </xf>
    <xf numFmtId="0" fontId="32" fillId="0" borderId="2" xfId="0" applyFont="1" applyBorder="1" applyAlignment="1" applyProtection="1">
      <alignment horizontal="center"/>
    </xf>
    <xf numFmtId="22" fontId="27" fillId="0" borderId="2" xfId="0" applyNumberFormat="1" applyFont="1" applyBorder="1" applyAlignment="1" applyProtection="1"/>
    <xf numFmtId="0" fontId="27" fillId="0" borderId="0" xfId="0" applyFont="1" applyAlignment="1" applyProtection="1">
      <alignment horizontal="left" indent="11"/>
    </xf>
    <xf numFmtId="22" fontId="27" fillId="0" borderId="0" xfId="0" applyNumberFormat="1" applyFont="1" applyAlignment="1" applyProtection="1"/>
    <xf numFmtId="179" fontId="10" fillId="0" borderId="0" xfId="0" applyNumberFormat="1" applyFont="1" applyBorder="1" applyAlignment="1" applyProtection="1">
      <alignment vertical="center"/>
    </xf>
    <xf numFmtId="0" fontId="10" fillId="0" borderId="0" xfId="0" applyFont="1" applyBorder="1" applyAlignment="1" applyProtection="1">
      <alignment horizontal="left" vertical="center"/>
    </xf>
    <xf numFmtId="0" fontId="27" fillId="7" borderId="2" xfId="0" applyFont="1" applyFill="1" applyBorder="1" applyAlignment="1" applyProtection="1"/>
    <xf numFmtId="0" fontId="27" fillId="0" borderId="2" xfId="0" applyFont="1" applyBorder="1" applyAlignment="1" applyProtection="1">
      <alignment horizontal="center" vertical="center"/>
    </xf>
    <xf numFmtId="0" fontId="27" fillId="0" borderId="2" xfId="0" applyFont="1" applyBorder="1" applyAlignment="1" applyProtection="1">
      <alignment horizontal="center" wrapText="1"/>
    </xf>
    <xf numFmtId="0" fontId="27" fillId="8" borderId="2" xfId="0" applyFont="1" applyFill="1" applyBorder="1" applyAlignment="1" applyProtection="1"/>
    <xf numFmtId="0" fontId="27" fillId="9" borderId="2" xfId="0" applyFont="1" applyFill="1" applyBorder="1" applyAlignment="1" applyProtection="1"/>
    <xf numFmtId="0" fontId="27" fillId="4" borderId="2" xfId="0" applyFont="1" applyFill="1" applyBorder="1" applyAlignment="1" applyProtection="1"/>
    <xf numFmtId="0" fontId="27" fillId="10" borderId="2" xfId="0" applyFont="1" applyFill="1" applyBorder="1" applyAlignment="1" applyProtection="1"/>
    <xf numFmtId="0" fontId="27" fillId="11" borderId="2" xfId="0" applyFont="1" applyFill="1" applyBorder="1" applyAlignment="1" applyProtection="1"/>
    <xf numFmtId="0" fontId="27" fillId="12" borderId="2" xfId="0" applyFont="1" applyFill="1" applyBorder="1" applyAlignment="1" applyProtection="1"/>
    <xf numFmtId="0" fontId="36" fillId="0" borderId="0" xfId="55" applyFont="1" applyAlignment="1" applyProtection="1">
      <alignment horizontal="center"/>
    </xf>
    <xf numFmtId="0" fontId="43" fillId="0" borderId="0" xfId="55" applyFont="1" applyAlignment="1" applyProtection="1">
      <alignment horizontal="center"/>
    </xf>
    <xf numFmtId="0" fontId="38" fillId="0" borderId="0" xfId="55" applyFont="1" applyAlignment="1" applyProtection="1">
      <alignment horizontal="center" vertical="top" wrapText="1"/>
    </xf>
    <xf numFmtId="0" fontId="39" fillId="0" borderId="0" xfId="55" applyFont="1" applyAlignment="1" applyProtection="1">
      <alignment horizontal="center" vertical="top"/>
    </xf>
    <xf numFmtId="0" fontId="0" fillId="0" borderId="0" xfId="0" applyAlignment="1" applyProtection="1">
      <alignment horizontal="center"/>
    </xf>
    <xf numFmtId="0" fontId="27" fillId="13" borderId="2" xfId="0" applyFont="1" applyFill="1" applyBorder="1" applyAlignment="1" applyProtection="1">
      <alignment horizontal="center"/>
    </xf>
    <xf numFmtId="0" fontId="0" fillId="0" borderId="0" xfId="0" applyAlignment="1" applyProtection="1">
      <alignment horizontal="center" wrapText="1"/>
    </xf>
    <xf numFmtId="0" fontId="27" fillId="0" borderId="2" xfId="0" applyFont="1" applyBorder="1" applyAlignment="1" applyProtection="1">
      <alignment horizontal="left"/>
    </xf>
    <xf numFmtId="0" fontId="0" fillId="0" borderId="2" xfId="0" applyFont="1" applyBorder="1" applyAlignment="1" applyProtection="1">
      <alignment horizontal="left" wrapText="1"/>
    </xf>
    <xf numFmtId="1" fontId="27" fillId="0" borderId="2" xfId="0" applyNumberFormat="1" applyFont="1" applyBorder="1" applyAlignment="1" applyProtection="1">
      <alignment horizontal="center"/>
    </xf>
    <xf numFmtId="2" fontId="27" fillId="5" borderId="2" xfId="0" applyNumberFormat="1" applyFont="1" applyFill="1" applyBorder="1" applyAlignment="1" applyProtection="1">
      <alignment horizontal="center"/>
    </xf>
    <xf numFmtId="2" fontId="27" fillId="0" borderId="0" xfId="0" applyNumberFormat="1" applyFont="1" applyAlignment="1" applyProtection="1">
      <alignment horizontal="center"/>
    </xf>
    <xf numFmtId="0" fontId="0" fillId="0" borderId="0" xfId="0" applyFont="1" applyAlignment="1" applyProtection="1"/>
    <xf numFmtId="0" fontId="27" fillId="0" borderId="2" xfId="0" applyFont="1" applyBorder="1" applyAlignment="1" applyProtection="1">
      <alignment horizontal="left" wrapText="1"/>
    </xf>
    <xf numFmtId="2" fontId="34" fillId="5" borderId="2" xfId="0" applyNumberFormat="1" applyFont="1" applyFill="1" applyBorder="1" applyAlignment="1" applyProtection="1">
      <alignment horizontal="center"/>
    </xf>
    <xf numFmtId="0" fontId="44" fillId="0" borderId="2" xfId="0" applyFont="1" applyBorder="1" applyAlignment="1" applyProtection="1">
      <alignment horizontal="center" wrapText="1"/>
    </xf>
    <xf numFmtId="0" fontId="0" fillId="0" borderId="0" xfId="0" applyAlignment="1" applyProtection="1">
      <alignment horizontal="center" vertical="center"/>
    </xf>
    <xf numFmtId="177" fontId="27" fillId="0" borderId="0" xfId="0" applyNumberFormat="1" applyFont="1" applyAlignment="1" applyProtection="1">
      <alignment horizontal="center"/>
    </xf>
    <xf numFmtId="178" fontId="27" fillId="0" borderId="0" xfId="0" applyNumberFormat="1" applyFont="1" applyAlignment="1" applyProtection="1"/>
    <xf numFmtId="178" fontId="27" fillId="0" borderId="0" xfId="0" applyNumberFormat="1" applyFont="1" applyAlignment="1" applyProtection="1">
      <alignment horizontal="center"/>
    </xf>
    <xf numFmtId="178" fontId="27" fillId="0" borderId="2" xfId="0" applyNumberFormat="1" applyFont="1" applyBorder="1" applyAlignment="1" applyProtection="1">
      <alignment horizontal="center"/>
    </xf>
    <xf numFmtId="0" fontId="27" fillId="0" borderId="0" xfId="0" applyFont="1" applyBorder="1" applyAlignment="1" applyProtection="1">
      <alignment horizontal="center" vertical="center"/>
    </xf>
    <xf numFmtId="0" fontId="45" fillId="0" borderId="0" xfId="0" applyFont="1" applyAlignment="1" applyProtection="1">
      <alignment horizontal="left"/>
    </xf>
    <xf numFmtId="0" fontId="46" fillId="0" borderId="0" xfId="0" applyFont="1" applyAlignment="1" applyProtection="1"/>
    <xf numFmtId="0" fontId="27" fillId="9" borderId="0" xfId="0" applyFont="1" applyFill="1" applyAlignment="1" applyProtection="1"/>
    <xf numFmtId="0" fontId="46" fillId="0" borderId="0" xfId="0" applyFont="1" applyAlignment="1" applyProtection="1">
      <alignment horizontal="left" wrapText="1"/>
    </xf>
    <xf numFmtId="0" fontId="27" fillId="14" borderId="2" xfId="0" applyFont="1" applyFill="1" applyBorder="1" applyAlignment="1" applyProtection="1">
      <alignment horizontal="center"/>
    </xf>
    <xf numFmtId="180" fontId="27" fillId="0" borderId="2" xfId="0" applyNumberFormat="1" applyFont="1" applyBorder="1" applyAlignment="1" applyProtection="1">
      <alignment horizontal="center" vertical="center"/>
    </xf>
    <xf numFmtId="0" fontId="23" fillId="2" borderId="2" xfId="0" applyFont="1" applyFill="1" applyBorder="1" applyAlignment="1" applyProtection="1"/>
    <xf numFmtId="2" fontId="34" fillId="0" borderId="0" xfId="0" applyNumberFormat="1" applyFont="1" applyAlignment="1" applyProtection="1">
      <alignment horizontal="center"/>
    </xf>
  </cellXfs>
  <cellStyles count="5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3" xfId="50"/>
    <cellStyle name="Normal 2 3 2" xfId="51"/>
    <cellStyle name="Normal 22" xfId="52"/>
    <cellStyle name="Normal 3" xfId="53"/>
    <cellStyle name="Normal 4" xfId="54"/>
    <cellStyle name="Excel Built-in Normal" xfId="55"/>
  </cellStyles>
  <dxfs count="21">
    <dxf>
      <fill>
        <patternFill patternType="solid">
          <bgColor rgb="FFDAE3F3"/>
        </patternFill>
      </fill>
    </dxf>
    <dxf>
      <fill>
        <patternFill patternType="solid">
          <bgColor rgb="FFB4C7E7"/>
        </patternFill>
      </fill>
    </dxf>
    <dxf>
      <numFmt numFmtId="0" formatCode="General"/>
      <fill>
        <patternFill patternType="solid">
          <bgColor rgb="FFDAE3F3"/>
        </patternFill>
      </fill>
    </dxf>
    <dxf>
      <numFmt numFmtId="0" formatCode="General"/>
      <fill>
        <patternFill patternType="solid">
          <bgColor rgb="FFFFFF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7E7"/>
      <rgbColor rgb="00808080"/>
      <rgbColor rgb="009999FF"/>
      <rgbColor rgb="00993366"/>
      <rgbColor rgb="00FFFFCC"/>
      <rgbColor rgb="00DEE6EF"/>
      <rgbColor rgb="00660066"/>
      <rgbColor rgb="00FF8080"/>
      <rgbColor rgb="000066CC"/>
      <rgbColor rgb="00DAE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5E0B4"/>
      <rgbColor rgb="00FFFF66"/>
      <rgbColor rgb="00A9D18E"/>
      <rgbColor rgb="00FFA6A6"/>
      <rgbColor rgb="00E0C2CD"/>
      <rgbColor rgb="00FFD8CE"/>
      <rgbColor rgb="003366FF"/>
      <rgbColor rgb="0033CCCC"/>
      <rgbColor rgb="0081D41A"/>
      <rgbColor rgb="00FFD428"/>
      <rgbColor rgb="00FF9900"/>
      <rgbColor rgb="00FF6600"/>
      <rgbColor rgb="00666699"/>
      <rgbColor rgb="00BF819E"/>
      <rgbColor rgb="00003366"/>
      <rgbColor rgb="0000A933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35280</xdr:colOff>
      <xdr:row>6</xdr:row>
      <xdr:rowOff>65160</xdr:rowOff>
    </xdr:from>
    <xdr:to>
      <xdr:col>31</xdr:col>
      <xdr:colOff>8280</xdr:colOff>
      <xdr:row>6</xdr:row>
      <xdr:rowOff>102600</xdr:rowOff>
    </xdr:to>
    <xdr:grpSp>
      <xdr:nvGrpSpPr>
        <xdr:cNvPr id="2" name="Group 1"/>
        <xdr:cNvGrpSpPr/>
      </xdr:nvGrpSpPr>
      <xdr:grpSpPr>
        <a:xfrm>
          <a:off x="34925" y="1169670"/>
          <a:ext cx="5544185" cy="37465"/>
          <a:chOff x="35280" y="1170000"/>
          <a:chExt cx="5635800" cy="37440"/>
        </a:xfrm>
      </xdr:grpSpPr>
      <xdr:cxnSp>
        <xdr:nvCxnSpPr>
          <xdr:cNvPr id="3" name="Straight Connector 2"/>
          <xdr:cNvCxnSpPr/>
        </xdr:nvCxnSpPr>
        <xdr:spPr>
          <a:xfrm>
            <a:off x="35640" y="1188000"/>
            <a:ext cx="563580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4" name="Straight Connector 3"/>
          <xdr:cNvCxnSpPr/>
        </xdr:nvCxnSpPr>
        <xdr:spPr>
          <a:xfrm>
            <a:off x="35280" y="1170000"/>
            <a:ext cx="563436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0</xdr:row>
      <xdr:rowOff>57240</xdr:rowOff>
    </xdr:from>
    <xdr:to>
      <xdr:col>3</xdr:col>
      <xdr:colOff>729720</xdr:colOff>
      <xdr:row>4</xdr:row>
      <xdr:rowOff>104760</xdr:rowOff>
    </xdr:to>
    <xdr:pic>
      <xdr:nvPicPr>
        <xdr:cNvPr id="5" name="Picture 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7150"/>
          <a:ext cx="1087120" cy="8089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48</xdr:row>
      <xdr:rowOff>0</xdr:rowOff>
    </xdr:from>
    <xdr:to>
      <xdr:col>3</xdr:col>
      <xdr:colOff>729720</xdr:colOff>
      <xdr:row>52</xdr:row>
      <xdr:rowOff>123840</xdr:rowOff>
    </xdr:to>
    <xdr:pic>
      <xdr:nvPicPr>
        <xdr:cNvPr id="6" name="Picture 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439785"/>
          <a:ext cx="1087120" cy="8096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720</xdr:colOff>
      <xdr:row>48</xdr:row>
      <xdr:rowOff>0</xdr:rowOff>
    </xdr:from>
    <xdr:to>
      <xdr:col>3</xdr:col>
      <xdr:colOff>729720</xdr:colOff>
      <xdr:row>52</xdr:row>
      <xdr:rowOff>123840</xdr:rowOff>
    </xdr:to>
    <xdr:pic>
      <xdr:nvPicPr>
        <xdr:cNvPr id="7" name="Picture 12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439785"/>
          <a:ext cx="1087120" cy="809625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35280</xdr:colOff>
      <xdr:row>55</xdr:row>
      <xdr:rowOff>65160</xdr:rowOff>
    </xdr:from>
    <xdr:to>
      <xdr:col>31</xdr:col>
      <xdr:colOff>8280</xdr:colOff>
      <xdr:row>55</xdr:row>
      <xdr:rowOff>102600</xdr:rowOff>
    </xdr:to>
    <xdr:grpSp>
      <xdr:nvGrpSpPr>
        <xdr:cNvPr id="8" name="Group 13"/>
        <xdr:cNvGrpSpPr/>
      </xdr:nvGrpSpPr>
      <xdr:grpSpPr>
        <a:xfrm>
          <a:off x="34925" y="9771380"/>
          <a:ext cx="5544185" cy="37465"/>
          <a:chOff x="35280" y="9771840"/>
          <a:chExt cx="5635800" cy="37440"/>
        </a:xfrm>
      </xdr:grpSpPr>
      <xdr:cxnSp>
        <xdr:nvCxnSpPr>
          <xdr:cNvPr id="9" name="Straight Connector 14"/>
          <xdr:cNvCxnSpPr/>
        </xdr:nvCxnSpPr>
        <xdr:spPr>
          <a:xfrm>
            <a:off x="35640" y="9789840"/>
            <a:ext cx="563580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0" name="Straight Connector 15"/>
          <xdr:cNvCxnSpPr/>
        </xdr:nvCxnSpPr>
        <xdr:spPr>
          <a:xfrm>
            <a:off x="35280" y="9771840"/>
            <a:ext cx="563436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49</xdr:row>
      <xdr:rowOff>57240</xdr:rowOff>
    </xdr:from>
    <xdr:to>
      <xdr:col>3</xdr:col>
      <xdr:colOff>729720</xdr:colOff>
      <xdr:row>53</xdr:row>
      <xdr:rowOff>117720</xdr:rowOff>
    </xdr:to>
    <xdr:pic>
      <xdr:nvPicPr>
        <xdr:cNvPr id="11" name="Picture 1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8668385"/>
          <a:ext cx="1087120" cy="8128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35280</xdr:colOff>
      <xdr:row>114</xdr:row>
      <xdr:rowOff>65160</xdr:rowOff>
    </xdr:from>
    <xdr:to>
      <xdr:col>31</xdr:col>
      <xdr:colOff>8280</xdr:colOff>
      <xdr:row>114</xdr:row>
      <xdr:rowOff>102600</xdr:rowOff>
    </xdr:to>
    <xdr:grpSp>
      <xdr:nvGrpSpPr>
        <xdr:cNvPr id="12" name="Group 17"/>
        <xdr:cNvGrpSpPr/>
      </xdr:nvGrpSpPr>
      <xdr:grpSpPr>
        <a:xfrm>
          <a:off x="34925" y="20096480"/>
          <a:ext cx="5544185" cy="37465"/>
          <a:chOff x="35280" y="20097000"/>
          <a:chExt cx="5635800" cy="37440"/>
        </a:xfrm>
      </xdr:grpSpPr>
      <xdr:cxnSp>
        <xdr:nvCxnSpPr>
          <xdr:cNvPr id="13" name="Straight Connector 18"/>
          <xdr:cNvCxnSpPr/>
        </xdr:nvCxnSpPr>
        <xdr:spPr>
          <a:xfrm>
            <a:off x="35640" y="20115000"/>
            <a:ext cx="563580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4" name="Straight Connector 19"/>
          <xdr:cNvCxnSpPr/>
        </xdr:nvCxnSpPr>
        <xdr:spPr>
          <a:xfrm>
            <a:off x="35280" y="20097000"/>
            <a:ext cx="563436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4320</xdr:colOff>
      <xdr:row>108</xdr:row>
      <xdr:rowOff>51480</xdr:rowOff>
    </xdr:from>
    <xdr:to>
      <xdr:col>3</xdr:col>
      <xdr:colOff>733320</xdr:colOff>
      <xdr:row>112</xdr:row>
      <xdr:rowOff>98640</xdr:rowOff>
    </xdr:to>
    <xdr:sp>
      <xdr:nvSpPr>
        <xdr:cNvPr id="15" name="Picture 20"/>
        <xdr:cNvSpPr/>
      </xdr:nvSpPr>
      <xdr:spPr>
        <a:xfrm>
          <a:off x="3810" y="18978245"/>
          <a:ext cx="1087120" cy="808990"/>
        </a:xfrm>
        <a:prstGeom prst="rect">
          <a:avLst/>
        </a:prstGeom>
        <a:blipFill rotWithShape="0">
          <a:blip r:embed="rId1"/>
          <a:srcRect/>
          <a:stretch>
            <a:fillRect/>
          </a:stretch>
        </a:blipFill>
        <a:ln w="0">
          <a:noFill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/>
      </xdr:style>
      <xdr:txBody>
        <a:bodyPr lIns="90000" tIns="45000" rIns="90000" bIns="45000" anchor="t" anchorCtr="1">
          <a:noAutofit/>
        </a:bodyPr>
        <a:p>
          <a:pPr>
            <a:lnSpc>
              <a:spcPct val="100000"/>
            </a:lnSpc>
          </a:pPr>
          <a:r>
            <a:rPr lang="en-US" sz="1800" b="0" u="none" strike="noStrike">
              <a:solidFill>
                <a:srgbClr val="000000"/>
              </a:solidFill>
              <a:effectLst/>
              <a:uFillTx/>
              <a:latin typeface="Times New Roman" pitchFamily="12"/>
              <a:ea typeface="DejaVu Sans"/>
            </a:rPr>
            <a:t>Cxz </a:t>
          </a:r>
          <a:endParaRPr lang="en-US" sz="1800" b="0" u="none" strike="noStrike">
            <a:effectLst/>
            <a:uFillTx/>
            <a:latin typeface="Times New Roman" pitchFamily="1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35280</xdr:colOff>
      <xdr:row>6</xdr:row>
      <xdr:rowOff>65160</xdr:rowOff>
    </xdr:from>
    <xdr:to>
      <xdr:col>31</xdr:col>
      <xdr:colOff>9000</xdr:colOff>
      <xdr:row>6</xdr:row>
      <xdr:rowOff>102600</xdr:rowOff>
    </xdr:to>
    <xdr:grpSp>
      <xdr:nvGrpSpPr>
        <xdr:cNvPr id="15" name="Group 1"/>
        <xdr:cNvGrpSpPr/>
      </xdr:nvGrpSpPr>
      <xdr:grpSpPr>
        <a:xfrm>
          <a:off x="34925" y="1112520"/>
          <a:ext cx="3072765" cy="37465"/>
          <a:chOff x="35280" y="1112760"/>
          <a:chExt cx="3124080" cy="37440"/>
        </a:xfrm>
      </xdr:grpSpPr>
      <xdr:cxnSp>
        <xdr:nvCxnSpPr>
          <xdr:cNvPr id="16" name="Straight Connector 2"/>
          <xdr:cNvCxnSpPr/>
        </xdr:nvCxnSpPr>
        <xdr:spPr>
          <a:xfrm>
            <a:off x="36360" y="1130760"/>
            <a:ext cx="312336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17" name="Straight Connector 3"/>
          <xdr:cNvCxnSpPr/>
        </xdr:nvCxnSpPr>
        <xdr:spPr>
          <a:xfrm>
            <a:off x="35280" y="1112760"/>
            <a:ext cx="312300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0</xdr:row>
      <xdr:rowOff>57240</xdr:rowOff>
    </xdr:from>
    <xdr:to>
      <xdr:col>5</xdr:col>
      <xdr:colOff>743040</xdr:colOff>
      <xdr:row>5</xdr:row>
      <xdr:rowOff>15840</xdr:rowOff>
    </xdr:to>
    <xdr:pic>
      <xdr:nvPicPr>
        <xdr:cNvPr id="18" name="Picture 4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57150"/>
          <a:ext cx="1086485" cy="8153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35280</xdr:colOff>
      <xdr:row>73</xdr:row>
      <xdr:rowOff>65160</xdr:rowOff>
    </xdr:from>
    <xdr:to>
      <xdr:col>31</xdr:col>
      <xdr:colOff>9000</xdr:colOff>
      <xdr:row>73</xdr:row>
      <xdr:rowOff>102600</xdr:rowOff>
    </xdr:to>
    <xdr:grpSp>
      <xdr:nvGrpSpPr>
        <xdr:cNvPr id="19" name="Group 45"/>
        <xdr:cNvGrpSpPr/>
      </xdr:nvGrpSpPr>
      <xdr:grpSpPr>
        <a:xfrm>
          <a:off x="34925" y="12190095"/>
          <a:ext cx="3072765" cy="37465"/>
          <a:chOff x="35280" y="12190320"/>
          <a:chExt cx="3124080" cy="37440"/>
        </a:xfrm>
      </xdr:grpSpPr>
      <xdr:cxnSp>
        <xdr:nvCxnSpPr>
          <xdr:cNvPr id="20" name="Straight Connector 46"/>
          <xdr:cNvCxnSpPr/>
        </xdr:nvCxnSpPr>
        <xdr:spPr>
          <a:xfrm>
            <a:off x="36360" y="12208320"/>
            <a:ext cx="312336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21" name="Straight Connector 47"/>
          <xdr:cNvCxnSpPr/>
        </xdr:nvCxnSpPr>
        <xdr:spPr>
          <a:xfrm>
            <a:off x="35280" y="12190320"/>
            <a:ext cx="312300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67</xdr:row>
      <xdr:rowOff>57240</xdr:rowOff>
    </xdr:from>
    <xdr:to>
      <xdr:col>5</xdr:col>
      <xdr:colOff>743040</xdr:colOff>
      <xdr:row>72</xdr:row>
      <xdr:rowOff>15840</xdr:rowOff>
    </xdr:to>
    <xdr:pic>
      <xdr:nvPicPr>
        <xdr:cNvPr id="22" name="Picture 48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11134725"/>
          <a:ext cx="1086485" cy="81534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0</xdr:col>
      <xdr:colOff>35280</xdr:colOff>
      <xdr:row>140</xdr:row>
      <xdr:rowOff>65160</xdr:rowOff>
    </xdr:from>
    <xdr:to>
      <xdr:col>31</xdr:col>
      <xdr:colOff>9000</xdr:colOff>
      <xdr:row>140</xdr:row>
      <xdr:rowOff>102600</xdr:rowOff>
    </xdr:to>
    <xdr:grpSp>
      <xdr:nvGrpSpPr>
        <xdr:cNvPr id="23" name="Group 53"/>
        <xdr:cNvGrpSpPr/>
      </xdr:nvGrpSpPr>
      <xdr:grpSpPr>
        <a:xfrm>
          <a:off x="34925" y="23296245"/>
          <a:ext cx="3072765" cy="37465"/>
          <a:chOff x="35280" y="23296680"/>
          <a:chExt cx="3124080" cy="37440"/>
        </a:xfrm>
      </xdr:grpSpPr>
      <xdr:cxnSp>
        <xdr:nvCxnSpPr>
          <xdr:cNvPr id="24" name="Straight Connector 54"/>
          <xdr:cNvCxnSpPr/>
        </xdr:nvCxnSpPr>
        <xdr:spPr>
          <a:xfrm>
            <a:off x="36360" y="23314680"/>
            <a:ext cx="312336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  <xdr:cxnSp>
        <xdr:nvCxnSpPr>
          <xdr:cNvPr id="25" name="Straight Connector 55"/>
          <xdr:cNvCxnSpPr/>
        </xdr:nvCxnSpPr>
        <xdr:spPr>
          <a:xfrm>
            <a:off x="35280" y="23296680"/>
            <a:ext cx="3123000" cy="19800"/>
          </a:xfrm>
          <a:prstGeom prst="straightConnector1">
            <a:avLst/>
          </a:prstGeom>
          <a:ln w="9525">
            <a:solidFill>
              <a:srgbClr val="000000"/>
            </a:solidFill>
            <a:miter/>
          </a:ln>
        </xdr:spPr>
      </xdr:cxnSp>
    </xdr:grpSp>
    <xdr:clientData/>
  </xdr:twoCellAnchor>
  <xdr:twoCellAnchor editAs="oneCell">
    <xdr:from>
      <xdr:col>0</xdr:col>
      <xdr:colOff>720</xdr:colOff>
      <xdr:row>134</xdr:row>
      <xdr:rowOff>57240</xdr:rowOff>
    </xdr:from>
    <xdr:to>
      <xdr:col>5</xdr:col>
      <xdr:colOff>743040</xdr:colOff>
      <xdr:row>139</xdr:row>
      <xdr:rowOff>15840</xdr:rowOff>
    </xdr:to>
    <xdr:pic>
      <xdr:nvPicPr>
        <xdr:cNvPr id="26" name="Picture 56" descr="SPP SMA Negeri Sederajat di Jabar Gratis Tahun Depan, Swasta Dapat Subsidi  - Pelita Karawang"/>
        <xdr:cNvPicPr/>
      </xdr:nvPicPr>
      <xdr:blipFill>
        <a:blip r:embed="rId1"/>
        <a:srcRect l="11888"/>
        <a:stretch>
          <a:fillRect/>
        </a:stretch>
      </xdr:blipFill>
      <xdr:spPr>
        <a:xfrm>
          <a:off x="635" y="22240875"/>
          <a:ext cx="1086485" cy="8153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57240</xdr:colOff>
      <xdr:row>1</xdr:row>
      <xdr:rowOff>47880</xdr:rowOff>
    </xdr:from>
    <xdr:to>
      <xdr:col>2</xdr:col>
      <xdr:colOff>37440</xdr:colOff>
      <xdr:row>5</xdr:row>
      <xdr:rowOff>142620</xdr:rowOff>
    </xdr:to>
    <xdr:pic>
      <xdr:nvPicPr>
        <xdr:cNvPr id="27" name="Picture 1" descr="C:\Users\Si Gua\Downloads\logo-grey.png"/>
        <xdr:cNvPicPr/>
      </xdr:nvPicPr>
      <xdr:blipFill>
        <a:blip r:embed="rId1"/>
        <a:stretch>
          <a:fillRect/>
        </a:stretch>
      </xdr:blipFill>
      <xdr:spPr>
        <a:xfrm>
          <a:off x="384175" y="240030"/>
          <a:ext cx="851535" cy="91249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daniarsyah/Documents/proses-belajar-2025-2026/../../../../SMAN%2018%20Garut.%202021.xlsb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input"/>
      <sheetName val="tampilan print individu"/>
      <sheetName val="rekap umum"/>
      <sheetName val="pengembangan"/>
      <sheetName val="peminatan"/>
      <sheetName val="INC"/>
      <sheetName val="PROSES"/>
      <sheetName val="START"/>
      <sheetName val="data kesimpulan"/>
      <sheetName val="rekomendasi jurus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048575"/>
  <sheetViews>
    <sheetView showGridLines="0" zoomScale="110" zoomScaleNormal="110" topLeftCell="AT120" workbookViewId="0">
      <selection activeCell="AY159" sqref="AY121:AY159"/>
    </sheetView>
  </sheetViews>
  <sheetFormatPr defaultColWidth="11.5083333333333" defaultRowHeight="13.5" customHeight="1"/>
  <cols>
    <col min="1" max="1" width="4.7" style="129" customWidth="1"/>
    <col min="2" max="2" width="11.5083333333333" style="129" hidden="1"/>
    <col min="3" max="3" width="20.35" style="128" hidden="1" customWidth="1"/>
    <col min="4" max="4" width="13.35" style="150" customWidth="1"/>
    <col min="5" max="5" width="13.1583333333333" style="126" customWidth="1"/>
    <col min="6" max="7" width="19.3666666666667" style="128" hidden="1" customWidth="1"/>
    <col min="8" max="8" width="36.1916666666667" style="128" customWidth="1"/>
    <col min="9" max="9" width="25.7333333333333" style="128" hidden="1" customWidth="1"/>
    <col min="10" max="10" width="5.70833333333333" style="129" customWidth="1"/>
    <col min="11" max="11" width="24.3916666666667" style="128" hidden="1" customWidth="1"/>
    <col min="12" max="12" width="14.5166666666667" style="128" hidden="1" customWidth="1"/>
    <col min="13" max="13" width="11.5083333333333" style="128" hidden="1"/>
    <col min="14" max="14" width="6.3" style="126" hidden="1" customWidth="1"/>
    <col min="15" max="15" width="9.58333333333333" style="151" hidden="1" customWidth="1"/>
    <col min="16" max="16" width="5.70833333333333" style="128" hidden="1" customWidth="1"/>
    <col min="17" max="17" width="5.70833333333333" style="129" hidden="1" customWidth="1"/>
    <col min="18" max="18" width="8.29166666666667" style="129" hidden="1" customWidth="1"/>
    <col min="19" max="19" width="12.8583333333333" style="129" hidden="1" customWidth="1"/>
    <col min="20" max="20" width="10.5583333333333" style="129" hidden="1" customWidth="1"/>
    <col min="21" max="21" width="11.5083333333333" style="129" hidden="1"/>
    <col min="22" max="22" width="11.5083333333333" style="151" hidden="1"/>
    <col min="23" max="23" width="11.5083333333333" style="129" hidden="1"/>
    <col min="24" max="24" width="11.5083333333333" style="128" hidden="1"/>
    <col min="25" max="25" width="13.4916666666667" style="129" hidden="1" customWidth="1"/>
    <col min="26" max="27" width="11.5083333333333" style="129" hidden="1"/>
    <col min="28" max="28" width="11.2416666666667" style="129" hidden="1" customWidth="1"/>
    <col min="29" max="29" width="6.60833333333333" style="68" hidden="1" customWidth="1"/>
    <col min="30" max="30" width="6.95833333333333" style="129" hidden="1" customWidth="1"/>
    <col min="31" max="31" width="8.1" style="128" hidden="1" customWidth="1"/>
    <col min="32" max="32" width="9.60833333333333" style="129" customWidth="1"/>
    <col min="33" max="37" width="11.5083333333333" style="129"/>
    <col min="38" max="38" width="5.20833333333333" style="128" customWidth="1"/>
    <col min="39" max="42" width="11.5083333333333" style="128"/>
    <col min="43" max="43" width="11.5083333333333" style="126"/>
    <col min="44" max="51" width="11.5083333333333" style="128"/>
    <col min="52" max="52" width="34.8833333333333" style="128" customWidth="1"/>
    <col min="53" max="53" width="35.625" style="128" customWidth="1"/>
    <col min="54" max="16384" width="11.5083333333333" style="128"/>
  </cols>
  <sheetData>
    <row r="1" customHeight="1" spans="1:19">
      <c r="A1" s="152" t="s">
        <v>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87"/>
    </row>
    <row r="2" customHeight="1" spans="1:19">
      <c r="A2" s="152" t="s">
        <v>1</v>
      </c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87"/>
    </row>
    <row r="3" customHeight="1" spans="1:19">
      <c r="A3" s="152" t="s">
        <v>2</v>
      </c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87"/>
    </row>
    <row r="4" ht="19.5" customHeight="1" spans="1:19">
      <c r="A4" s="153" t="s">
        <v>3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88"/>
    </row>
    <row r="5" customHeight="1" spans="1:19">
      <c r="A5" s="154" t="s">
        <v>4</v>
      </c>
      <c r="B5" s="154"/>
      <c r="C5" s="154"/>
      <c r="D5" s="154"/>
      <c r="E5" s="154"/>
      <c r="F5" s="154"/>
      <c r="G5" s="154"/>
      <c r="H5" s="154"/>
      <c r="I5" s="154"/>
      <c r="J5" s="154"/>
      <c r="K5" s="154"/>
      <c r="L5" s="154"/>
      <c r="M5" s="154"/>
      <c r="N5" s="154"/>
      <c r="O5" s="154"/>
      <c r="P5" s="154"/>
      <c r="Q5" s="154"/>
      <c r="R5" s="154"/>
      <c r="S5" s="189"/>
    </row>
    <row r="6" customHeight="1" spans="1:19">
      <c r="A6" s="154"/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154"/>
      <c r="N6" s="154"/>
      <c r="O6" s="154"/>
      <c r="P6" s="154"/>
      <c r="Q6" s="154"/>
      <c r="R6" s="154"/>
      <c r="S6" s="189"/>
    </row>
    <row r="7" customHeight="1" spans="1:19">
      <c r="A7" s="154"/>
      <c r="B7" s="154"/>
      <c r="C7" s="154"/>
      <c r="D7" s="154"/>
      <c r="E7" s="154"/>
      <c r="F7" s="154"/>
      <c r="G7" s="154"/>
      <c r="H7" s="154"/>
      <c r="I7" s="154"/>
      <c r="J7" s="154"/>
      <c r="K7" s="154"/>
      <c r="L7" s="154"/>
      <c r="M7" s="154"/>
      <c r="N7" s="154"/>
      <c r="O7" s="154"/>
      <c r="P7" s="154"/>
      <c r="Q7" s="154"/>
      <c r="R7" s="154"/>
      <c r="S7" s="189"/>
    </row>
    <row r="8" customHeight="1" spans="1:19">
      <c r="A8" s="155" t="s">
        <v>5</v>
      </c>
      <c r="B8" s="155"/>
      <c r="C8" s="155"/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90"/>
    </row>
    <row r="9" customHeight="1" spans="1:19">
      <c r="A9" s="155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90"/>
    </row>
    <row r="10" customHeight="1" spans="1:11">
      <c r="A10" s="156"/>
      <c r="B10" s="157"/>
      <c r="F10" s="157"/>
      <c r="G10" s="157"/>
      <c r="H10" s="165"/>
      <c r="I10" s="157"/>
      <c r="J10" s="168"/>
      <c r="K10" s="169"/>
    </row>
    <row r="11" customHeight="1" spans="1:15">
      <c r="A11" s="156" t="s">
        <v>6</v>
      </c>
      <c r="B11" s="157"/>
      <c r="F11" s="157"/>
      <c r="G11" s="157"/>
      <c r="I11" s="157" t="s">
        <v>7</v>
      </c>
      <c r="J11" s="165" t="s">
        <v>8</v>
      </c>
      <c r="K11" s="170"/>
      <c r="L11" s="171"/>
      <c r="N11" s="150"/>
      <c r="O11" s="177" t="s">
        <v>9</v>
      </c>
    </row>
    <row r="12" s="126" customFormat="1" ht="24" customHeight="1" spans="1:51">
      <c r="A12" s="158" t="s">
        <v>10</v>
      </c>
      <c r="B12" s="158" t="s">
        <v>11</v>
      </c>
      <c r="C12" s="159" t="s">
        <v>12</v>
      </c>
      <c r="D12" s="159" t="s">
        <v>13</v>
      </c>
      <c r="E12" s="159" t="s">
        <v>14</v>
      </c>
      <c r="F12" s="159" t="s">
        <v>15</v>
      </c>
      <c r="G12" s="159" t="s">
        <v>16</v>
      </c>
      <c r="H12" s="159" t="s">
        <v>17</v>
      </c>
      <c r="I12" s="159" t="s">
        <v>18</v>
      </c>
      <c r="J12" s="159" t="s">
        <v>19</v>
      </c>
      <c r="K12" s="159" t="s">
        <v>20</v>
      </c>
      <c r="L12" s="159" t="s">
        <v>21</v>
      </c>
      <c r="M12" s="158" t="s">
        <v>22</v>
      </c>
      <c r="N12" s="158" t="s">
        <v>23</v>
      </c>
      <c r="O12" s="107" t="s">
        <v>24</v>
      </c>
      <c r="P12" s="107" t="s">
        <v>25</v>
      </c>
      <c r="Q12" s="107" t="s">
        <v>26</v>
      </c>
      <c r="R12" s="107" t="s">
        <v>27</v>
      </c>
      <c r="S12" s="107" t="s">
        <v>28</v>
      </c>
      <c r="T12" s="107" t="s">
        <v>29</v>
      </c>
      <c r="U12" s="179" t="s">
        <v>30</v>
      </c>
      <c r="V12" s="107" t="s">
        <v>31</v>
      </c>
      <c r="W12" s="107" t="s">
        <v>32</v>
      </c>
      <c r="X12" s="179" t="s">
        <v>33</v>
      </c>
      <c r="Y12" s="179" t="s">
        <v>34</v>
      </c>
      <c r="Z12" s="179" t="s">
        <v>35</v>
      </c>
      <c r="AA12" s="179" t="s">
        <v>36</v>
      </c>
      <c r="AB12" s="107" t="s">
        <v>37</v>
      </c>
      <c r="AC12" s="104" t="s">
        <v>38</v>
      </c>
      <c r="AD12" s="105" t="s">
        <v>39</v>
      </c>
      <c r="AE12" s="107" t="s">
        <v>40</v>
      </c>
      <c r="AF12" s="108" t="s">
        <v>41</v>
      </c>
      <c r="AG12" s="101" t="s">
        <v>42</v>
      </c>
      <c r="AH12" s="179" t="s">
        <v>43</v>
      </c>
      <c r="AI12" s="179" t="s">
        <v>44</v>
      </c>
      <c r="AJ12" s="179" t="s">
        <v>45</v>
      </c>
      <c r="AK12" s="179" t="s">
        <v>46</v>
      </c>
      <c r="AL12" s="179" t="s">
        <v>47</v>
      </c>
      <c r="AM12" s="179" t="s">
        <v>48</v>
      </c>
      <c r="AN12" s="179" t="s">
        <v>49</v>
      </c>
      <c r="AO12" s="179" t="s">
        <v>50</v>
      </c>
      <c r="AP12" s="179" t="s">
        <v>51</v>
      </c>
      <c r="AQ12" s="126" t="s">
        <v>45</v>
      </c>
      <c r="AT12" s="126" t="s">
        <v>52</v>
      </c>
      <c r="AX12" s="126" t="s">
        <v>53</v>
      </c>
      <c r="AY12" s="126" t="s">
        <v>54</v>
      </c>
    </row>
    <row r="13" customHeight="1" spans="1:53">
      <c r="A13" s="160">
        <v>1</v>
      </c>
      <c r="B13" s="160">
        <v>1</v>
      </c>
      <c r="C13" s="161" t="s">
        <v>55</v>
      </c>
      <c r="D13" s="124">
        <v>242510162</v>
      </c>
      <c r="E13" s="124" t="s">
        <v>56</v>
      </c>
      <c r="F13" s="161" t="s">
        <v>57</v>
      </c>
      <c r="G13" s="161" t="s">
        <v>58</v>
      </c>
      <c r="H13" s="166" t="s">
        <v>59</v>
      </c>
      <c r="I13" s="161" t="s">
        <v>60</v>
      </c>
      <c r="J13" s="172" t="s">
        <v>61</v>
      </c>
      <c r="K13" s="86" t="s">
        <v>59</v>
      </c>
      <c r="L13" s="173">
        <v>39691</v>
      </c>
      <c r="M13" s="178" t="s">
        <v>62</v>
      </c>
      <c r="N13" s="179" t="s">
        <v>63</v>
      </c>
      <c r="O13" s="180">
        <v>100</v>
      </c>
      <c r="P13" s="161">
        <v>100</v>
      </c>
      <c r="Q13" s="160"/>
      <c r="R13" s="180">
        <v>100</v>
      </c>
      <c r="S13" s="160">
        <v>100</v>
      </c>
      <c r="T13" s="160">
        <v>100</v>
      </c>
      <c r="U13" s="160"/>
      <c r="V13" s="180">
        <v>100</v>
      </c>
      <c r="W13" s="160"/>
      <c r="X13" s="161">
        <v>100</v>
      </c>
      <c r="Y13" s="160"/>
      <c r="Z13" s="160"/>
      <c r="AA13" s="160">
        <v>2</v>
      </c>
      <c r="AB13" s="160">
        <v>98</v>
      </c>
      <c r="AC13" s="78">
        <f>SUM(AB13+X13+V13+T13+S13+R13+P13+O13)</f>
        <v>798</v>
      </c>
      <c r="AD13" s="160">
        <f>SUM(AA13+Z13+Y13+W13+U13+Q13)*100</f>
        <v>200</v>
      </c>
      <c r="AE13" s="196">
        <f>(0.8*AC13)+(0.2*AD13)</f>
        <v>678.4</v>
      </c>
      <c r="AF13" s="197">
        <f>84+((AE13-$AE$48)/($AE$47-$AE$48)*(92-84))</f>
        <v>90.0056338028169</v>
      </c>
      <c r="AG13" s="160">
        <v>100</v>
      </c>
      <c r="AH13" s="202">
        <v>100</v>
      </c>
      <c r="AI13" s="160"/>
      <c r="AJ13" s="160">
        <f>AQ13</f>
        <v>88</v>
      </c>
      <c r="AK13" s="160">
        <v>3</v>
      </c>
      <c r="AL13" s="161"/>
      <c r="AM13" s="161">
        <v>100</v>
      </c>
      <c r="AN13" s="161">
        <v>100</v>
      </c>
      <c r="AO13" s="161">
        <f>AG13+AH13+AM13+AN13</f>
        <v>400</v>
      </c>
      <c r="AP13" s="161">
        <f>AI13+AK13+AL13</f>
        <v>3</v>
      </c>
      <c r="AQ13" s="126">
        <v>88</v>
      </c>
      <c r="AR13" s="128" t="s">
        <v>64</v>
      </c>
      <c r="AT13" s="128">
        <f>(90%*AO13)+(10%*AP13*100)</f>
        <v>390</v>
      </c>
      <c r="AU13" s="204">
        <f>(AT13/$AT$48)*100</f>
        <v>82.9787234042553</v>
      </c>
      <c r="AV13" s="205">
        <f>(50%*AU13)+(50%*AQ13)</f>
        <v>85.4893617021277</v>
      </c>
      <c r="AW13" s="206">
        <f>(50%*AV13)+(50%*AF13)</f>
        <v>87.7474977524723</v>
      </c>
      <c r="AX13" s="205">
        <f>84+((AW13-$AW$49)/($AW$48-$AW$49)*(92-84))</f>
        <v>89.4992036186914</v>
      </c>
      <c r="AY13" s="207">
        <v>89.4992036186914</v>
      </c>
      <c r="AZ13" s="166" t="s">
        <v>59</v>
      </c>
      <c r="BA13" s="128" t="s">
        <v>59</v>
      </c>
    </row>
    <row r="14" customHeight="1" spans="1:53">
      <c r="A14" s="160">
        <v>2</v>
      </c>
      <c r="B14" s="160">
        <v>2</v>
      </c>
      <c r="C14" s="161" t="s">
        <v>65</v>
      </c>
      <c r="D14" s="124">
        <v>242510355</v>
      </c>
      <c r="E14" s="124" t="s">
        <v>66</v>
      </c>
      <c r="F14" s="161" t="s">
        <v>67</v>
      </c>
      <c r="G14" s="161" t="s">
        <v>68</v>
      </c>
      <c r="H14" s="166" t="s">
        <v>69</v>
      </c>
      <c r="I14" s="161" t="s">
        <v>60</v>
      </c>
      <c r="J14" s="172" t="s">
        <v>61</v>
      </c>
      <c r="K14" s="86" t="s">
        <v>69</v>
      </c>
      <c r="L14" s="173">
        <v>39698</v>
      </c>
      <c r="M14" s="181" t="s">
        <v>53</v>
      </c>
      <c r="N14" s="179" t="s">
        <v>63</v>
      </c>
      <c r="O14" s="180">
        <v>100</v>
      </c>
      <c r="P14" s="161">
        <v>100</v>
      </c>
      <c r="Q14" s="160"/>
      <c r="R14" s="180">
        <v>100</v>
      </c>
      <c r="S14" s="160">
        <v>100</v>
      </c>
      <c r="T14" s="160">
        <v>100</v>
      </c>
      <c r="U14" s="160"/>
      <c r="V14" s="180">
        <v>100</v>
      </c>
      <c r="W14" s="160"/>
      <c r="X14" s="161">
        <v>100</v>
      </c>
      <c r="Y14" s="160"/>
      <c r="Z14" s="160"/>
      <c r="AA14" s="160">
        <v>5</v>
      </c>
      <c r="AB14" s="160">
        <v>100</v>
      </c>
      <c r="AC14" s="78">
        <f>SUM(AB14+X14+V14+T14+S14+R14+P14+O14)</f>
        <v>800</v>
      </c>
      <c r="AD14" s="160">
        <f>SUM(AA14+Z14+Y14+W14+U14+Q14)*100</f>
        <v>500</v>
      </c>
      <c r="AE14" s="196">
        <f>(0.8*AC14)+(0.2*AD14)</f>
        <v>740</v>
      </c>
      <c r="AF14" s="197">
        <f>84+((AE14-$AE$48)/($AE$47-$AE$48)*(92-84))</f>
        <v>90.8732394366197</v>
      </c>
      <c r="AG14" s="160">
        <v>100</v>
      </c>
      <c r="AH14" s="160">
        <v>100</v>
      </c>
      <c r="AI14" s="160">
        <v>3</v>
      </c>
      <c r="AJ14" s="160">
        <f>AQ14</f>
        <v>94</v>
      </c>
      <c r="AK14" s="160">
        <v>5</v>
      </c>
      <c r="AL14" s="161"/>
      <c r="AM14" s="161">
        <v>100</v>
      </c>
      <c r="AN14" s="161">
        <v>100</v>
      </c>
      <c r="AO14" s="161">
        <f>AG14+AH14+AM14+AN14</f>
        <v>400</v>
      </c>
      <c r="AP14" s="161">
        <f>AI14+AK14+AL14</f>
        <v>8</v>
      </c>
      <c r="AQ14" s="126">
        <v>94</v>
      </c>
      <c r="AR14" s="128" t="s">
        <v>70</v>
      </c>
      <c r="AT14" s="128">
        <f>(90%*AO14)+(10%*AP14*100)</f>
        <v>440</v>
      </c>
      <c r="AU14" s="204">
        <f>(AT14/$AT$48)*100</f>
        <v>93.6170212765958</v>
      </c>
      <c r="AV14" s="205">
        <f>(50%*AU14)+(50%*AQ14)</f>
        <v>93.8085106382979</v>
      </c>
      <c r="AW14" s="206">
        <f>(50%*AV14)+(50%*AF14)</f>
        <v>92.3408750374588</v>
      </c>
      <c r="AX14" s="205">
        <f>84+((AW14-$AW$49)/($AW$48-$AW$49)*(92-84))</f>
        <v>92</v>
      </c>
      <c r="AY14" s="207">
        <v>92</v>
      </c>
      <c r="AZ14" s="166" t="s">
        <v>69</v>
      </c>
      <c r="BA14" s="128" t="s">
        <v>69</v>
      </c>
    </row>
    <row r="15" customHeight="1" spans="1:53">
      <c r="A15" s="160">
        <v>3</v>
      </c>
      <c r="B15" s="160">
        <v>4</v>
      </c>
      <c r="C15" s="161" t="s">
        <v>71</v>
      </c>
      <c r="D15" s="124">
        <v>242510246</v>
      </c>
      <c r="E15" s="124" t="s">
        <v>72</v>
      </c>
      <c r="F15" s="161" t="s">
        <v>73</v>
      </c>
      <c r="G15" s="161" t="s">
        <v>74</v>
      </c>
      <c r="H15" s="166" t="s">
        <v>75</v>
      </c>
      <c r="I15" s="161" t="s">
        <v>60</v>
      </c>
      <c r="J15" s="172" t="s">
        <v>76</v>
      </c>
      <c r="K15" s="86" t="s">
        <v>75</v>
      </c>
      <c r="L15" s="173">
        <v>39684</v>
      </c>
      <c r="M15" s="182" t="s">
        <v>77</v>
      </c>
      <c r="N15" s="179" t="s">
        <v>63</v>
      </c>
      <c r="O15" s="180">
        <v>100</v>
      </c>
      <c r="P15" s="161">
        <v>100</v>
      </c>
      <c r="Q15" s="160"/>
      <c r="R15" s="180">
        <v>100</v>
      </c>
      <c r="S15" s="160">
        <v>100</v>
      </c>
      <c r="T15" s="160">
        <v>100</v>
      </c>
      <c r="U15" s="160"/>
      <c r="V15" s="180">
        <v>100</v>
      </c>
      <c r="W15" s="160"/>
      <c r="X15" s="161">
        <v>100</v>
      </c>
      <c r="Y15" s="160"/>
      <c r="Z15" s="160"/>
      <c r="AA15" s="160"/>
      <c r="AB15" s="160">
        <v>100</v>
      </c>
      <c r="AC15" s="78">
        <f>SUM(AB15+X15+V15+T15+S15+R15+P15+O15)</f>
        <v>800</v>
      </c>
      <c r="AD15" s="160">
        <f>SUM(AA15+Z15+Y15+W15+U15+Q15)*100</f>
        <v>0</v>
      </c>
      <c r="AE15" s="196">
        <f>(0.8*AC15)+(0.2*AD15)</f>
        <v>640</v>
      </c>
      <c r="AF15" s="197">
        <f>84+((AE15-$AE$48)/($AE$47-$AE$48)*(92-84))</f>
        <v>89.4647887323944</v>
      </c>
      <c r="AG15" s="160">
        <v>100</v>
      </c>
      <c r="AH15" s="160">
        <v>100</v>
      </c>
      <c r="AI15" s="160"/>
      <c r="AJ15" s="160">
        <f>AQ15</f>
        <v>85</v>
      </c>
      <c r="AK15" s="160">
        <v>5</v>
      </c>
      <c r="AL15" s="161">
        <v>2</v>
      </c>
      <c r="AM15" s="161">
        <v>100</v>
      </c>
      <c r="AN15" s="161">
        <v>100</v>
      </c>
      <c r="AO15" s="161">
        <f>AG15+AH15+AM15+AN15</f>
        <v>400</v>
      </c>
      <c r="AP15" s="161">
        <f>AI15+AK15+AL15</f>
        <v>7</v>
      </c>
      <c r="AQ15" s="126">
        <v>85</v>
      </c>
      <c r="AR15" s="128" t="s">
        <v>78</v>
      </c>
      <c r="AT15" s="128">
        <f>(90%*AO15)+(10%*AP15*100)</f>
        <v>430</v>
      </c>
      <c r="AU15" s="204">
        <f>(AT15/$AT$48)*100</f>
        <v>91.4893617021277</v>
      </c>
      <c r="AV15" s="205">
        <f>(50%*AU15)+(50%*AQ15)</f>
        <v>88.2446808510638</v>
      </c>
      <c r="AW15" s="206">
        <f>(50%*AV15)+(50%*AF15)</f>
        <v>88.8547347917291</v>
      </c>
      <c r="AX15" s="205">
        <f>84+((AW15-$AW$49)/($AW$48-$AW$49)*(92-84))</f>
        <v>90.1020224618277</v>
      </c>
      <c r="AY15" s="207">
        <v>90.1020224618278</v>
      </c>
      <c r="AZ15" s="166" t="s">
        <v>75</v>
      </c>
      <c r="BA15" s="128" t="s">
        <v>75</v>
      </c>
    </row>
    <row r="16" customHeight="1" spans="1:53">
      <c r="A16" s="160">
        <v>4</v>
      </c>
      <c r="B16" s="160">
        <v>5</v>
      </c>
      <c r="C16" s="161" t="s">
        <v>79</v>
      </c>
      <c r="D16" s="124">
        <v>242510281</v>
      </c>
      <c r="E16" s="124" t="s">
        <v>80</v>
      </c>
      <c r="F16" s="161" t="s">
        <v>81</v>
      </c>
      <c r="G16" s="161" t="s">
        <v>82</v>
      </c>
      <c r="H16" s="166" t="s">
        <v>83</v>
      </c>
      <c r="I16" s="161" t="s">
        <v>60</v>
      </c>
      <c r="J16" s="89" t="s">
        <v>61</v>
      </c>
      <c r="K16" s="86" t="s">
        <v>83</v>
      </c>
      <c r="L16" s="173">
        <v>39616</v>
      </c>
      <c r="M16" s="181" t="s">
        <v>53</v>
      </c>
      <c r="N16" s="179" t="s">
        <v>63</v>
      </c>
      <c r="O16" s="180">
        <v>100</v>
      </c>
      <c r="P16" s="161">
        <v>100</v>
      </c>
      <c r="Q16" s="160"/>
      <c r="R16" s="180">
        <v>100</v>
      </c>
      <c r="S16" s="160">
        <v>100</v>
      </c>
      <c r="T16" s="160">
        <v>100</v>
      </c>
      <c r="U16" s="160">
        <v>1</v>
      </c>
      <c r="V16" s="180">
        <v>100</v>
      </c>
      <c r="W16" s="160"/>
      <c r="X16" s="161">
        <v>100</v>
      </c>
      <c r="Y16" s="160"/>
      <c r="Z16" s="160"/>
      <c r="AA16" s="160">
        <v>3</v>
      </c>
      <c r="AB16" s="160">
        <v>93</v>
      </c>
      <c r="AC16" s="78">
        <f>SUM(AB16+X16+V16+T16+S16+R16+P16+O16)</f>
        <v>793</v>
      </c>
      <c r="AD16" s="160">
        <f>SUM(AA16+Z16+Y16+W16+U16+Q16)*100</f>
        <v>400</v>
      </c>
      <c r="AE16" s="196">
        <f>(0.8*AC16)+(0.2*AD16)</f>
        <v>714.4</v>
      </c>
      <c r="AF16" s="197">
        <f>84+((AE16-$AE$48)/($AE$47-$AE$48)*(92-84))</f>
        <v>90.512676056338</v>
      </c>
      <c r="AG16" s="160">
        <v>100</v>
      </c>
      <c r="AH16" s="160">
        <v>100</v>
      </c>
      <c r="AI16" s="160"/>
      <c r="AJ16" s="160">
        <f>AQ16</f>
        <v>80</v>
      </c>
      <c r="AK16" s="160"/>
      <c r="AL16" s="161"/>
      <c r="AM16" s="161">
        <v>100</v>
      </c>
      <c r="AN16" s="161">
        <v>100</v>
      </c>
      <c r="AO16" s="161">
        <f>AG16+AH16+AM16+AN16</f>
        <v>400</v>
      </c>
      <c r="AP16" s="161">
        <f>AI16+AK16+AL16</f>
        <v>0</v>
      </c>
      <c r="AQ16" s="126">
        <v>80</v>
      </c>
      <c r="AR16" s="128" t="s">
        <v>84</v>
      </c>
      <c r="AT16" s="128">
        <f>(90%*AO16)+(10%*AP16*100)</f>
        <v>360</v>
      </c>
      <c r="AU16" s="204">
        <f>(AT16/$AT$48)*100</f>
        <v>76.5957446808511</v>
      </c>
      <c r="AV16" s="205">
        <f>(50%*AU16)+(50%*AQ16)</f>
        <v>78.2978723404255</v>
      </c>
      <c r="AW16" s="206">
        <f>(50%*AV16)+(50%*AF16)</f>
        <v>84.4052741983818</v>
      </c>
      <c r="AX16" s="205">
        <f>84+((AW16-$AW$49)/($AW$48-$AW$49)*(92-84))</f>
        <v>87.6795793964633</v>
      </c>
      <c r="AY16" s="207">
        <v>87.6795793964633</v>
      </c>
      <c r="AZ16" s="166" t="s">
        <v>83</v>
      </c>
      <c r="BA16" s="128" t="s">
        <v>83</v>
      </c>
    </row>
    <row r="17" customHeight="1" spans="1:53">
      <c r="A17" s="160">
        <v>5</v>
      </c>
      <c r="B17" s="160">
        <v>6</v>
      </c>
      <c r="C17" s="161" t="s">
        <v>85</v>
      </c>
      <c r="D17" s="124">
        <v>242510393</v>
      </c>
      <c r="E17" s="124" t="s">
        <v>86</v>
      </c>
      <c r="F17" s="161" t="s">
        <v>87</v>
      </c>
      <c r="G17" s="161" t="s">
        <v>88</v>
      </c>
      <c r="H17" s="166" t="s">
        <v>89</v>
      </c>
      <c r="I17" s="161" t="s">
        <v>60</v>
      </c>
      <c r="J17" s="172" t="s">
        <v>76</v>
      </c>
      <c r="K17" s="86" t="s">
        <v>89</v>
      </c>
      <c r="L17" s="173">
        <v>39948</v>
      </c>
      <c r="M17" s="183" t="s">
        <v>90</v>
      </c>
      <c r="N17" s="179" t="s">
        <v>63</v>
      </c>
      <c r="O17" s="180"/>
      <c r="P17" s="161"/>
      <c r="Q17" s="160"/>
      <c r="R17" s="180"/>
      <c r="S17" s="160"/>
      <c r="T17" s="160"/>
      <c r="U17" s="160"/>
      <c r="V17" s="180">
        <v>100</v>
      </c>
      <c r="W17" s="160">
        <v>1</v>
      </c>
      <c r="X17" s="161">
        <v>100</v>
      </c>
      <c r="Y17" s="160"/>
      <c r="Z17" s="160"/>
      <c r="AA17" s="160"/>
      <c r="AB17" s="160">
        <v>90</v>
      </c>
      <c r="AC17" s="78">
        <f>SUM(AB17+X17+V17+T17+S17+R17+P17+O17)</f>
        <v>290</v>
      </c>
      <c r="AD17" s="160">
        <f>SUM(AA17+Z17+Y17+W17+U17+Q17)*100</f>
        <v>100</v>
      </c>
      <c r="AE17" s="196">
        <f>(0.8*AC17)+(0.2*AD17)</f>
        <v>252</v>
      </c>
      <c r="AF17" s="197">
        <f>84+((AE17-$AE$48)/($AE$47-$AE$48)*(92-84))</f>
        <v>84</v>
      </c>
      <c r="AG17" s="160">
        <v>100</v>
      </c>
      <c r="AH17" s="160">
        <v>100</v>
      </c>
      <c r="AI17" s="160"/>
      <c r="AJ17" s="160">
        <f>AQ17</f>
        <v>94</v>
      </c>
      <c r="AK17" s="160"/>
      <c r="AL17" s="161"/>
      <c r="AM17" s="161"/>
      <c r="AN17" s="161">
        <v>100</v>
      </c>
      <c r="AO17" s="161">
        <f>AG17+AH17+AM17+AN17</f>
        <v>300</v>
      </c>
      <c r="AP17" s="161">
        <f>AI17+AK17+AL17</f>
        <v>0</v>
      </c>
      <c r="AQ17" s="126">
        <v>94</v>
      </c>
      <c r="AR17" s="128" t="s">
        <v>91</v>
      </c>
      <c r="AT17" s="128">
        <f>(90%*AO17)+(10%*AP17*100)</f>
        <v>270</v>
      </c>
      <c r="AU17" s="204">
        <f>(AT17/$AT$48)*100</f>
        <v>57.4468085106383</v>
      </c>
      <c r="AV17" s="205">
        <f>(50%*AU17)+(50%*AQ17)</f>
        <v>75.7234042553192</v>
      </c>
      <c r="AW17" s="206">
        <f>(50%*AV17)+(50%*AF17)</f>
        <v>79.8617021276596</v>
      </c>
      <c r="AX17" s="205">
        <f>84+((AW17-$AW$49)/($AW$48-$AW$49)*(92-84))</f>
        <v>85.2058987280332</v>
      </c>
      <c r="AY17" s="207">
        <v>86.2058987280332</v>
      </c>
      <c r="AZ17" s="166" t="s">
        <v>89</v>
      </c>
      <c r="BA17" s="128" t="s">
        <v>89</v>
      </c>
    </row>
    <row r="18" customHeight="1" spans="1:53">
      <c r="A18" s="160">
        <v>6</v>
      </c>
      <c r="B18" s="160">
        <v>7</v>
      </c>
      <c r="C18" s="161" t="s">
        <v>92</v>
      </c>
      <c r="D18" s="124">
        <v>242510087</v>
      </c>
      <c r="E18" s="124" t="s">
        <v>93</v>
      </c>
      <c r="F18" s="161" t="s">
        <v>94</v>
      </c>
      <c r="G18" s="161" t="s">
        <v>95</v>
      </c>
      <c r="H18" s="166" t="s">
        <v>96</v>
      </c>
      <c r="I18" s="161" t="s">
        <v>60</v>
      </c>
      <c r="J18" s="172" t="s">
        <v>61</v>
      </c>
      <c r="K18" s="86" t="s">
        <v>96</v>
      </c>
      <c r="L18" s="173">
        <v>39904</v>
      </c>
      <c r="M18" s="183" t="s">
        <v>90</v>
      </c>
      <c r="N18" s="179" t="s">
        <v>63</v>
      </c>
      <c r="O18" s="180">
        <v>100</v>
      </c>
      <c r="P18" s="161">
        <v>100</v>
      </c>
      <c r="Q18" s="160"/>
      <c r="R18" s="180">
        <v>100</v>
      </c>
      <c r="S18" s="160">
        <v>100</v>
      </c>
      <c r="T18" s="160">
        <v>100</v>
      </c>
      <c r="U18" s="160"/>
      <c r="V18" s="180">
        <v>100</v>
      </c>
      <c r="W18" s="160"/>
      <c r="X18" s="161">
        <v>100</v>
      </c>
      <c r="Y18" s="160">
        <v>1</v>
      </c>
      <c r="Z18" s="160"/>
      <c r="AA18" s="160">
        <v>1</v>
      </c>
      <c r="AB18" s="160">
        <v>90</v>
      </c>
      <c r="AC18" s="78">
        <f>SUM(AB18+X18+V18+T18+S18+R18+P18+O18)</f>
        <v>790</v>
      </c>
      <c r="AD18" s="160">
        <f>SUM(AA18+Z18+Y18+W18+U18+Q18)*100</f>
        <v>200</v>
      </c>
      <c r="AE18" s="196">
        <f>(0.8*AC18)+(0.2*AD18)</f>
        <v>672</v>
      </c>
      <c r="AF18" s="197">
        <f>84+((AE18-$AE$48)/($AE$47-$AE$48)*(92-84))</f>
        <v>89.9154929577465</v>
      </c>
      <c r="AG18" s="160">
        <v>100</v>
      </c>
      <c r="AH18" s="160">
        <v>100</v>
      </c>
      <c r="AI18" s="160">
        <v>1</v>
      </c>
      <c r="AJ18" s="160">
        <f>AQ18</f>
        <v>88</v>
      </c>
      <c r="AK18" s="160">
        <v>2</v>
      </c>
      <c r="AL18" s="161"/>
      <c r="AM18" s="161">
        <v>100</v>
      </c>
      <c r="AN18" s="161"/>
      <c r="AO18" s="161">
        <f>AG18+AH18+AM18+AN18</f>
        <v>300</v>
      </c>
      <c r="AP18" s="161">
        <f>AI18+AK18+AL18</f>
        <v>3</v>
      </c>
      <c r="AQ18" s="126">
        <v>88</v>
      </c>
      <c r="AR18" s="128" t="s">
        <v>97</v>
      </c>
      <c r="AT18" s="128">
        <f>(90%*AO18)+(10%*AP18*100)</f>
        <v>300</v>
      </c>
      <c r="AU18" s="204">
        <f>(AT18/$AT$48)*100</f>
        <v>63.8297872340426</v>
      </c>
      <c r="AV18" s="205">
        <f>(50%*AU18)+(50%*AQ18)</f>
        <v>75.9148936170213</v>
      </c>
      <c r="AW18" s="206">
        <f>(50%*AV18)+(50%*AF18)</f>
        <v>82.9151932873839</v>
      </c>
      <c r="AX18" s="205">
        <f>84+((AW18-$AW$49)/($AW$48-$AW$49)*(92-84))</f>
        <v>86.868326865072</v>
      </c>
      <c r="AY18" s="207">
        <v>86.868326865072</v>
      </c>
      <c r="AZ18" s="166" t="s">
        <v>96</v>
      </c>
      <c r="BA18" s="128" t="s">
        <v>96</v>
      </c>
    </row>
    <row r="19" customHeight="1" spans="1:53">
      <c r="A19" s="160">
        <v>7</v>
      </c>
      <c r="B19" s="160">
        <v>8</v>
      </c>
      <c r="C19" s="161" t="s">
        <v>98</v>
      </c>
      <c r="D19" s="124">
        <v>242510088</v>
      </c>
      <c r="E19" s="124" t="s">
        <v>99</v>
      </c>
      <c r="F19" s="161" t="s">
        <v>100</v>
      </c>
      <c r="G19" s="161" t="s">
        <v>101</v>
      </c>
      <c r="H19" s="166" t="s">
        <v>102</v>
      </c>
      <c r="I19" s="161" t="s">
        <v>60</v>
      </c>
      <c r="J19" s="172" t="s">
        <v>76</v>
      </c>
      <c r="K19" s="86" t="s">
        <v>102</v>
      </c>
      <c r="L19" s="173">
        <v>39710</v>
      </c>
      <c r="M19" s="181" t="s">
        <v>53</v>
      </c>
      <c r="N19" s="179" t="s">
        <v>63</v>
      </c>
      <c r="O19" s="180">
        <v>100</v>
      </c>
      <c r="P19" s="161">
        <v>100</v>
      </c>
      <c r="Q19" s="160"/>
      <c r="R19" s="180">
        <v>100</v>
      </c>
      <c r="S19" s="160">
        <v>100</v>
      </c>
      <c r="T19" s="160">
        <v>100</v>
      </c>
      <c r="U19" s="160"/>
      <c r="V19" s="180">
        <v>100</v>
      </c>
      <c r="W19" s="160"/>
      <c r="X19" s="161">
        <v>100</v>
      </c>
      <c r="Y19" s="160"/>
      <c r="Z19" s="160"/>
      <c r="AA19" s="160">
        <v>2</v>
      </c>
      <c r="AB19" s="160">
        <v>100</v>
      </c>
      <c r="AC19" s="78">
        <f>SUM(AB19+X19+V19+T19+S19+R19+P19+O19)</f>
        <v>800</v>
      </c>
      <c r="AD19" s="160">
        <f>SUM(AA19+Z19+Y19+W19+U19+Q19)*100</f>
        <v>200</v>
      </c>
      <c r="AE19" s="196">
        <f>(0.8*AC19)+(0.2*AD19)</f>
        <v>680</v>
      </c>
      <c r="AF19" s="197">
        <f>84+((AE19-$AE$48)/($AE$47-$AE$48)*(92-84))</f>
        <v>90.0281690140845</v>
      </c>
      <c r="AG19" s="160">
        <v>100</v>
      </c>
      <c r="AH19" s="160">
        <v>100</v>
      </c>
      <c r="AI19" s="160"/>
      <c r="AJ19" s="160">
        <f>AQ19</f>
        <v>91</v>
      </c>
      <c r="AK19" s="160">
        <v>4</v>
      </c>
      <c r="AL19" s="161"/>
      <c r="AM19" s="161">
        <v>100</v>
      </c>
      <c r="AN19" s="161">
        <v>100</v>
      </c>
      <c r="AO19" s="161">
        <f>AG19+AH19+AM19+AN19</f>
        <v>400</v>
      </c>
      <c r="AP19" s="161">
        <f>AI19+AK19+AL19</f>
        <v>4</v>
      </c>
      <c r="AQ19" s="126">
        <v>91</v>
      </c>
      <c r="AR19" s="128" t="s">
        <v>103</v>
      </c>
      <c r="AT19" s="128">
        <f>(90%*AO19)+(10%*AP19*100)</f>
        <v>400</v>
      </c>
      <c r="AU19" s="204">
        <f>(AT19/$AT$48)*100</f>
        <v>85.1063829787234</v>
      </c>
      <c r="AV19" s="205">
        <f>(50%*AU19)+(50%*AQ19)</f>
        <v>88.0531914893617</v>
      </c>
      <c r="AW19" s="206">
        <f>(50%*AV19)+(50%*AF19)</f>
        <v>89.0406802517231</v>
      </c>
      <c r="AX19" s="205">
        <f>84+((AW19-$AW$49)/($AW$48-$AW$49)*(92-84))</f>
        <v>90.2032577195963</v>
      </c>
      <c r="AY19" s="207">
        <v>90.2032577195963</v>
      </c>
      <c r="AZ19" s="166" t="s">
        <v>102</v>
      </c>
      <c r="BA19" s="128" t="s">
        <v>102</v>
      </c>
    </row>
    <row r="20" customHeight="1" spans="1:53">
      <c r="A20" s="160">
        <v>8</v>
      </c>
      <c r="B20" s="160">
        <v>9</v>
      </c>
      <c r="C20" s="161" t="s">
        <v>104</v>
      </c>
      <c r="D20" s="124">
        <v>242510168</v>
      </c>
      <c r="E20" s="124" t="s">
        <v>105</v>
      </c>
      <c r="F20" s="161" t="s">
        <v>106</v>
      </c>
      <c r="G20" s="161" t="s">
        <v>107</v>
      </c>
      <c r="H20" s="166" t="s">
        <v>108</v>
      </c>
      <c r="I20" s="161" t="s">
        <v>60</v>
      </c>
      <c r="J20" s="172" t="s">
        <v>76</v>
      </c>
      <c r="K20" s="86" t="s">
        <v>108</v>
      </c>
      <c r="L20" s="173">
        <v>39542</v>
      </c>
      <c r="M20" s="182" t="s">
        <v>77</v>
      </c>
      <c r="N20" s="179" t="s">
        <v>63</v>
      </c>
      <c r="O20" s="180">
        <v>100</v>
      </c>
      <c r="P20" s="161">
        <v>100</v>
      </c>
      <c r="Q20" s="160"/>
      <c r="R20" s="180">
        <v>100</v>
      </c>
      <c r="S20" s="160">
        <v>100</v>
      </c>
      <c r="T20" s="160">
        <v>100</v>
      </c>
      <c r="U20" s="160"/>
      <c r="V20" s="180">
        <v>100</v>
      </c>
      <c r="W20" s="160"/>
      <c r="X20" s="161">
        <v>100</v>
      </c>
      <c r="Y20" s="160"/>
      <c r="Z20" s="160">
        <v>2</v>
      </c>
      <c r="AA20" s="160"/>
      <c r="AB20" s="160">
        <v>85</v>
      </c>
      <c r="AC20" s="78">
        <f>SUM(AB20+X20+V20+T20+S20+R20+P20+O20)</f>
        <v>785</v>
      </c>
      <c r="AD20" s="160">
        <f>SUM(AA20+Z20+Y20+W20+U20+Q20)*100</f>
        <v>200</v>
      </c>
      <c r="AE20" s="196">
        <f>(0.8*AC20)+(0.2*AD20)</f>
        <v>668</v>
      </c>
      <c r="AF20" s="197">
        <f>84+((AE20-$AE$48)/($AE$47-$AE$48)*(92-84))</f>
        <v>89.8591549295775</v>
      </c>
      <c r="AG20" s="160">
        <v>100</v>
      </c>
      <c r="AH20" s="160">
        <v>100</v>
      </c>
      <c r="AI20" s="160"/>
      <c r="AJ20" s="160">
        <f>AQ20</f>
        <v>82</v>
      </c>
      <c r="AK20" s="160">
        <v>3</v>
      </c>
      <c r="AL20" s="161"/>
      <c r="AM20" s="161">
        <v>100</v>
      </c>
      <c r="AN20" s="161">
        <v>100</v>
      </c>
      <c r="AO20" s="161">
        <f>AG20+AH20+AM20+AN20</f>
        <v>400</v>
      </c>
      <c r="AP20" s="161">
        <f>AI20+AK20+AL20</f>
        <v>3</v>
      </c>
      <c r="AQ20" s="126">
        <v>82</v>
      </c>
      <c r="AR20" s="128" t="s">
        <v>109</v>
      </c>
      <c r="AT20" s="128">
        <f>(90%*AO20)+(10%*AP20*100)</f>
        <v>390</v>
      </c>
      <c r="AU20" s="204">
        <f>(AT20/$AT$48)*100</f>
        <v>82.9787234042553</v>
      </c>
      <c r="AV20" s="205">
        <f>(50%*AU20)+(50%*AQ20)</f>
        <v>82.4893617021277</v>
      </c>
      <c r="AW20" s="206">
        <f>(50%*AV20)+(50%*AF20)</f>
        <v>86.1742583158526</v>
      </c>
      <c r="AX20" s="205">
        <f>84+((AW20-$AW$49)/($AW$48-$AW$49)*(92-84))</f>
        <v>88.6426766569524</v>
      </c>
      <c r="AY20" s="207">
        <v>88.6426766569524</v>
      </c>
      <c r="AZ20" s="166" t="s">
        <v>108</v>
      </c>
      <c r="BA20" s="128" t="s">
        <v>108</v>
      </c>
    </row>
    <row r="21" customHeight="1" spans="1:53">
      <c r="A21" s="160">
        <v>9</v>
      </c>
      <c r="B21" s="160">
        <v>10</v>
      </c>
      <c r="C21" s="161" t="s">
        <v>110</v>
      </c>
      <c r="D21" s="124">
        <v>242510169</v>
      </c>
      <c r="E21" s="124" t="s">
        <v>111</v>
      </c>
      <c r="F21" s="161" t="s">
        <v>112</v>
      </c>
      <c r="G21" s="161" t="s">
        <v>113</v>
      </c>
      <c r="H21" s="166" t="s">
        <v>114</v>
      </c>
      <c r="I21" s="161" t="s">
        <v>115</v>
      </c>
      <c r="J21" s="172" t="s">
        <v>76</v>
      </c>
      <c r="K21" s="86" t="s">
        <v>114</v>
      </c>
      <c r="L21" s="173">
        <v>39886</v>
      </c>
      <c r="M21" s="183" t="s">
        <v>90</v>
      </c>
      <c r="N21" s="179" t="s">
        <v>63</v>
      </c>
      <c r="O21" s="180">
        <v>100</v>
      </c>
      <c r="P21" s="161">
        <v>100</v>
      </c>
      <c r="Q21" s="160"/>
      <c r="R21" s="180">
        <v>100</v>
      </c>
      <c r="S21" s="160">
        <v>100</v>
      </c>
      <c r="T21" s="160">
        <v>100</v>
      </c>
      <c r="U21" s="160"/>
      <c r="V21" s="180">
        <v>100</v>
      </c>
      <c r="W21" s="160"/>
      <c r="X21" s="161">
        <v>100</v>
      </c>
      <c r="Y21" s="160"/>
      <c r="Z21" s="160"/>
      <c r="AA21" s="160">
        <v>4</v>
      </c>
      <c r="AB21" s="160">
        <v>100</v>
      </c>
      <c r="AC21" s="78">
        <f>SUM(AB21+X21+V21+T21+S21+R21+P21+O21)</f>
        <v>800</v>
      </c>
      <c r="AD21" s="160">
        <f>SUM(AA21+Z21+Y21+W21+U21+Q21)*100</f>
        <v>400</v>
      </c>
      <c r="AE21" s="196">
        <f>(0.8*AC21)+(0.2*AD21)</f>
        <v>720</v>
      </c>
      <c r="AF21" s="197">
        <f>84+((AE21-$AE$48)/($AE$47-$AE$48)*(92-84))</f>
        <v>90.5915492957747</v>
      </c>
      <c r="AG21" s="160">
        <v>100</v>
      </c>
      <c r="AH21" s="160">
        <v>100</v>
      </c>
      <c r="AI21" s="160"/>
      <c r="AJ21" s="160">
        <f>AQ21</f>
        <v>91</v>
      </c>
      <c r="AK21" s="160"/>
      <c r="AL21" s="161">
        <v>1</v>
      </c>
      <c r="AM21" s="161">
        <v>100</v>
      </c>
      <c r="AN21" s="161">
        <v>100</v>
      </c>
      <c r="AO21" s="161">
        <f>AG21+AH21+AM21+AN21</f>
        <v>400</v>
      </c>
      <c r="AP21" s="161">
        <f>AI21+AK21+AL21</f>
        <v>1</v>
      </c>
      <c r="AQ21" s="126">
        <v>91</v>
      </c>
      <c r="AR21" s="128" t="s">
        <v>116</v>
      </c>
      <c r="AT21" s="128">
        <f>(90%*AO21)+(10%*AP21*100)</f>
        <v>370</v>
      </c>
      <c r="AU21" s="204">
        <f>(AT21/$AT$48)*100</f>
        <v>78.7234042553192</v>
      </c>
      <c r="AV21" s="205">
        <f>(50%*AU21)+(50%*AQ21)</f>
        <v>84.8617021276596</v>
      </c>
      <c r="AW21" s="206">
        <f>(50%*AV21)+(50%*AF21)</f>
        <v>87.7266257117171</v>
      </c>
      <c r="AX21" s="205">
        <f>84+((AW21-$AW$49)/($AW$48-$AW$49)*(92-84))</f>
        <v>89.4878401445519</v>
      </c>
      <c r="AY21" s="207">
        <v>89.4878401445519</v>
      </c>
      <c r="AZ21" s="166" t="s">
        <v>114</v>
      </c>
      <c r="BA21" s="128" t="s">
        <v>114</v>
      </c>
    </row>
    <row r="22" customHeight="1" spans="1:53">
      <c r="A22" s="160">
        <v>10</v>
      </c>
      <c r="B22" s="160">
        <v>11</v>
      </c>
      <c r="C22" s="161" t="s">
        <v>117</v>
      </c>
      <c r="D22" s="124">
        <v>242510009</v>
      </c>
      <c r="E22" s="124" t="s">
        <v>118</v>
      </c>
      <c r="F22" s="161" t="s">
        <v>119</v>
      </c>
      <c r="G22" s="161" t="s">
        <v>120</v>
      </c>
      <c r="H22" s="166" t="s">
        <v>121</v>
      </c>
      <c r="I22" s="161" t="s">
        <v>122</v>
      </c>
      <c r="J22" s="172" t="s">
        <v>61</v>
      </c>
      <c r="K22" s="86" t="s">
        <v>121</v>
      </c>
      <c r="L22" s="173">
        <v>39944</v>
      </c>
      <c r="M22" s="182" t="s">
        <v>77</v>
      </c>
      <c r="N22" s="179" t="s">
        <v>63</v>
      </c>
      <c r="O22" s="180">
        <v>100</v>
      </c>
      <c r="P22" s="161">
        <v>100</v>
      </c>
      <c r="Q22" s="160"/>
      <c r="R22" s="180">
        <v>100</v>
      </c>
      <c r="S22" s="160">
        <v>100</v>
      </c>
      <c r="T22" s="160">
        <v>100</v>
      </c>
      <c r="U22" s="160"/>
      <c r="V22" s="180">
        <v>100</v>
      </c>
      <c r="W22" s="160"/>
      <c r="X22" s="161">
        <v>100</v>
      </c>
      <c r="Y22" s="160"/>
      <c r="Z22" s="160">
        <v>1</v>
      </c>
      <c r="AA22" s="160">
        <v>2</v>
      </c>
      <c r="AB22" s="160">
        <v>100</v>
      </c>
      <c r="AC22" s="78">
        <f>SUM(AB22+X22+V22+T22+S22+R22+P22+O22)</f>
        <v>800</v>
      </c>
      <c r="AD22" s="160">
        <f>SUM(AA22+Z22+Y22+W22+U22+Q22)*100</f>
        <v>300</v>
      </c>
      <c r="AE22" s="196">
        <f>(0.8*AC22)+(0.2*AD22)</f>
        <v>700</v>
      </c>
      <c r="AF22" s="197">
        <f>84+((AE22-$AE$48)/($AE$47-$AE$48)*(92-84))</f>
        <v>90.3098591549296</v>
      </c>
      <c r="AG22" s="160">
        <v>100</v>
      </c>
      <c r="AH22" s="160">
        <v>100</v>
      </c>
      <c r="AI22" s="160">
        <v>1</v>
      </c>
      <c r="AJ22" s="160">
        <f>AQ22</f>
        <v>82</v>
      </c>
      <c r="AK22" s="160"/>
      <c r="AL22" s="161"/>
      <c r="AM22" s="161">
        <v>100</v>
      </c>
      <c r="AN22" s="161">
        <v>100</v>
      </c>
      <c r="AO22" s="161">
        <f>AG22+AH22+AM22+AN22</f>
        <v>400</v>
      </c>
      <c r="AP22" s="161">
        <f>AI22+AK22+AL22</f>
        <v>1</v>
      </c>
      <c r="AQ22" s="126">
        <v>82</v>
      </c>
      <c r="AR22" s="128" t="s">
        <v>123</v>
      </c>
      <c r="AT22" s="128">
        <f>(90%*AO22)+(10%*AP22*100)</f>
        <v>370</v>
      </c>
      <c r="AU22" s="204">
        <f>(AT22/$AT$48)*100</f>
        <v>78.7234042553192</v>
      </c>
      <c r="AV22" s="205">
        <f>(50%*AU22)+(50%*AQ22)</f>
        <v>80.3617021276596</v>
      </c>
      <c r="AW22" s="206">
        <f>(50%*AV22)+(50%*AF22)</f>
        <v>85.3357806412946</v>
      </c>
      <c r="AX22" s="205">
        <f>84+((AW22-$AW$49)/($AW$48-$AW$49)*(92-84))</f>
        <v>88.1861798781669</v>
      </c>
      <c r="AY22" s="207">
        <v>88.1861798781669</v>
      </c>
      <c r="AZ22" s="166" t="s">
        <v>121</v>
      </c>
      <c r="BA22" s="128" t="s">
        <v>121</v>
      </c>
    </row>
    <row r="23" customHeight="1" spans="1:53">
      <c r="A23" s="160">
        <v>11</v>
      </c>
      <c r="B23" s="160">
        <v>12</v>
      </c>
      <c r="C23" s="161" t="s">
        <v>124</v>
      </c>
      <c r="D23" s="124">
        <v>242510211</v>
      </c>
      <c r="E23" s="124" t="s">
        <v>125</v>
      </c>
      <c r="F23" s="161" t="s">
        <v>126</v>
      </c>
      <c r="G23" s="161" t="s">
        <v>127</v>
      </c>
      <c r="H23" s="166" t="s">
        <v>128</v>
      </c>
      <c r="I23" s="161" t="s">
        <v>129</v>
      </c>
      <c r="J23" s="172" t="s">
        <v>61</v>
      </c>
      <c r="K23" s="86" t="s">
        <v>128</v>
      </c>
      <c r="L23" s="173">
        <v>39825</v>
      </c>
      <c r="M23" s="184" t="s">
        <v>130</v>
      </c>
      <c r="N23" s="179" t="s">
        <v>63</v>
      </c>
      <c r="O23" s="180">
        <v>100</v>
      </c>
      <c r="P23" s="161">
        <v>100</v>
      </c>
      <c r="Q23" s="160"/>
      <c r="R23" s="180">
        <v>100</v>
      </c>
      <c r="S23" s="160">
        <v>100</v>
      </c>
      <c r="T23" s="160">
        <v>100</v>
      </c>
      <c r="U23" s="160"/>
      <c r="V23" s="180">
        <v>100</v>
      </c>
      <c r="W23" s="160"/>
      <c r="X23" s="161">
        <v>100</v>
      </c>
      <c r="Y23" s="160"/>
      <c r="Z23" s="160"/>
      <c r="AA23" s="160">
        <v>2</v>
      </c>
      <c r="AB23" s="160">
        <v>99</v>
      </c>
      <c r="AC23" s="78">
        <f>SUM(AB23+X23+V23+T23+S23+R23+P23+O23)</f>
        <v>799</v>
      </c>
      <c r="AD23" s="160">
        <f>SUM(AA23+Z23+Y23+W23+U23+Q23)*100</f>
        <v>200</v>
      </c>
      <c r="AE23" s="196">
        <f>(0.8*AC23)+(0.2*AD23)</f>
        <v>679.2</v>
      </c>
      <c r="AF23" s="197">
        <f>84+((AE23-$AE$48)/($AE$47-$AE$48)*(92-84))</f>
        <v>90.0169014084507</v>
      </c>
      <c r="AG23" s="160">
        <v>100</v>
      </c>
      <c r="AH23" s="160">
        <v>100</v>
      </c>
      <c r="AI23" s="160">
        <v>1</v>
      </c>
      <c r="AJ23" s="160">
        <f>AQ23</f>
        <v>88</v>
      </c>
      <c r="AK23" s="160">
        <v>5</v>
      </c>
      <c r="AL23" s="161"/>
      <c r="AM23" s="161">
        <v>100</v>
      </c>
      <c r="AN23" s="161">
        <v>100</v>
      </c>
      <c r="AO23" s="161">
        <f>AG23+AH23+AM23+AN23</f>
        <v>400</v>
      </c>
      <c r="AP23" s="161">
        <f>AI23+AK23+AL23</f>
        <v>6</v>
      </c>
      <c r="AQ23" s="126">
        <v>88</v>
      </c>
      <c r="AR23" s="128" t="s">
        <v>131</v>
      </c>
      <c r="AT23" s="128">
        <f>(90%*AO23)+(10%*AP23*100)</f>
        <v>420</v>
      </c>
      <c r="AU23" s="204">
        <f>(AT23/$AT$48)*100</f>
        <v>89.3617021276596</v>
      </c>
      <c r="AV23" s="205">
        <f>(50%*AU23)+(50%*AQ23)</f>
        <v>88.6808510638298</v>
      </c>
      <c r="AW23" s="206">
        <f>(50%*AV23)+(50%*AF23)</f>
        <v>89.3488762361402</v>
      </c>
      <c r="AX23" s="205">
        <f>84+((AW23-$AW$49)/($AW$48-$AW$49)*(92-84))</f>
        <v>90.3710504687535</v>
      </c>
      <c r="AY23" s="207">
        <v>90.3710504687535</v>
      </c>
      <c r="AZ23" s="166" t="s">
        <v>128</v>
      </c>
      <c r="BA23" s="128" t="s">
        <v>128</v>
      </c>
    </row>
    <row r="24" customHeight="1" spans="1:53">
      <c r="A24" s="160">
        <v>12</v>
      </c>
      <c r="B24" s="160">
        <v>13</v>
      </c>
      <c r="C24" s="161" t="s">
        <v>132</v>
      </c>
      <c r="D24" s="124">
        <v>242510398</v>
      </c>
      <c r="E24" s="124" t="s">
        <v>133</v>
      </c>
      <c r="F24" s="161" t="s">
        <v>134</v>
      </c>
      <c r="G24" s="161" t="s">
        <v>135</v>
      </c>
      <c r="H24" s="166" t="s">
        <v>136</v>
      </c>
      <c r="I24" s="161" t="s">
        <v>60</v>
      </c>
      <c r="J24" s="172" t="s">
        <v>76</v>
      </c>
      <c r="K24" s="86" t="s">
        <v>136</v>
      </c>
      <c r="L24" s="173">
        <v>39925</v>
      </c>
      <c r="M24" s="183" t="s">
        <v>90</v>
      </c>
      <c r="N24" s="179" t="s">
        <v>63</v>
      </c>
      <c r="O24" s="180">
        <v>100</v>
      </c>
      <c r="P24" s="161">
        <v>100</v>
      </c>
      <c r="Q24" s="160"/>
      <c r="R24" s="180">
        <v>100</v>
      </c>
      <c r="S24" s="160">
        <v>100</v>
      </c>
      <c r="T24" s="160">
        <v>100</v>
      </c>
      <c r="U24" s="160"/>
      <c r="V24" s="180">
        <v>100</v>
      </c>
      <c r="W24" s="160"/>
      <c r="X24" s="161">
        <v>100</v>
      </c>
      <c r="Y24" s="160"/>
      <c r="Z24" s="160"/>
      <c r="AA24" s="160"/>
      <c r="AB24" s="160">
        <v>85</v>
      </c>
      <c r="AC24" s="78">
        <f>SUM(AB24+X24+V24+T24+S24+R24+P24+O24)</f>
        <v>785</v>
      </c>
      <c r="AD24" s="160">
        <f>SUM(AA24+Z24+Y24+W24+U24+Q24)*100</f>
        <v>0</v>
      </c>
      <c r="AE24" s="196">
        <f>(0.8*AC24)+(0.2*AD24)</f>
        <v>628</v>
      </c>
      <c r="AF24" s="197">
        <f>84+((AE24-$AE$48)/($AE$47-$AE$48)*(92-84))</f>
        <v>89.2957746478873</v>
      </c>
      <c r="AG24" s="160">
        <v>100</v>
      </c>
      <c r="AH24" s="160">
        <v>100</v>
      </c>
      <c r="AI24" s="160"/>
      <c r="AJ24" s="160">
        <f>AQ24</f>
        <v>82</v>
      </c>
      <c r="AK24" s="160"/>
      <c r="AL24" s="161"/>
      <c r="AM24" s="161"/>
      <c r="AN24" s="161">
        <v>100</v>
      </c>
      <c r="AO24" s="161">
        <f>AG24+AH24+AM24+AN24</f>
        <v>300</v>
      </c>
      <c r="AP24" s="161">
        <f>AI24+AK24+AL24</f>
        <v>0</v>
      </c>
      <c r="AQ24" s="126">
        <v>82</v>
      </c>
      <c r="AR24" s="128" t="s">
        <v>137</v>
      </c>
      <c r="AT24" s="128">
        <f>(90%*AO24)+(10%*AP24*100)</f>
        <v>270</v>
      </c>
      <c r="AU24" s="204">
        <f>(AT24/$AT$48)*100</f>
        <v>57.4468085106383</v>
      </c>
      <c r="AV24" s="205">
        <f>(50%*AU24)+(50%*AQ24)</f>
        <v>69.7234042553192</v>
      </c>
      <c r="AW24" s="206">
        <f>(50%*AV24)+(50%*AF24)</f>
        <v>79.5095894516032</v>
      </c>
      <c r="AX24" s="205">
        <f>84+((AW24-$AW$49)/($AW$48-$AW$49)*(92-84))</f>
        <v>85.0141961851194</v>
      </c>
      <c r="AY24" s="207">
        <v>86.0141961851194</v>
      </c>
      <c r="AZ24" s="166" t="s">
        <v>136</v>
      </c>
      <c r="BA24" s="128" t="s">
        <v>136</v>
      </c>
    </row>
    <row r="25" customHeight="1" spans="1:53">
      <c r="A25" s="160">
        <v>13</v>
      </c>
      <c r="B25" s="160">
        <v>14</v>
      </c>
      <c r="C25" s="161" t="s">
        <v>138</v>
      </c>
      <c r="D25" s="124">
        <v>242510212</v>
      </c>
      <c r="E25" s="124" t="s">
        <v>139</v>
      </c>
      <c r="F25" s="161" t="s">
        <v>140</v>
      </c>
      <c r="G25" s="161" t="s">
        <v>141</v>
      </c>
      <c r="H25" s="166" t="s">
        <v>142</v>
      </c>
      <c r="I25" s="161" t="s">
        <v>143</v>
      </c>
      <c r="J25" s="172" t="s">
        <v>76</v>
      </c>
      <c r="K25" s="86" t="s">
        <v>142</v>
      </c>
      <c r="L25" s="173">
        <v>39836</v>
      </c>
      <c r="M25" s="185" t="s">
        <v>144</v>
      </c>
      <c r="N25" s="179" t="s">
        <v>63</v>
      </c>
      <c r="O25" s="180">
        <v>100</v>
      </c>
      <c r="P25" s="161">
        <v>100</v>
      </c>
      <c r="Q25" s="160"/>
      <c r="R25" s="180">
        <v>100</v>
      </c>
      <c r="S25" s="160">
        <v>100</v>
      </c>
      <c r="T25" s="160">
        <v>100</v>
      </c>
      <c r="U25" s="160"/>
      <c r="V25" s="180">
        <v>100</v>
      </c>
      <c r="W25" s="160"/>
      <c r="X25" s="161">
        <v>100</v>
      </c>
      <c r="Y25" s="160"/>
      <c r="Z25" s="160"/>
      <c r="AA25" s="160"/>
      <c r="AB25" s="160">
        <v>100</v>
      </c>
      <c r="AC25" s="78">
        <f>SUM(AB25+X25+V25+T25+S25+R25+P25+O25)</f>
        <v>800</v>
      </c>
      <c r="AD25" s="160">
        <f>SUM(AA25+Z25+Y25+W25+U25+Q25)*100</f>
        <v>0</v>
      </c>
      <c r="AE25" s="196">
        <f>(0.8*AC25)+(0.2*AD25)</f>
        <v>640</v>
      </c>
      <c r="AF25" s="197">
        <f>84+((AE25-$AE$48)/($AE$47-$AE$48)*(92-84))</f>
        <v>89.4647887323944</v>
      </c>
      <c r="AG25" s="160">
        <v>100</v>
      </c>
      <c r="AH25" s="160">
        <v>100</v>
      </c>
      <c r="AI25" s="160"/>
      <c r="AJ25" s="160">
        <f>AQ25</f>
        <v>91</v>
      </c>
      <c r="AK25" s="160"/>
      <c r="AL25" s="161"/>
      <c r="AM25" s="161">
        <v>100</v>
      </c>
      <c r="AN25" s="161">
        <v>100</v>
      </c>
      <c r="AO25" s="161">
        <f>AG25+AH25+AM25+AN25</f>
        <v>400</v>
      </c>
      <c r="AP25" s="161">
        <f>AI25+AK25+AL25</f>
        <v>0</v>
      </c>
      <c r="AQ25" s="126">
        <v>91</v>
      </c>
      <c r="AR25" s="128" t="s">
        <v>145</v>
      </c>
      <c r="AT25" s="128">
        <f>(90%*AO25)+(10%*AP25*100)</f>
        <v>360</v>
      </c>
      <c r="AU25" s="204">
        <f>(AT25/$AT$48)*100</f>
        <v>76.5957446808511</v>
      </c>
      <c r="AV25" s="205">
        <f>(50%*AU25)+(50%*AQ25)</f>
        <v>83.7978723404255</v>
      </c>
      <c r="AW25" s="206">
        <f>(50%*AV25)+(50%*AF25)</f>
        <v>86.6313305364099</v>
      </c>
      <c r="AX25" s="205">
        <f>84+((AW25-$AW$49)/($AW$48-$AW$49)*(92-84))</f>
        <v>88.8915228727646</v>
      </c>
      <c r="AY25" s="207">
        <v>88.8915228727646</v>
      </c>
      <c r="AZ25" s="166" t="s">
        <v>142</v>
      </c>
      <c r="BA25" s="128" t="s">
        <v>142</v>
      </c>
    </row>
    <row r="26" customHeight="1" spans="1:53">
      <c r="A26" s="160">
        <v>14</v>
      </c>
      <c r="B26" s="160">
        <v>15</v>
      </c>
      <c r="C26" s="161" t="s">
        <v>146</v>
      </c>
      <c r="D26" s="124">
        <v>242510291</v>
      </c>
      <c r="E26" s="124" t="s">
        <v>147</v>
      </c>
      <c r="F26" s="161" t="s">
        <v>148</v>
      </c>
      <c r="G26" s="161" t="s">
        <v>149</v>
      </c>
      <c r="H26" s="166" t="s">
        <v>150</v>
      </c>
      <c r="I26" s="161" t="s">
        <v>151</v>
      </c>
      <c r="J26" s="172" t="s">
        <v>76</v>
      </c>
      <c r="K26" s="86" t="s">
        <v>150</v>
      </c>
      <c r="L26" s="173">
        <v>39668</v>
      </c>
      <c r="M26" s="183" t="s">
        <v>90</v>
      </c>
      <c r="N26" s="179" t="s">
        <v>63</v>
      </c>
      <c r="O26" s="180">
        <v>100</v>
      </c>
      <c r="P26" s="161">
        <v>100</v>
      </c>
      <c r="Q26" s="160">
        <v>1</v>
      </c>
      <c r="R26" s="180">
        <v>100</v>
      </c>
      <c r="S26" s="160">
        <v>100</v>
      </c>
      <c r="T26" s="160">
        <v>100</v>
      </c>
      <c r="U26" s="160">
        <v>1</v>
      </c>
      <c r="V26" s="180">
        <v>100</v>
      </c>
      <c r="W26" s="160"/>
      <c r="X26" s="161">
        <v>100</v>
      </c>
      <c r="Y26" s="160">
        <v>1</v>
      </c>
      <c r="Z26" s="160"/>
      <c r="AA26" s="160">
        <v>4</v>
      </c>
      <c r="AB26" s="160">
        <v>100</v>
      </c>
      <c r="AC26" s="78">
        <f>SUM(AB26+X26+V26+T26+S26+R26+P26+O26)</f>
        <v>800</v>
      </c>
      <c r="AD26" s="160">
        <f>SUM(AA26+Z26+Y26+W26+U26+Q26)*100</f>
        <v>700</v>
      </c>
      <c r="AE26" s="196">
        <f>(0.8*AC26)+(0.2*AD26)</f>
        <v>780</v>
      </c>
      <c r="AF26" s="197">
        <f>84+((AE26-$AE$48)/($AE$47-$AE$48)*(92-84))</f>
        <v>91.4366197183099</v>
      </c>
      <c r="AG26" s="160">
        <v>100</v>
      </c>
      <c r="AH26" s="160">
        <v>100</v>
      </c>
      <c r="AI26" s="160">
        <v>2</v>
      </c>
      <c r="AJ26" s="160">
        <f>AQ26</f>
        <v>85</v>
      </c>
      <c r="AK26" s="160">
        <v>5</v>
      </c>
      <c r="AL26" s="161"/>
      <c r="AM26" s="161">
        <v>100</v>
      </c>
      <c r="AN26" s="161">
        <v>100</v>
      </c>
      <c r="AO26" s="161">
        <f>AG26+AH26+AM26+AN26</f>
        <v>400</v>
      </c>
      <c r="AP26" s="161">
        <f>AI26+AK26+AL26</f>
        <v>7</v>
      </c>
      <c r="AQ26" s="126">
        <v>85</v>
      </c>
      <c r="AR26" s="128" t="s">
        <v>152</v>
      </c>
      <c r="AT26" s="128">
        <f>(90%*AO26)+(10%*AP26*100)</f>
        <v>430</v>
      </c>
      <c r="AU26" s="204">
        <f>(AT26/$AT$48)*100</f>
        <v>91.4893617021277</v>
      </c>
      <c r="AV26" s="205">
        <f>(50%*AU26)+(50%*AQ26)</f>
        <v>88.2446808510638</v>
      </c>
      <c r="AW26" s="206">
        <f>(50%*AV26)+(50%*AF26)</f>
        <v>89.8406502846868</v>
      </c>
      <c r="AX26" s="205">
        <f>84+((AW26-$AW$49)/($AW$48-$AW$49)*(92-84))</f>
        <v>90.6387895819865</v>
      </c>
      <c r="AY26" s="207">
        <v>90.6387895819865</v>
      </c>
      <c r="AZ26" s="166" t="s">
        <v>150</v>
      </c>
      <c r="BA26" s="128" t="s">
        <v>150</v>
      </c>
    </row>
    <row r="27" customHeight="1" spans="1:53">
      <c r="A27" s="160">
        <v>16</v>
      </c>
      <c r="B27" s="160">
        <v>16</v>
      </c>
      <c r="C27" s="161" t="s">
        <v>153</v>
      </c>
      <c r="D27" s="124">
        <v>242510050</v>
      </c>
      <c r="E27" s="124" t="s">
        <v>154</v>
      </c>
      <c r="F27" s="161" t="s">
        <v>155</v>
      </c>
      <c r="G27" s="161" t="s">
        <v>156</v>
      </c>
      <c r="H27" s="166" t="s">
        <v>157</v>
      </c>
      <c r="I27" s="161" t="s">
        <v>158</v>
      </c>
      <c r="J27" s="172" t="s">
        <v>76</v>
      </c>
      <c r="K27" s="86" t="s">
        <v>157</v>
      </c>
      <c r="L27" s="173">
        <v>39654</v>
      </c>
      <c r="M27" s="184" t="s">
        <v>130</v>
      </c>
      <c r="N27" s="179" t="s">
        <v>63</v>
      </c>
      <c r="O27" s="180">
        <v>100</v>
      </c>
      <c r="P27" s="161">
        <v>100</v>
      </c>
      <c r="Q27" s="160"/>
      <c r="R27" s="180">
        <v>100</v>
      </c>
      <c r="S27" s="160">
        <v>100</v>
      </c>
      <c r="T27" s="160">
        <v>100</v>
      </c>
      <c r="U27" s="160"/>
      <c r="V27" s="180">
        <v>100</v>
      </c>
      <c r="W27" s="160"/>
      <c r="X27" s="161">
        <v>100</v>
      </c>
      <c r="Y27" s="160"/>
      <c r="Z27" s="160"/>
      <c r="AA27" s="160">
        <v>4</v>
      </c>
      <c r="AB27" s="160">
        <v>99</v>
      </c>
      <c r="AC27" s="78">
        <f>SUM(AB27+X27+V27+T27+S27+R27+P27+O27)</f>
        <v>799</v>
      </c>
      <c r="AD27" s="160">
        <f>SUM(AA27+Z27+Y27+W27+U27+Q27)*100</f>
        <v>400</v>
      </c>
      <c r="AE27" s="196">
        <f>(0.8*AC27)+(0.2*AD27)</f>
        <v>719.2</v>
      </c>
      <c r="AF27" s="197">
        <f>84+((AE27-$AE$48)/($AE$47-$AE$48)*(92-84))</f>
        <v>90.5802816901409</v>
      </c>
      <c r="AG27" s="160">
        <v>100</v>
      </c>
      <c r="AH27" s="160">
        <v>100</v>
      </c>
      <c r="AI27" s="160"/>
      <c r="AJ27" s="160">
        <f>AQ27</f>
        <v>94</v>
      </c>
      <c r="AK27" s="160">
        <v>4</v>
      </c>
      <c r="AL27" s="161">
        <v>4</v>
      </c>
      <c r="AM27" s="161">
        <v>100</v>
      </c>
      <c r="AN27" s="161">
        <v>100</v>
      </c>
      <c r="AO27" s="161">
        <f>AG27+AH27+AM27+AN27</f>
        <v>400</v>
      </c>
      <c r="AP27" s="161">
        <f>AI27+AK27+AL27</f>
        <v>8</v>
      </c>
      <c r="AQ27" s="126">
        <v>94</v>
      </c>
      <c r="AR27" s="128" t="s">
        <v>159</v>
      </c>
      <c r="AT27" s="128">
        <f>(90%*AO27)+(10%*AP27*100)</f>
        <v>440</v>
      </c>
      <c r="AU27" s="204">
        <f>(AT27/$AT$48)*100</f>
        <v>93.6170212765958</v>
      </c>
      <c r="AV27" s="205">
        <f>(50%*AU27)+(50%*AQ27)</f>
        <v>93.8085106382979</v>
      </c>
      <c r="AW27" s="206">
        <f>(50%*AV27)+(50%*AF27)</f>
        <v>92.1943961642194</v>
      </c>
      <c r="AX27" s="205">
        <f>84+((AW27-$AW$49)/($AW$48-$AW$49)*(92-84))</f>
        <v>91.9202517421478</v>
      </c>
      <c r="AY27" s="207">
        <v>91.9202517421479</v>
      </c>
      <c r="AZ27" s="166" t="s">
        <v>157</v>
      </c>
      <c r="BA27" s="128" t="s">
        <v>157</v>
      </c>
    </row>
    <row r="28" customHeight="1" spans="1:53">
      <c r="A28" s="160">
        <v>15</v>
      </c>
      <c r="B28" s="160"/>
      <c r="C28" s="161"/>
      <c r="D28" s="124">
        <v>242510216</v>
      </c>
      <c r="E28" s="124" t="s">
        <v>160</v>
      </c>
      <c r="F28" s="161" t="s">
        <v>161</v>
      </c>
      <c r="G28" s="161" t="s">
        <v>162</v>
      </c>
      <c r="H28" s="166" t="s">
        <v>163</v>
      </c>
      <c r="I28" s="161" t="s">
        <v>158</v>
      </c>
      <c r="J28" s="172" t="s">
        <v>61</v>
      </c>
      <c r="K28" s="86" t="s">
        <v>163</v>
      </c>
      <c r="L28" s="173"/>
      <c r="M28" s="184"/>
      <c r="N28" s="179"/>
      <c r="O28" s="180">
        <v>100</v>
      </c>
      <c r="P28" s="161">
        <v>100</v>
      </c>
      <c r="Q28" s="160"/>
      <c r="R28" s="180">
        <v>100</v>
      </c>
      <c r="S28" s="160">
        <v>100</v>
      </c>
      <c r="T28" s="160">
        <v>100</v>
      </c>
      <c r="U28" s="160"/>
      <c r="V28" s="180">
        <v>100</v>
      </c>
      <c r="W28" s="160"/>
      <c r="X28" s="161">
        <v>100</v>
      </c>
      <c r="Y28" s="160"/>
      <c r="Z28" s="160"/>
      <c r="AA28" s="160"/>
      <c r="AB28" s="160">
        <v>90</v>
      </c>
      <c r="AC28" s="78">
        <f>SUM(AB28+X28+V28+T28+S28+R28+P28+O28)</f>
        <v>790</v>
      </c>
      <c r="AD28" s="160">
        <f>SUM(AA28+Z28+Y28+W28+U28+Q28)*100</f>
        <v>0</v>
      </c>
      <c r="AE28" s="196">
        <f>(0.8*AC28)+(0.2*AD28)</f>
        <v>632</v>
      </c>
      <c r="AF28" s="197">
        <f>84+((AE28-$AE$48)/($AE$47-$AE$48)*(92-84))</f>
        <v>89.3521126760563</v>
      </c>
      <c r="AG28" s="160">
        <v>100</v>
      </c>
      <c r="AH28" s="160">
        <v>100</v>
      </c>
      <c r="AI28" s="160"/>
      <c r="AJ28" s="160">
        <f>AQ28</f>
        <v>76</v>
      </c>
      <c r="AK28" s="160">
        <v>2</v>
      </c>
      <c r="AL28" s="161"/>
      <c r="AM28" s="161">
        <v>100</v>
      </c>
      <c r="AN28" s="161">
        <v>100</v>
      </c>
      <c r="AO28" s="161">
        <f>AG28+AH28+AM28+AN28</f>
        <v>400</v>
      </c>
      <c r="AP28" s="161">
        <f>AI28+AK28+AL28</f>
        <v>2</v>
      </c>
      <c r="AQ28" s="126">
        <v>76</v>
      </c>
      <c r="AR28" s="128" t="s">
        <v>164</v>
      </c>
      <c r="AT28" s="128">
        <f>(90%*AO28)+(10%*AP28*100)</f>
        <v>380</v>
      </c>
      <c r="AU28" s="204">
        <f>(AT28/$AT$48)*100</f>
        <v>80.8510638297872</v>
      </c>
      <c r="AV28" s="205">
        <f>(50%*AU28)+(50%*AQ28)</f>
        <v>78.4255319148936</v>
      </c>
      <c r="AW28" s="206">
        <f>(50%*AV28)+(50%*AF28)</f>
        <v>83.888822295475</v>
      </c>
      <c r="AX28" s="205">
        <f>84+((AW28-$AW$49)/($AW$48-$AW$49)*(92-84))</f>
        <v>87.3984047901163</v>
      </c>
      <c r="AY28" s="207">
        <v>87.3984047901163</v>
      </c>
      <c r="AZ28" s="166" t="s">
        <v>163</v>
      </c>
      <c r="BA28" s="128" t="s">
        <v>163</v>
      </c>
    </row>
    <row r="29" customHeight="1" spans="1:53">
      <c r="A29" s="160">
        <v>17</v>
      </c>
      <c r="B29" s="160">
        <v>18</v>
      </c>
      <c r="C29" s="161" t="s">
        <v>165</v>
      </c>
      <c r="D29" s="124">
        <v>242510175</v>
      </c>
      <c r="E29" s="124" t="s">
        <v>166</v>
      </c>
      <c r="F29" s="161" t="s">
        <v>167</v>
      </c>
      <c r="G29" s="161" t="s">
        <v>168</v>
      </c>
      <c r="H29" s="166" t="s">
        <v>169</v>
      </c>
      <c r="I29" s="161" t="s">
        <v>170</v>
      </c>
      <c r="J29" s="172" t="s">
        <v>61</v>
      </c>
      <c r="K29" s="86" t="s">
        <v>169</v>
      </c>
      <c r="L29" s="173">
        <v>39765</v>
      </c>
      <c r="M29" s="186" t="s">
        <v>171</v>
      </c>
      <c r="N29" s="179" t="s">
        <v>63</v>
      </c>
      <c r="O29" s="180">
        <v>100</v>
      </c>
      <c r="P29" s="161">
        <v>100</v>
      </c>
      <c r="Q29" s="160">
        <v>2</v>
      </c>
      <c r="R29" s="180">
        <v>100</v>
      </c>
      <c r="S29" s="160">
        <v>100</v>
      </c>
      <c r="T29" s="160">
        <v>100</v>
      </c>
      <c r="U29" s="160"/>
      <c r="V29" s="180">
        <v>100</v>
      </c>
      <c r="W29" s="160">
        <v>1</v>
      </c>
      <c r="X29" s="161">
        <v>100</v>
      </c>
      <c r="Y29" s="160">
        <v>1</v>
      </c>
      <c r="Z29" s="160"/>
      <c r="AA29" s="160"/>
      <c r="AB29" s="160">
        <v>100</v>
      </c>
      <c r="AC29" s="78">
        <f t="shared" ref="AC29:AC46" si="0">SUM(AB29+X29+V29+T29+S29+R29+P29+O29)</f>
        <v>800</v>
      </c>
      <c r="AD29" s="160">
        <f t="shared" ref="AD29:AD46" si="1">SUM(AA29+Z29+Y29+W29+U29+Q29)*100</f>
        <v>400</v>
      </c>
      <c r="AE29" s="196">
        <f t="shared" ref="AE29:AE46" si="2">(0.8*AC29)+(0.2*AD29)</f>
        <v>720</v>
      </c>
      <c r="AF29" s="197">
        <f t="shared" ref="AF29:AF46" si="3">84+((AE29-$AE$48)/($AE$47-$AE$48)*(92-84))</f>
        <v>90.5915492957747</v>
      </c>
      <c r="AG29" s="160">
        <v>100</v>
      </c>
      <c r="AH29" s="160">
        <v>100</v>
      </c>
      <c r="AI29" s="160"/>
      <c r="AJ29" s="160">
        <f t="shared" ref="AJ29:AJ46" si="4">AQ29</f>
        <v>94</v>
      </c>
      <c r="AK29" s="160">
        <v>5</v>
      </c>
      <c r="AL29" s="161"/>
      <c r="AM29" s="161">
        <v>100</v>
      </c>
      <c r="AN29" s="161">
        <v>100</v>
      </c>
      <c r="AO29" s="161">
        <f t="shared" ref="AO29:AO46" si="5">AG29+AH29+AM29+AN29</f>
        <v>400</v>
      </c>
      <c r="AP29" s="161">
        <f t="shared" ref="AP29:AP46" si="6">AI29+AK29+AL29</f>
        <v>5</v>
      </c>
      <c r="AQ29" s="126">
        <v>94</v>
      </c>
      <c r="AR29" s="128" t="s">
        <v>172</v>
      </c>
      <c r="AT29" s="128">
        <f t="shared" ref="AT29:AT46" si="7">(90%*AO29)+(10%*AP29*100)</f>
        <v>410</v>
      </c>
      <c r="AU29" s="204">
        <f t="shared" ref="AU29:AU46" si="8">(AT29/$AT$48)*100</f>
        <v>87.2340425531915</v>
      </c>
      <c r="AV29" s="205">
        <f t="shared" ref="AV29:AV46" si="9">(50%*AU29)+(50%*AQ29)</f>
        <v>90.6170212765958</v>
      </c>
      <c r="AW29" s="206">
        <f t="shared" ref="AW29:AW46" si="10">(50%*AV29)+(50%*AF29)</f>
        <v>90.6042852861852</v>
      </c>
      <c r="AX29" s="205">
        <f t="shared" ref="AX29:AX46" si="11">84+((AW29-$AW$49)/($AW$48-$AW$49)*(92-84))</f>
        <v>91.054539373459</v>
      </c>
      <c r="AY29" s="207">
        <v>91.054539373459</v>
      </c>
      <c r="AZ29" s="166" t="s">
        <v>169</v>
      </c>
      <c r="BA29" s="128" t="s">
        <v>169</v>
      </c>
    </row>
    <row r="30" customHeight="1" spans="1:53">
      <c r="A30" s="160">
        <v>18</v>
      </c>
      <c r="B30" s="160">
        <v>19</v>
      </c>
      <c r="C30" s="161" t="s">
        <v>173</v>
      </c>
      <c r="D30" s="124">
        <v>242510219</v>
      </c>
      <c r="E30" s="124" t="s">
        <v>174</v>
      </c>
      <c r="F30" s="161" t="s">
        <v>175</v>
      </c>
      <c r="G30" s="161" t="s">
        <v>176</v>
      </c>
      <c r="H30" s="166" t="s">
        <v>177</v>
      </c>
      <c r="I30" s="161" t="s">
        <v>178</v>
      </c>
      <c r="J30" s="172" t="s">
        <v>61</v>
      </c>
      <c r="K30" s="86" t="s">
        <v>177</v>
      </c>
      <c r="L30" s="173">
        <v>39736</v>
      </c>
      <c r="M30" s="185" t="s">
        <v>144</v>
      </c>
      <c r="N30" s="179" t="s">
        <v>63</v>
      </c>
      <c r="O30" s="180">
        <v>100</v>
      </c>
      <c r="P30" s="161">
        <v>100</v>
      </c>
      <c r="Q30" s="160"/>
      <c r="R30" s="180">
        <v>100</v>
      </c>
      <c r="S30" s="160">
        <v>100</v>
      </c>
      <c r="T30" s="160">
        <v>100</v>
      </c>
      <c r="U30" s="160"/>
      <c r="V30" s="180">
        <v>100</v>
      </c>
      <c r="W30" s="160"/>
      <c r="X30" s="161">
        <v>100</v>
      </c>
      <c r="Y30" s="160"/>
      <c r="Z30" s="160"/>
      <c r="AA30" s="160">
        <v>2</v>
      </c>
      <c r="AB30" s="160">
        <v>95</v>
      </c>
      <c r="AC30" s="78">
        <f t="shared" si="0"/>
        <v>795</v>
      </c>
      <c r="AD30" s="160">
        <f t="shared" si="1"/>
        <v>200</v>
      </c>
      <c r="AE30" s="196">
        <f t="shared" si="2"/>
        <v>676</v>
      </c>
      <c r="AF30" s="197">
        <f t="shared" si="3"/>
        <v>89.9718309859155</v>
      </c>
      <c r="AG30" s="160">
        <v>100</v>
      </c>
      <c r="AH30" s="160">
        <v>100</v>
      </c>
      <c r="AI30" s="160"/>
      <c r="AJ30" s="160">
        <f t="shared" si="4"/>
        <v>72</v>
      </c>
      <c r="AK30" s="160">
        <v>3</v>
      </c>
      <c r="AL30" s="161"/>
      <c r="AM30" s="161">
        <v>100</v>
      </c>
      <c r="AN30" s="161">
        <v>100</v>
      </c>
      <c r="AO30" s="161">
        <f t="shared" si="5"/>
        <v>400</v>
      </c>
      <c r="AP30" s="161">
        <f t="shared" si="6"/>
        <v>3</v>
      </c>
      <c r="AQ30" s="126">
        <v>72</v>
      </c>
      <c r="AR30" s="128" t="s">
        <v>179</v>
      </c>
      <c r="AT30" s="128">
        <f t="shared" si="7"/>
        <v>390</v>
      </c>
      <c r="AU30" s="204">
        <f t="shared" si="8"/>
        <v>82.9787234042553</v>
      </c>
      <c r="AV30" s="205">
        <f t="shared" si="9"/>
        <v>77.4893617021277</v>
      </c>
      <c r="AW30" s="206">
        <f t="shared" si="10"/>
        <v>83.7305963440216</v>
      </c>
      <c r="AX30" s="205">
        <f t="shared" si="11"/>
        <v>87.3122610091303</v>
      </c>
      <c r="AY30" s="207">
        <v>87.3122610091304</v>
      </c>
      <c r="AZ30" s="166" t="s">
        <v>177</v>
      </c>
      <c r="BA30" s="128" t="s">
        <v>177</v>
      </c>
    </row>
    <row r="31" customHeight="1" spans="1:53">
      <c r="A31" s="160">
        <v>19</v>
      </c>
      <c r="B31" s="160">
        <v>20</v>
      </c>
      <c r="C31" s="161" t="s">
        <v>180</v>
      </c>
      <c r="D31" s="124">
        <v>242510022</v>
      </c>
      <c r="E31" s="124" t="s">
        <v>181</v>
      </c>
      <c r="F31" s="161" t="s">
        <v>182</v>
      </c>
      <c r="G31" s="161" t="s">
        <v>183</v>
      </c>
      <c r="H31" s="166" t="s">
        <v>184</v>
      </c>
      <c r="I31" s="161" t="s">
        <v>151</v>
      </c>
      <c r="J31" s="172" t="s">
        <v>61</v>
      </c>
      <c r="K31" s="86" t="s">
        <v>184</v>
      </c>
      <c r="L31" s="173">
        <v>39768</v>
      </c>
      <c r="M31" s="182" t="s">
        <v>77</v>
      </c>
      <c r="N31" s="179" t="s">
        <v>63</v>
      </c>
      <c r="O31" s="180">
        <v>100</v>
      </c>
      <c r="P31" s="161">
        <v>100</v>
      </c>
      <c r="Q31" s="160">
        <v>2</v>
      </c>
      <c r="R31" s="180">
        <v>100</v>
      </c>
      <c r="S31" s="160">
        <v>100</v>
      </c>
      <c r="T31" s="160">
        <v>100</v>
      </c>
      <c r="U31" s="160">
        <v>1</v>
      </c>
      <c r="V31" s="180">
        <v>100</v>
      </c>
      <c r="W31" s="160">
        <v>2</v>
      </c>
      <c r="X31" s="161">
        <v>100</v>
      </c>
      <c r="Y31" s="160">
        <v>1</v>
      </c>
      <c r="Z31" s="160"/>
      <c r="AA31" s="160">
        <v>3</v>
      </c>
      <c r="AB31" s="160">
        <v>100</v>
      </c>
      <c r="AC31" s="78">
        <f t="shared" si="0"/>
        <v>800</v>
      </c>
      <c r="AD31" s="160">
        <f t="shared" si="1"/>
        <v>900</v>
      </c>
      <c r="AE31" s="196">
        <f t="shared" si="2"/>
        <v>820</v>
      </c>
      <c r="AF31" s="197">
        <f t="shared" si="3"/>
        <v>92</v>
      </c>
      <c r="AG31" s="160">
        <v>100</v>
      </c>
      <c r="AH31" s="160">
        <v>100</v>
      </c>
      <c r="AI31" s="160"/>
      <c r="AJ31" s="160">
        <f t="shared" si="4"/>
        <v>91</v>
      </c>
      <c r="AK31" s="160">
        <v>4</v>
      </c>
      <c r="AL31" s="161"/>
      <c r="AM31" s="161">
        <v>100</v>
      </c>
      <c r="AN31" s="161">
        <v>100</v>
      </c>
      <c r="AO31" s="161">
        <f t="shared" si="5"/>
        <v>400</v>
      </c>
      <c r="AP31" s="161">
        <f t="shared" si="6"/>
        <v>4</v>
      </c>
      <c r="AQ31" s="126">
        <v>91</v>
      </c>
      <c r="AR31" s="128" t="s">
        <v>185</v>
      </c>
      <c r="AT31" s="128">
        <f t="shared" si="7"/>
        <v>400</v>
      </c>
      <c r="AU31" s="204">
        <f t="shared" si="8"/>
        <v>85.1063829787234</v>
      </c>
      <c r="AV31" s="205">
        <f t="shared" si="9"/>
        <v>88.0531914893617</v>
      </c>
      <c r="AW31" s="206">
        <f t="shared" si="10"/>
        <v>90.0265957446808</v>
      </c>
      <c r="AX31" s="205">
        <f t="shared" si="11"/>
        <v>90.740024839755</v>
      </c>
      <c r="AY31" s="207">
        <v>90.740024839755</v>
      </c>
      <c r="AZ31" s="166" t="s">
        <v>184</v>
      </c>
      <c r="BA31" s="128" t="s">
        <v>184</v>
      </c>
    </row>
    <row r="32" customHeight="1" spans="1:53">
      <c r="A32" s="160">
        <v>20</v>
      </c>
      <c r="B32" s="160">
        <v>21</v>
      </c>
      <c r="C32" s="161" t="s">
        <v>186</v>
      </c>
      <c r="D32" s="124">
        <v>242510055</v>
      </c>
      <c r="E32" s="124" t="s">
        <v>187</v>
      </c>
      <c r="F32" s="161" t="s">
        <v>188</v>
      </c>
      <c r="G32" s="161" t="s">
        <v>189</v>
      </c>
      <c r="H32" s="166" t="s">
        <v>190</v>
      </c>
      <c r="I32" s="161" t="s">
        <v>60</v>
      </c>
      <c r="J32" s="172" t="s">
        <v>61</v>
      </c>
      <c r="K32" s="86" t="s">
        <v>190</v>
      </c>
      <c r="L32" s="173">
        <v>39896</v>
      </c>
      <c r="M32" s="183" t="s">
        <v>90</v>
      </c>
      <c r="N32" s="179" t="s">
        <v>63</v>
      </c>
      <c r="O32" s="180">
        <v>100</v>
      </c>
      <c r="P32" s="161">
        <v>100</v>
      </c>
      <c r="Q32" s="160"/>
      <c r="R32" s="180">
        <v>100</v>
      </c>
      <c r="S32" s="160">
        <v>100</v>
      </c>
      <c r="T32" s="160">
        <v>100</v>
      </c>
      <c r="U32" s="160"/>
      <c r="V32" s="180">
        <v>100</v>
      </c>
      <c r="W32" s="160"/>
      <c r="X32" s="161">
        <v>100</v>
      </c>
      <c r="Y32" s="160"/>
      <c r="Z32" s="160">
        <v>1</v>
      </c>
      <c r="AA32" s="160">
        <v>2</v>
      </c>
      <c r="AB32" s="160">
        <v>98</v>
      </c>
      <c r="AC32" s="78">
        <f t="shared" si="0"/>
        <v>798</v>
      </c>
      <c r="AD32" s="160">
        <f t="shared" si="1"/>
        <v>300</v>
      </c>
      <c r="AE32" s="196">
        <f t="shared" si="2"/>
        <v>698.4</v>
      </c>
      <c r="AF32" s="197">
        <f t="shared" si="3"/>
        <v>90.287323943662</v>
      </c>
      <c r="AG32" s="160">
        <v>100</v>
      </c>
      <c r="AH32" s="160">
        <v>100</v>
      </c>
      <c r="AI32" s="160"/>
      <c r="AJ32" s="160">
        <f t="shared" si="4"/>
        <v>88</v>
      </c>
      <c r="AK32" s="160"/>
      <c r="AL32" s="161"/>
      <c r="AM32" s="161">
        <v>100</v>
      </c>
      <c r="AN32" s="161">
        <v>100</v>
      </c>
      <c r="AO32" s="161">
        <f t="shared" si="5"/>
        <v>400</v>
      </c>
      <c r="AP32" s="161">
        <f t="shared" si="6"/>
        <v>0</v>
      </c>
      <c r="AQ32" s="126">
        <v>88</v>
      </c>
      <c r="AR32" s="128" t="s">
        <v>191</v>
      </c>
      <c r="AT32" s="128">
        <f t="shared" si="7"/>
        <v>360</v>
      </c>
      <c r="AU32" s="204">
        <f t="shared" si="8"/>
        <v>76.5957446808511</v>
      </c>
      <c r="AV32" s="205">
        <f t="shared" si="9"/>
        <v>82.2978723404255</v>
      </c>
      <c r="AW32" s="206">
        <f t="shared" si="10"/>
        <v>86.2925981420437</v>
      </c>
      <c r="AX32" s="205">
        <f t="shared" si="11"/>
        <v>88.7071050264815</v>
      </c>
      <c r="AY32" s="207">
        <v>88.7071050264815</v>
      </c>
      <c r="AZ32" s="166" t="s">
        <v>190</v>
      </c>
      <c r="BA32" s="128" t="s">
        <v>190</v>
      </c>
    </row>
    <row r="33" customHeight="1" spans="1:53">
      <c r="A33" s="160">
        <v>21</v>
      </c>
      <c r="B33" s="160">
        <v>22</v>
      </c>
      <c r="C33" s="161" t="s">
        <v>192</v>
      </c>
      <c r="D33" s="124">
        <v>242510023</v>
      </c>
      <c r="E33" s="124" t="s">
        <v>193</v>
      </c>
      <c r="F33" s="161" t="s">
        <v>194</v>
      </c>
      <c r="G33" s="161" t="s">
        <v>195</v>
      </c>
      <c r="H33" s="166" t="s">
        <v>196</v>
      </c>
      <c r="I33" s="161" t="s">
        <v>197</v>
      </c>
      <c r="J33" s="172" t="s">
        <v>61</v>
      </c>
      <c r="K33" s="86" t="s">
        <v>196</v>
      </c>
      <c r="L33" s="173">
        <v>40031</v>
      </c>
      <c r="M33" s="183" t="s">
        <v>90</v>
      </c>
      <c r="N33" s="179" t="s">
        <v>63</v>
      </c>
      <c r="O33" s="180">
        <v>100</v>
      </c>
      <c r="P33" s="161">
        <v>100</v>
      </c>
      <c r="Q33" s="160">
        <v>1</v>
      </c>
      <c r="R33" s="180">
        <v>100</v>
      </c>
      <c r="S33" s="160">
        <v>100</v>
      </c>
      <c r="T33" s="160">
        <v>100</v>
      </c>
      <c r="U33" s="160"/>
      <c r="V33" s="180">
        <v>100</v>
      </c>
      <c r="W33" s="160"/>
      <c r="X33" s="161">
        <v>100</v>
      </c>
      <c r="Y33" s="160">
        <v>1</v>
      </c>
      <c r="Z33" s="160"/>
      <c r="AA33" s="160">
        <v>3</v>
      </c>
      <c r="AB33" s="160">
        <v>93</v>
      </c>
      <c r="AC33" s="78">
        <f t="shared" si="0"/>
        <v>793</v>
      </c>
      <c r="AD33" s="160">
        <f t="shared" si="1"/>
        <v>500</v>
      </c>
      <c r="AE33" s="196">
        <f t="shared" si="2"/>
        <v>734.4</v>
      </c>
      <c r="AF33" s="197">
        <f t="shared" si="3"/>
        <v>90.7943661971831</v>
      </c>
      <c r="AG33" s="160">
        <v>100</v>
      </c>
      <c r="AH33" s="160">
        <v>100</v>
      </c>
      <c r="AI33" s="160">
        <v>1</v>
      </c>
      <c r="AJ33" s="160">
        <f t="shared" si="4"/>
        <v>88</v>
      </c>
      <c r="AK33" s="160"/>
      <c r="AL33" s="161"/>
      <c r="AM33" s="161">
        <v>100</v>
      </c>
      <c r="AN33" s="161">
        <v>100</v>
      </c>
      <c r="AO33" s="161">
        <f t="shared" si="5"/>
        <v>400</v>
      </c>
      <c r="AP33" s="161">
        <f t="shared" si="6"/>
        <v>1</v>
      </c>
      <c r="AQ33" s="126">
        <v>88</v>
      </c>
      <c r="AR33" s="128" t="s">
        <v>198</v>
      </c>
      <c r="AT33" s="128">
        <f t="shared" si="7"/>
        <v>370</v>
      </c>
      <c r="AU33" s="204">
        <f t="shared" si="8"/>
        <v>78.7234042553192</v>
      </c>
      <c r="AV33" s="205">
        <f t="shared" si="9"/>
        <v>83.3617021276596</v>
      </c>
      <c r="AW33" s="206">
        <f t="shared" si="10"/>
        <v>87.0780341624213</v>
      </c>
      <c r="AX33" s="205">
        <f t="shared" si="11"/>
        <v>89.1347240605046</v>
      </c>
      <c r="AY33" s="207">
        <v>89.1347240605046</v>
      </c>
      <c r="AZ33" s="166" t="s">
        <v>196</v>
      </c>
      <c r="BA33" s="128" t="s">
        <v>199</v>
      </c>
    </row>
    <row r="34" customHeight="1" spans="1:53">
      <c r="A34" s="160">
        <v>22</v>
      </c>
      <c r="B34" s="162">
        <v>296</v>
      </c>
      <c r="C34" s="161" t="s">
        <v>200</v>
      </c>
      <c r="D34" s="124">
        <v>242510409</v>
      </c>
      <c r="E34" s="124" t="s">
        <v>201</v>
      </c>
      <c r="F34" s="161" t="s">
        <v>202</v>
      </c>
      <c r="G34" s="161" t="s">
        <v>203</v>
      </c>
      <c r="H34" s="166" t="s">
        <v>204</v>
      </c>
      <c r="I34" s="161" t="s">
        <v>60</v>
      </c>
      <c r="J34" s="172" t="s">
        <v>61</v>
      </c>
      <c r="K34" s="86" t="s">
        <v>204</v>
      </c>
      <c r="L34" s="173">
        <v>39926</v>
      </c>
      <c r="M34" s="186" t="s">
        <v>171</v>
      </c>
      <c r="N34" s="179" t="s">
        <v>63</v>
      </c>
      <c r="O34" s="180">
        <v>100</v>
      </c>
      <c r="P34" s="161">
        <v>100</v>
      </c>
      <c r="Q34" s="160"/>
      <c r="R34" s="180">
        <v>100</v>
      </c>
      <c r="S34" s="160">
        <v>100</v>
      </c>
      <c r="T34" s="160">
        <v>100</v>
      </c>
      <c r="U34" s="160"/>
      <c r="V34" s="180">
        <v>100</v>
      </c>
      <c r="W34" s="160"/>
      <c r="X34" s="161">
        <v>100</v>
      </c>
      <c r="Y34" s="160"/>
      <c r="Z34" s="160"/>
      <c r="AA34" s="160">
        <v>2</v>
      </c>
      <c r="AB34" s="160">
        <v>99</v>
      </c>
      <c r="AC34" s="78">
        <f t="shared" si="0"/>
        <v>799</v>
      </c>
      <c r="AD34" s="160">
        <f t="shared" si="1"/>
        <v>200</v>
      </c>
      <c r="AE34" s="196">
        <f t="shared" si="2"/>
        <v>679.2</v>
      </c>
      <c r="AF34" s="197">
        <f t="shared" si="3"/>
        <v>90.0169014084507</v>
      </c>
      <c r="AG34" s="160">
        <v>100</v>
      </c>
      <c r="AH34" s="160">
        <v>100</v>
      </c>
      <c r="AI34" s="160"/>
      <c r="AJ34" s="160">
        <f t="shared" si="4"/>
        <v>88</v>
      </c>
      <c r="AK34" s="160">
        <v>2</v>
      </c>
      <c r="AL34" s="161"/>
      <c r="AM34" s="161"/>
      <c r="AN34" s="161"/>
      <c r="AO34" s="161">
        <f t="shared" si="5"/>
        <v>200</v>
      </c>
      <c r="AP34" s="161">
        <f t="shared" si="6"/>
        <v>2</v>
      </c>
      <c r="AQ34" s="126">
        <v>88</v>
      </c>
      <c r="AR34" s="128" t="s">
        <v>205</v>
      </c>
      <c r="AT34" s="128">
        <f t="shared" si="7"/>
        <v>200</v>
      </c>
      <c r="AU34" s="204">
        <f t="shared" si="8"/>
        <v>42.5531914893617</v>
      </c>
      <c r="AV34" s="205">
        <f t="shared" si="9"/>
        <v>65.2765957446808</v>
      </c>
      <c r="AW34" s="206">
        <f t="shared" si="10"/>
        <v>77.6467485765658</v>
      </c>
      <c r="AX34" s="205">
        <f t="shared" si="11"/>
        <v>84</v>
      </c>
      <c r="AY34" s="207">
        <v>86</v>
      </c>
      <c r="AZ34" s="166" t="s">
        <v>204</v>
      </c>
      <c r="BA34" s="128" t="s">
        <v>204</v>
      </c>
    </row>
    <row r="35" customHeight="1" spans="1:53">
      <c r="A35" s="160">
        <v>23</v>
      </c>
      <c r="B35" s="160">
        <v>23</v>
      </c>
      <c r="C35" s="161" t="s">
        <v>206</v>
      </c>
      <c r="D35" s="124">
        <v>242510411</v>
      </c>
      <c r="E35" s="124" t="s">
        <v>207</v>
      </c>
      <c r="F35" s="161" t="s">
        <v>208</v>
      </c>
      <c r="G35" s="161" t="s">
        <v>209</v>
      </c>
      <c r="H35" s="166" t="s">
        <v>210</v>
      </c>
      <c r="I35" s="161" t="s">
        <v>211</v>
      </c>
      <c r="J35" s="172" t="s">
        <v>61</v>
      </c>
      <c r="K35" s="86" t="s">
        <v>210</v>
      </c>
      <c r="L35" s="173">
        <v>39669</v>
      </c>
      <c r="M35" s="184" t="s">
        <v>130</v>
      </c>
      <c r="N35" s="179" t="s">
        <v>63</v>
      </c>
      <c r="O35" s="180">
        <v>100</v>
      </c>
      <c r="P35" s="161">
        <v>100</v>
      </c>
      <c r="Q35" s="160">
        <v>1</v>
      </c>
      <c r="R35" s="180">
        <v>100</v>
      </c>
      <c r="S35" s="160">
        <v>100</v>
      </c>
      <c r="T35" s="160">
        <v>100</v>
      </c>
      <c r="U35" s="160"/>
      <c r="V35" s="180">
        <v>100</v>
      </c>
      <c r="W35" s="160">
        <v>1</v>
      </c>
      <c r="X35" s="161">
        <v>100</v>
      </c>
      <c r="Y35" s="160"/>
      <c r="Z35" s="160">
        <v>1</v>
      </c>
      <c r="AA35" s="160">
        <v>3</v>
      </c>
      <c r="AB35" s="160">
        <v>100</v>
      </c>
      <c r="AC35" s="78">
        <f t="shared" si="0"/>
        <v>800</v>
      </c>
      <c r="AD35" s="160">
        <f t="shared" si="1"/>
        <v>600</v>
      </c>
      <c r="AE35" s="196">
        <f t="shared" si="2"/>
        <v>760</v>
      </c>
      <c r="AF35" s="197">
        <f t="shared" si="3"/>
        <v>91.1549295774648</v>
      </c>
      <c r="AG35" s="160">
        <v>100</v>
      </c>
      <c r="AH35" s="160">
        <v>100</v>
      </c>
      <c r="AI35" s="160"/>
      <c r="AJ35" s="160">
        <f t="shared" si="4"/>
        <v>91</v>
      </c>
      <c r="AK35" s="160">
        <v>5</v>
      </c>
      <c r="AL35" s="161"/>
      <c r="AM35" s="161">
        <v>100</v>
      </c>
      <c r="AN35" s="161">
        <v>100</v>
      </c>
      <c r="AO35" s="161">
        <f t="shared" si="5"/>
        <v>400</v>
      </c>
      <c r="AP35" s="161">
        <f t="shared" si="6"/>
        <v>5</v>
      </c>
      <c r="AQ35" s="126">
        <v>91</v>
      </c>
      <c r="AR35" s="128" t="s">
        <v>212</v>
      </c>
      <c r="AT35" s="128">
        <f t="shared" si="7"/>
        <v>410</v>
      </c>
      <c r="AU35" s="204">
        <f t="shared" si="8"/>
        <v>87.2340425531915</v>
      </c>
      <c r="AV35" s="205">
        <f t="shared" si="9"/>
        <v>89.1170212765958</v>
      </c>
      <c r="AW35" s="206">
        <f t="shared" si="10"/>
        <v>90.1359754270303</v>
      </c>
      <c r="AX35" s="205">
        <f t="shared" si="11"/>
        <v>90.7995749913836</v>
      </c>
      <c r="AY35" s="207">
        <v>90.7995749913836</v>
      </c>
      <c r="AZ35" s="166" t="s">
        <v>210</v>
      </c>
      <c r="BA35" s="128" t="s">
        <v>210</v>
      </c>
    </row>
    <row r="36" customHeight="1" spans="1:53">
      <c r="A36" s="160">
        <v>24</v>
      </c>
      <c r="B36" s="160">
        <v>24</v>
      </c>
      <c r="C36" s="161" t="s">
        <v>213</v>
      </c>
      <c r="D36" s="124">
        <v>242510061</v>
      </c>
      <c r="E36" s="124" t="s">
        <v>214</v>
      </c>
      <c r="F36" s="161" t="s">
        <v>215</v>
      </c>
      <c r="G36" s="161" t="s">
        <v>216</v>
      </c>
      <c r="H36" s="166" t="s">
        <v>217</v>
      </c>
      <c r="I36" s="161" t="s">
        <v>218</v>
      </c>
      <c r="J36" s="172" t="s">
        <v>61</v>
      </c>
      <c r="K36" s="86" t="s">
        <v>217</v>
      </c>
      <c r="L36" s="173">
        <v>39911</v>
      </c>
      <c r="M36" s="181" t="s">
        <v>53</v>
      </c>
      <c r="N36" s="179" t="s">
        <v>63</v>
      </c>
      <c r="O36" s="180">
        <v>100</v>
      </c>
      <c r="P36" s="161">
        <v>100</v>
      </c>
      <c r="Q36" s="160"/>
      <c r="R36" s="180">
        <v>100</v>
      </c>
      <c r="S36" s="160">
        <v>100</v>
      </c>
      <c r="T36" s="160">
        <v>100</v>
      </c>
      <c r="U36" s="160"/>
      <c r="V36" s="180">
        <v>100</v>
      </c>
      <c r="W36" s="160"/>
      <c r="X36" s="161">
        <v>100</v>
      </c>
      <c r="Y36" s="160"/>
      <c r="Z36" s="160"/>
      <c r="AA36" s="160">
        <v>1</v>
      </c>
      <c r="AB36" s="160">
        <v>100</v>
      </c>
      <c r="AC36" s="78">
        <f t="shared" si="0"/>
        <v>800</v>
      </c>
      <c r="AD36" s="160">
        <f t="shared" si="1"/>
        <v>100</v>
      </c>
      <c r="AE36" s="196">
        <f t="shared" si="2"/>
        <v>660</v>
      </c>
      <c r="AF36" s="197">
        <f t="shared" si="3"/>
        <v>89.7464788732394</v>
      </c>
      <c r="AG36" s="160">
        <v>100</v>
      </c>
      <c r="AH36" s="160">
        <v>100</v>
      </c>
      <c r="AI36" s="160"/>
      <c r="AJ36" s="160">
        <f t="shared" si="4"/>
        <v>91</v>
      </c>
      <c r="AK36" s="160">
        <v>5</v>
      </c>
      <c r="AL36" s="161"/>
      <c r="AM36" s="161">
        <v>100</v>
      </c>
      <c r="AN36" s="161">
        <v>100</v>
      </c>
      <c r="AO36" s="161">
        <f t="shared" si="5"/>
        <v>400</v>
      </c>
      <c r="AP36" s="161">
        <f t="shared" si="6"/>
        <v>5</v>
      </c>
      <c r="AQ36" s="126">
        <v>91</v>
      </c>
      <c r="AR36" s="128" t="s">
        <v>219</v>
      </c>
      <c r="AT36" s="128">
        <f t="shared" si="7"/>
        <v>410</v>
      </c>
      <c r="AU36" s="204">
        <f t="shared" si="8"/>
        <v>87.2340425531915</v>
      </c>
      <c r="AV36" s="205">
        <f t="shared" si="9"/>
        <v>89.1170212765958</v>
      </c>
      <c r="AW36" s="206">
        <f t="shared" si="10"/>
        <v>89.4317500749176</v>
      </c>
      <c r="AX36" s="205">
        <f t="shared" si="11"/>
        <v>90.4161699055559</v>
      </c>
      <c r="AY36" s="207">
        <v>90.4161699055559</v>
      </c>
      <c r="AZ36" s="166" t="s">
        <v>217</v>
      </c>
      <c r="BA36" s="128" t="s">
        <v>217</v>
      </c>
    </row>
    <row r="37" customHeight="1" spans="1:53">
      <c r="A37" s="160">
        <v>25</v>
      </c>
      <c r="B37" s="160">
        <v>25</v>
      </c>
      <c r="C37" s="161" t="s">
        <v>220</v>
      </c>
      <c r="D37" s="124">
        <v>242510062</v>
      </c>
      <c r="E37" s="124" t="s">
        <v>221</v>
      </c>
      <c r="F37" s="161" t="s">
        <v>222</v>
      </c>
      <c r="G37" s="161" t="s">
        <v>223</v>
      </c>
      <c r="H37" s="166" t="s">
        <v>224</v>
      </c>
      <c r="I37" s="161" t="s">
        <v>225</v>
      </c>
      <c r="J37" s="172" t="s">
        <v>61</v>
      </c>
      <c r="K37" s="86" t="s">
        <v>224</v>
      </c>
      <c r="L37" s="173">
        <v>39728</v>
      </c>
      <c r="M37" s="183" t="s">
        <v>90</v>
      </c>
      <c r="N37" s="179" t="s">
        <v>63</v>
      </c>
      <c r="O37" s="180">
        <v>100</v>
      </c>
      <c r="P37" s="161">
        <v>100</v>
      </c>
      <c r="Q37" s="160">
        <v>1</v>
      </c>
      <c r="R37" s="180">
        <v>100</v>
      </c>
      <c r="S37" s="160">
        <v>100</v>
      </c>
      <c r="T37" s="160">
        <v>100</v>
      </c>
      <c r="U37" s="160"/>
      <c r="V37" s="180">
        <v>100</v>
      </c>
      <c r="W37" s="160"/>
      <c r="X37" s="161">
        <v>100</v>
      </c>
      <c r="Y37" s="160">
        <v>1</v>
      </c>
      <c r="Z37" s="160"/>
      <c r="AA37" s="160"/>
      <c r="AB37" s="160">
        <v>100</v>
      </c>
      <c r="AC37" s="78">
        <f t="shared" si="0"/>
        <v>800</v>
      </c>
      <c r="AD37" s="160">
        <f t="shared" si="1"/>
        <v>200</v>
      </c>
      <c r="AE37" s="196">
        <f t="shared" si="2"/>
        <v>680</v>
      </c>
      <c r="AF37" s="197">
        <f t="shared" si="3"/>
        <v>90.0281690140845</v>
      </c>
      <c r="AG37" s="160">
        <v>100</v>
      </c>
      <c r="AH37" s="160">
        <v>100</v>
      </c>
      <c r="AI37" s="160">
        <v>4</v>
      </c>
      <c r="AJ37" s="160">
        <f t="shared" si="4"/>
        <v>94</v>
      </c>
      <c r="AK37" s="160">
        <v>3</v>
      </c>
      <c r="AL37" s="161"/>
      <c r="AM37" s="161"/>
      <c r="AN37" s="161"/>
      <c r="AO37" s="161">
        <f t="shared" si="5"/>
        <v>200</v>
      </c>
      <c r="AP37" s="161">
        <f t="shared" si="6"/>
        <v>7</v>
      </c>
      <c r="AQ37" s="126">
        <v>94</v>
      </c>
      <c r="AR37" s="128" t="s">
        <v>226</v>
      </c>
      <c r="AT37" s="128">
        <f t="shared" si="7"/>
        <v>250</v>
      </c>
      <c r="AU37" s="204">
        <f t="shared" si="8"/>
        <v>53.1914893617021</v>
      </c>
      <c r="AV37" s="205">
        <f t="shared" si="9"/>
        <v>73.5957446808511</v>
      </c>
      <c r="AW37" s="206">
        <f t="shared" si="10"/>
        <v>81.8119568474678</v>
      </c>
      <c r="AX37" s="205">
        <f t="shared" si="11"/>
        <v>86.2676860891254</v>
      </c>
      <c r="AY37" s="207">
        <v>86.2676860891254</v>
      </c>
      <c r="AZ37" s="166" t="s">
        <v>224</v>
      </c>
      <c r="BA37" s="128" t="s">
        <v>224</v>
      </c>
    </row>
    <row r="38" customHeight="1" spans="1:53">
      <c r="A38" s="160">
        <v>26</v>
      </c>
      <c r="B38" s="160">
        <v>26</v>
      </c>
      <c r="C38" s="161" t="s">
        <v>227</v>
      </c>
      <c r="D38" s="124">
        <v>242510378</v>
      </c>
      <c r="E38" s="124" t="s">
        <v>228</v>
      </c>
      <c r="F38" s="161" t="s">
        <v>229</v>
      </c>
      <c r="G38" s="161" t="s">
        <v>230</v>
      </c>
      <c r="H38" s="166" t="s">
        <v>231</v>
      </c>
      <c r="I38" s="161" t="s">
        <v>232</v>
      </c>
      <c r="J38" s="172" t="s">
        <v>61</v>
      </c>
      <c r="K38" s="86" t="s">
        <v>231</v>
      </c>
      <c r="L38" s="173">
        <v>39846</v>
      </c>
      <c r="M38" s="182" t="s">
        <v>77</v>
      </c>
      <c r="N38" s="179" t="s">
        <v>63</v>
      </c>
      <c r="O38" s="180">
        <v>100</v>
      </c>
      <c r="P38" s="161">
        <v>100</v>
      </c>
      <c r="Q38" s="160"/>
      <c r="R38" s="180">
        <v>100</v>
      </c>
      <c r="S38" s="160">
        <v>100</v>
      </c>
      <c r="T38" s="160">
        <v>100</v>
      </c>
      <c r="U38" s="160"/>
      <c r="V38" s="180">
        <v>100</v>
      </c>
      <c r="W38" s="160"/>
      <c r="X38" s="161">
        <v>100</v>
      </c>
      <c r="Y38" s="160">
        <v>1</v>
      </c>
      <c r="Z38" s="160">
        <v>1</v>
      </c>
      <c r="AA38" s="160">
        <v>5</v>
      </c>
      <c r="AB38" s="160">
        <v>100</v>
      </c>
      <c r="AC38" s="78">
        <f t="shared" si="0"/>
        <v>800</v>
      </c>
      <c r="AD38" s="160">
        <f t="shared" si="1"/>
        <v>700</v>
      </c>
      <c r="AE38" s="196">
        <f t="shared" si="2"/>
        <v>780</v>
      </c>
      <c r="AF38" s="197">
        <f t="shared" si="3"/>
        <v>91.4366197183099</v>
      </c>
      <c r="AG38" s="160">
        <v>100</v>
      </c>
      <c r="AH38" s="160">
        <v>100</v>
      </c>
      <c r="AI38" s="160">
        <v>2</v>
      </c>
      <c r="AJ38" s="160">
        <f t="shared" si="4"/>
        <v>94</v>
      </c>
      <c r="AK38" s="160">
        <v>5</v>
      </c>
      <c r="AL38" s="161"/>
      <c r="AM38" s="161">
        <v>100</v>
      </c>
      <c r="AN38" s="161">
        <v>100</v>
      </c>
      <c r="AO38" s="161">
        <f t="shared" si="5"/>
        <v>400</v>
      </c>
      <c r="AP38" s="161">
        <f t="shared" si="6"/>
        <v>7</v>
      </c>
      <c r="AQ38" s="126">
        <v>94</v>
      </c>
      <c r="AR38" s="128" t="s">
        <v>233</v>
      </c>
      <c r="AT38" s="128">
        <f t="shared" si="7"/>
        <v>430</v>
      </c>
      <c r="AU38" s="204">
        <f t="shared" si="8"/>
        <v>91.4893617021277</v>
      </c>
      <c r="AV38" s="205">
        <f t="shared" si="9"/>
        <v>92.7446808510638</v>
      </c>
      <c r="AW38" s="206">
        <f t="shared" si="10"/>
        <v>92.0906502846868</v>
      </c>
      <c r="AX38" s="205">
        <f t="shared" si="11"/>
        <v>91.8637688312059</v>
      </c>
      <c r="AY38" s="207">
        <v>91.8637688312059</v>
      </c>
      <c r="AZ38" s="166" t="s">
        <v>231</v>
      </c>
      <c r="BA38" s="128" t="s">
        <v>231</v>
      </c>
    </row>
    <row r="39" customHeight="1" spans="1:53">
      <c r="A39" s="160">
        <v>27</v>
      </c>
      <c r="B39" s="160">
        <v>27</v>
      </c>
      <c r="C39" s="161" t="s">
        <v>234</v>
      </c>
      <c r="D39" s="124">
        <v>242510230</v>
      </c>
      <c r="E39" s="124" t="s">
        <v>235</v>
      </c>
      <c r="F39" s="161" t="s">
        <v>236</v>
      </c>
      <c r="G39" s="161" t="s">
        <v>237</v>
      </c>
      <c r="H39" s="166" t="s">
        <v>238</v>
      </c>
      <c r="I39" s="161" t="s">
        <v>170</v>
      </c>
      <c r="J39" s="172" t="s">
        <v>61</v>
      </c>
      <c r="K39" s="86" t="s">
        <v>238</v>
      </c>
      <c r="L39" s="173">
        <v>39769</v>
      </c>
      <c r="M39" s="183" t="s">
        <v>90</v>
      </c>
      <c r="N39" s="179" t="s">
        <v>63</v>
      </c>
      <c r="O39" s="180">
        <v>100</v>
      </c>
      <c r="P39" s="161">
        <v>100</v>
      </c>
      <c r="Q39" s="160"/>
      <c r="R39" s="180">
        <v>100</v>
      </c>
      <c r="S39" s="160">
        <v>100</v>
      </c>
      <c r="T39" s="160">
        <v>100</v>
      </c>
      <c r="U39" s="160">
        <v>1</v>
      </c>
      <c r="V39" s="180"/>
      <c r="W39" s="160"/>
      <c r="X39" s="161">
        <v>100</v>
      </c>
      <c r="Y39" s="160"/>
      <c r="Z39" s="160"/>
      <c r="AA39" s="160"/>
      <c r="AB39" s="160">
        <v>90</v>
      </c>
      <c r="AC39" s="78">
        <f t="shared" si="0"/>
        <v>690</v>
      </c>
      <c r="AD39" s="160">
        <f t="shared" si="1"/>
        <v>100</v>
      </c>
      <c r="AE39" s="196">
        <f t="shared" si="2"/>
        <v>572</v>
      </c>
      <c r="AF39" s="197">
        <f t="shared" si="3"/>
        <v>88.5070422535211</v>
      </c>
      <c r="AG39" s="160">
        <v>100</v>
      </c>
      <c r="AH39" s="160">
        <v>100</v>
      </c>
      <c r="AI39" s="160">
        <v>1</v>
      </c>
      <c r="AJ39" s="160">
        <f t="shared" si="4"/>
        <v>91</v>
      </c>
      <c r="AK39" s="160">
        <v>3</v>
      </c>
      <c r="AL39" s="161"/>
      <c r="AM39" s="161">
        <v>100</v>
      </c>
      <c r="AN39" s="161">
        <v>100</v>
      </c>
      <c r="AO39" s="161">
        <f t="shared" si="5"/>
        <v>400</v>
      </c>
      <c r="AP39" s="161">
        <f t="shared" si="6"/>
        <v>4</v>
      </c>
      <c r="AQ39" s="126">
        <v>91</v>
      </c>
      <c r="AR39" s="128" t="s">
        <v>239</v>
      </c>
      <c r="AT39" s="128">
        <f t="shared" si="7"/>
        <v>400</v>
      </c>
      <c r="AU39" s="204">
        <f t="shared" si="8"/>
        <v>85.1063829787234</v>
      </c>
      <c r="AV39" s="205">
        <f t="shared" si="9"/>
        <v>88.0531914893617</v>
      </c>
      <c r="AW39" s="206">
        <f t="shared" si="10"/>
        <v>88.2801168714414</v>
      </c>
      <c r="AX39" s="205">
        <f t="shared" si="11"/>
        <v>89.7891802269024</v>
      </c>
      <c r="AY39" s="207">
        <v>89.7891802269024</v>
      </c>
      <c r="AZ39" s="166" t="s">
        <v>238</v>
      </c>
      <c r="BA39" s="128" t="s">
        <v>238</v>
      </c>
    </row>
    <row r="40" customHeight="1" spans="1:53">
      <c r="A40" s="160">
        <v>28</v>
      </c>
      <c r="B40" s="160">
        <v>28</v>
      </c>
      <c r="C40" s="161" t="s">
        <v>240</v>
      </c>
      <c r="D40" s="124">
        <v>242510110</v>
      </c>
      <c r="E40" s="124" t="s">
        <v>241</v>
      </c>
      <c r="F40" s="161" t="s">
        <v>242</v>
      </c>
      <c r="G40" s="161" t="s">
        <v>243</v>
      </c>
      <c r="H40" s="166" t="s">
        <v>244</v>
      </c>
      <c r="I40" s="161" t="s">
        <v>245</v>
      </c>
      <c r="J40" s="172" t="s">
        <v>61</v>
      </c>
      <c r="K40" s="86" t="s">
        <v>244</v>
      </c>
      <c r="L40" s="173">
        <v>39862</v>
      </c>
      <c r="M40" s="181" t="s">
        <v>53</v>
      </c>
      <c r="N40" s="179" t="s">
        <v>63</v>
      </c>
      <c r="O40" s="180">
        <v>100</v>
      </c>
      <c r="P40" s="161">
        <v>100</v>
      </c>
      <c r="Q40" s="160"/>
      <c r="R40" s="180">
        <v>100</v>
      </c>
      <c r="S40" s="160">
        <v>100</v>
      </c>
      <c r="T40" s="160">
        <v>100</v>
      </c>
      <c r="U40" s="160"/>
      <c r="V40" s="180">
        <v>100</v>
      </c>
      <c r="W40" s="160"/>
      <c r="X40" s="161">
        <v>100</v>
      </c>
      <c r="Y40" s="160"/>
      <c r="Z40" s="160"/>
      <c r="AA40" s="160">
        <v>2</v>
      </c>
      <c r="AB40" s="160">
        <v>90</v>
      </c>
      <c r="AC40" s="78">
        <f t="shared" si="0"/>
        <v>790</v>
      </c>
      <c r="AD40" s="160">
        <f t="shared" si="1"/>
        <v>200</v>
      </c>
      <c r="AE40" s="196">
        <f t="shared" si="2"/>
        <v>672</v>
      </c>
      <c r="AF40" s="197">
        <f t="shared" si="3"/>
        <v>89.9154929577465</v>
      </c>
      <c r="AG40" s="160">
        <v>100</v>
      </c>
      <c r="AH40" s="160">
        <v>100</v>
      </c>
      <c r="AI40" s="160"/>
      <c r="AJ40" s="160">
        <f t="shared" si="4"/>
        <v>79</v>
      </c>
      <c r="AK40" s="160">
        <v>2</v>
      </c>
      <c r="AL40" s="161"/>
      <c r="AM40" s="161">
        <v>100</v>
      </c>
      <c r="AN40" s="161">
        <v>100</v>
      </c>
      <c r="AO40" s="161">
        <f t="shared" si="5"/>
        <v>400</v>
      </c>
      <c r="AP40" s="161">
        <f t="shared" si="6"/>
        <v>2</v>
      </c>
      <c r="AQ40" s="126">
        <v>79</v>
      </c>
      <c r="AR40" s="128" t="s">
        <v>246</v>
      </c>
      <c r="AT40" s="128">
        <f t="shared" si="7"/>
        <v>380</v>
      </c>
      <c r="AU40" s="204">
        <f t="shared" si="8"/>
        <v>80.8510638297872</v>
      </c>
      <c r="AV40" s="205">
        <f t="shared" si="9"/>
        <v>79.9255319148936</v>
      </c>
      <c r="AW40" s="206">
        <f t="shared" si="10"/>
        <v>84.9205124363201</v>
      </c>
      <c r="AX40" s="205">
        <f t="shared" si="11"/>
        <v>87.9600932408539</v>
      </c>
      <c r="AY40" s="207">
        <v>87.9600932408539</v>
      </c>
      <c r="AZ40" s="166" t="s">
        <v>244</v>
      </c>
      <c r="BA40" s="128" t="s">
        <v>244</v>
      </c>
    </row>
    <row r="41" ht="13.55" customHeight="1" spans="1:53">
      <c r="A41" s="160">
        <v>29</v>
      </c>
      <c r="B41" s="160">
        <v>29</v>
      </c>
      <c r="C41" s="161" t="s">
        <v>247</v>
      </c>
      <c r="D41" s="124">
        <v>242510232</v>
      </c>
      <c r="E41" s="124" t="s">
        <v>248</v>
      </c>
      <c r="F41" s="161" t="s">
        <v>249</v>
      </c>
      <c r="G41" s="161" t="s">
        <v>250</v>
      </c>
      <c r="H41" s="166" t="s">
        <v>251</v>
      </c>
      <c r="I41" s="161" t="s">
        <v>60</v>
      </c>
      <c r="J41" s="172" t="s">
        <v>61</v>
      </c>
      <c r="K41" s="86" t="s">
        <v>251</v>
      </c>
      <c r="L41" s="173">
        <v>39998</v>
      </c>
      <c r="M41" s="183" t="s">
        <v>90</v>
      </c>
      <c r="N41" s="179" t="s">
        <v>63</v>
      </c>
      <c r="O41" s="180">
        <v>100</v>
      </c>
      <c r="P41" s="161">
        <v>100</v>
      </c>
      <c r="Q41" s="160"/>
      <c r="R41" s="180">
        <v>100</v>
      </c>
      <c r="S41" s="160">
        <v>100</v>
      </c>
      <c r="T41" s="160">
        <v>100</v>
      </c>
      <c r="U41" s="160"/>
      <c r="V41" s="180">
        <v>100</v>
      </c>
      <c r="W41" s="160"/>
      <c r="X41" s="161">
        <v>100</v>
      </c>
      <c r="Y41" s="160"/>
      <c r="Z41" s="160"/>
      <c r="AA41" s="160"/>
      <c r="AB41" s="160">
        <v>100</v>
      </c>
      <c r="AC41" s="78">
        <f t="shared" si="0"/>
        <v>800</v>
      </c>
      <c r="AD41" s="160">
        <f t="shared" si="1"/>
        <v>0</v>
      </c>
      <c r="AE41" s="196">
        <f t="shared" si="2"/>
        <v>640</v>
      </c>
      <c r="AF41" s="197">
        <f t="shared" si="3"/>
        <v>89.4647887323944</v>
      </c>
      <c r="AG41" s="160">
        <v>100</v>
      </c>
      <c r="AH41" s="160">
        <v>100</v>
      </c>
      <c r="AI41" s="160"/>
      <c r="AJ41" s="160">
        <f t="shared" si="4"/>
        <v>79</v>
      </c>
      <c r="AK41" s="160">
        <v>2</v>
      </c>
      <c r="AL41" s="161"/>
      <c r="AM41" s="161">
        <v>100</v>
      </c>
      <c r="AN41" s="161">
        <v>100</v>
      </c>
      <c r="AO41" s="161">
        <f t="shared" si="5"/>
        <v>400</v>
      </c>
      <c r="AP41" s="161">
        <f t="shared" si="6"/>
        <v>2</v>
      </c>
      <c r="AQ41" s="126">
        <v>79</v>
      </c>
      <c r="AR41" s="128" t="s">
        <v>252</v>
      </c>
      <c r="AT41" s="128">
        <f t="shared" si="7"/>
        <v>380</v>
      </c>
      <c r="AU41" s="204">
        <f t="shared" si="8"/>
        <v>80.8510638297872</v>
      </c>
      <c r="AV41" s="205">
        <f t="shared" si="9"/>
        <v>79.9255319148936</v>
      </c>
      <c r="AW41" s="206">
        <f t="shared" si="10"/>
        <v>84.695160323644</v>
      </c>
      <c r="AX41" s="205">
        <f t="shared" si="11"/>
        <v>87.837403613389</v>
      </c>
      <c r="AY41" s="207">
        <v>87.837403613389</v>
      </c>
      <c r="AZ41" s="166" t="s">
        <v>251</v>
      </c>
      <c r="BA41" s="128" t="s">
        <v>251</v>
      </c>
    </row>
    <row r="42" customHeight="1" spans="1:53">
      <c r="A42" s="160">
        <v>30</v>
      </c>
      <c r="B42" s="160">
        <v>30</v>
      </c>
      <c r="C42" s="161" t="s">
        <v>253</v>
      </c>
      <c r="D42" s="124">
        <v>242510070</v>
      </c>
      <c r="E42" s="124" t="s">
        <v>254</v>
      </c>
      <c r="F42" s="161"/>
      <c r="G42" s="161"/>
      <c r="H42" s="166" t="s">
        <v>255</v>
      </c>
      <c r="I42" s="161"/>
      <c r="J42" s="172" t="s">
        <v>76</v>
      </c>
      <c r="K42" s="86" t="s">
        <v>255</v>
      </c>
      <c r="L42" s="173">
        <v>39566</v>
      </c>
      <c r="M42" s="183" t="s">
        <v>90</v>
      </c>
      <c r="N42" s="179" t="s">
        <v>63</v>
      </c>
      <c r="O42" s="180">
        <v>100</v>
      </c>
      <c r="P42" s="161">
        <v>100</v>
      </c>
      <c r="Q42" s="160"/>
      <c r="R42" s="180">
        <v>100</v>
      </c>
      <c r="S42" s="160">
        <v>100</v>
      </c>
      <c r="T42" s="160">
        <v>100</v>
      </c>
      <c r="U42" s="160"/>
      <c r="V42" s="180">
        <v>100</v>
      </c>
      <c r="W42" s="160"/>
      <c r="X42" s="161">
        <v>100</v>
      </c>
      <c r="Y42" s="160"/>
      <c r="Z42" s="160"/>
      <c r="AA42" s="160"/>
      <c r="AB42" s="160">
        <v>95</v>
      </c>
      <c r="AC42" s="78">
        <f t="shared" si="0"/>
        <v>795</v>
      </c>
      <c r="AD42" s="160">
        <f t="shared" si="1"/>
        <v>0</v>
      </c>
      <c r="AE42" s="196">
        <f t="shared" si="2"/>
        <v>636</v>
      </c>
      <c r="AF42" s="197">
        <f t="shared" si="3"/>
        <v>89.4084507042253</v>
      </c>
      <c r="AG42" s="160">
        <v>100</v>
      </c>
      <c r="AH42" s="160">
        <v>100</v>
      </c>
      <c r="AI42" s="160">
        <v>2</v>
      </c>
      <c r="AJ42" s="160">
        <f t="shared" si="4"/>
        <v>82</v>
      </c>
      <c r="AK42" s="160">
        <v>4</v>
      </c>
      <c r="AL42" s="161">
        <v>5</v>
      </c>
      <c r="AM42" s="161">
        <v>100</v>
      </c>
      <c r="AN42" s="161">
        <v>100</v>
      </c>
      <c r="AO42" s="161">
        <f t="shared" si="5"/>
        <v>400</v>
      </c>
      <c r="AP42" s="161">
        <f t="shared" si="6"/>
        <v>11</v>
      </c>
      <c r="AQ42" s="126">
        <v>82</v>
      </c>
      <c r="AR42" s="128" t="s">
        <v>256</v>
      </c>
      <c r="AT42" s="128">
        <f t="shared" si="7"/>
        <v>470</v>
      </c>
      <c r="AU42" s="204">
        <f t="shared" si="8"/>
        <v>100</v>
      </c>
      <c r="AV42" s="205">
        <f t="shared" si="9"/>
        <v>91</v>
      </c>
      <c r="AW42" s="206">
        <f t="shared" si="10"/>
        <v>90.2042253521127</v>
      </c>
      <c r="AX42" s="205">
        <f t="shared" si="11"/>
        <v>90.8367326544888</v>
      </c>
      <c r="AY42" s="207">
        <v>90.8367326544888</v>
      </c>
      <c r="AZ42" s="166" t="s">
        <v>255</v>
      </c>
      <c r="BA42" s="128" t="s">
        <v>255</v>
      </c>
    </row>
    <row r="43" customHeight="1" spans="1:53">
      <c r="A43" s="160">
        <v>31</v>
      </c>
      <c r="B43" s="160">
        <v>31</v>
      </c>
      <c r="C43" s="161" t="s">
        <v>257</v>
      </c>
      <c r="D43" s="124">
        <v>242510191</v>
      </c>
      <c r="E43" s="124" t="s">
        <v>258</v>
      </c>
      <c r="F43" s="161" t="s">
        <v>259</v>
      </c>
      <c r="G43" s="161" t="s">
        <v>260</v>
      </c>
      <c r="H43" s="166" t="s">
        <v>261</v>
      </c>
      <c r="I43" s="161" t="s">
        <v>218</v>
      </c>
      <c r="J43" s="172" t="s">
        <v>76</v>
      </c>
      <c r="K43" s="86" t="s">
        <v>261</v>
      </c>
      <c r="L43" s="173">
        <v>39851</v>
      </c>
      <c r="M43" s="183" t="s">
        <v>90</v>
      </c>
      <c r="N43" s="179" t="s">
        <v>63</v>
      </c>
      <c r="O43" s="180">
        <v>100</v>
      </c>
      <c r="P43" s="161">
        <v>100</v>
      </c>
      <c r="Q43" s="160"/>
      <c r="R43" s="180">
        <v>100</v>
      </c>
      <c r="S43" s="160">
        <v>100</v>
      </c>
      <c r="T43" s="160">
        <v>100</v>
      </c>
      <c r="U43" s="160"/>
      <c r="V43" s="180">
        <v>100</v>
      </c>
      <c r="W43" s="160"/>
      <c r="X43" s="161">
        <v>100</v>
      </c>
      <c r="Y43" s="160"/>
      <c r="Z43" s="160"/>
      <c r="AA43" s="160">
        <v>2</v>
      </c>
      <c r="AB43" s="160">
        <v>95</v>
      </c>
      <c r="AC43" s="78">
        <f t="shared" si="0"/>
        <v>795</v>
      </c>
      <c r="AD43" s="160">
        <f t="shared" si="1"/>
        <v>200</v>
      </c>
      <c r="AE43" s="196">
        <f t="shared" si="2"/>
        <v>676</v>
      </c>
      <c r="AF43" s="197">
        <f t="shared" si="3"/>
        <v>89.9718309859155</v>
      </c>
      <c r="AG43" s="160">
        <v>100</v>
      </c>
      <c r="AH43" s="160">
        <v>100</v>
      </c>
      <c r="AI43" s="160"/>
      <c r="AJ43" s="160">
        <f t="shared" si="4"/>
        <v>94</v>
      </c>
      <c r="AK43" s="160">
        <v>2</v>
      </c>
      <c r="AL43" s="161"/>
      <c r="AM43" s="161"/>
      <c r="AN43" s="161"/>
      <c r="AO43" s="161">
        <f t="shared" si="5"/>
        <v>200</v>
      </c>
      <c r="AP43" s="161">
        <f t="shared" si="6"/>
        <v>2</v>
      </c>
      <c r="AQ43" s="126">
        <v>94</v>
      </c>
      <c r="AR43" s="128" t="s">
        <v>262</v>
      </c>
      <c r="AT43" s="128">
        <f t="shared" si="7"/>
        <v>200</v>
      </c>
      <c r="AU43" s="204">
        <f t="shared" si="8"/>
        <v>42.5531914893617</v>
      </c>
      <c r="AV43" s="205">
        <f t="shared" si="9"/>
        <v>68.2765957446808</v>
      </c>
      <c r="AW43" s="206">
        <f t="shared" si="10"/>
        <v>79.1242133652982</v>
      </c>
      <c r="AX43" s="205">
        <f t="shared" si="11"/>
        <v>84.8043838700665</v>
      </c>
      <c r="AY43" s="207">
        <v>86.8043838700665</v>
      </c>
      <c r="AZ43" s="166" t="s">
        <v>261</v>
      </c>
      <c r="BA43" s="128" t="s">
        <v>261</v>
      </c>
    </row>
    <row r="44" customHeight="1" spans="1:53">
      <c r="A44" s="160">
        <v>32</v>
      </c>
      <c r="B44" s="160">
        <v>32</v>
      </c>
      <c r="C44" s="161" t="s">
        <v>263</v>
      </c>
      <c r="D44" s="124">
        <v>242510273</v>
      </c>
      <c r="E44" s="124" t="s">
        <v>264</v>
      </c>
      <c r="F44" s="161" t="s">
        <v>265</v>
      </c>
      <c r="G44" s="161" t="s">
        <v>266</v>
      </c>
      <c r="H44" s="166" t="s">
        <v>267</v>
      </c>
      <c r="I44" s="161" t="s">
        <v>268</v>
      </c>
      <c r="J44" s="172" t="s">
        <v>61</v>
      </c>
      <c r="K44" s="86" t="s">
        <v>267</v>
      </c>
      <c r="L44" s="173">
        <v>39889</v>
      </c>
      <c r="M44" s="181" t="s">
        <v>53</v>
      </c>
      <c r="N44" s="179" t="s">
        <v>63</v>
      </c>
      <c r="O44" s="180">
        <v>100</v>
      </c>
      <c r="P44" s="161">
        <v>100</v>
      </c>
      <c r="Q44" s="160"/>
      <c r="R44" s="180">
        <v>100</v>
      </c>
      <c r="S44" s="160">
        <v>100</v>
      </c>
      <c r="T44" s="160">
        <v>100</v>
      </c>
      <c r="U44" s="160"/>
      <c r="V44" s="180">
        <v>100</v>
      </c>
      <c r="W44" s="160"/>
      <c r="X44" s="161">
        <v>100</v>
      </c>
      <c r="Y44" s="160"/>
      <c r="Z44" s="160">
        <v>1</v>
      </c>
      <c r="AA44" s="160">
        <v>2</v>
      </c>
      <c r="AB44" s="160">
        <v>80</v>
      </c>
      <c r="AC44" s="78">
        <f t="shared" si="0"/>
        <v>780</v>
      </c>
      <c r="AD44" s="160">
        <f t="shared" si="1"/>
        <v>300</v>
      </c>
      <c r="AE44" s="196">
        <f t="shared" si="2"/>
        <v>684</v>
      </c>
      <c r="AF44" s="197">
        <f t="shared" si="3"/>
        <v>90.0845070422535</v>
      </c>
      <c r="AG44" s="160">
        <v>100</v>
      </c>
      <c r="AH44" s="160">
        <v>100</v>
      </c>
      <c r="AI44" s="160"/>
      <c r="AJ44" s="160">
        <f t="shared" si="4"/>
        <v>88</v>
      </c>
      <c r="AK44" s="160">
        <v>3</v>
      </c>
      <c r="AL44" s="161"/>
      <c r="AM44" s="161">
        <v>100</v>
      </c>
      <c r="AN44" s="161">
        <v>100</v>
      </c>
      <c r="AO44" s="161">
        <f t="shared" si="5"/>
        <v>400</v>
      </c>
      <c r="AP44" s="161">
        <f t="shared" si="6"/>
        <v>3</v>
      </c>
      <c r="AQ44" s="126">
        <v>88</v>
      </c>
      <c r="AR44" s="128" t="s">
        <v>269</v>
      </c>
      <c r="AT44" s="128">
        <f t="shared" si="7"/>
        <v>390</v>
      </c>
      <c r="AU44" s="204">
        <f t="shared" si="8"/>
        <v>82.9787234042553</v>
      </c>
      <c r="AV44" s="205">
        <f t="shared" si="9"/>
        <v>85.4893617021277</v>
      </c>
      <c r="AW44" s="206">
        <f t="shared" si="10"/>
        <v>87.7869343721906</v>
      </c>
      <c r="AX44" s="205">
        <f t="shared" si="11"/>
        <v>89.5206743034978</v>
      </c>
      <c r="AY44" s="207">
        <v>89.5206743034978</v>
      </c>
      <c r="AZ44" s="166" t="s">
        <v>267</v>
      </c>
      <c r="BA44" s="128" t="s">
        <v>267</v>
      </c>
    </row>
    <row r="45" customHeight="1" spans="1:53">
      <c r="A45" s="160">
        <v>33</v>
      </c>
      <c r="B45" s="160">
        <v>33</v>
      </c>
      <c r="C45" s="161" t="s">
        <v>270</v>
      </c>
      <c r="D45" s="124">
        <v>242510424</v>
      </c>
      <c r="E45" s="124" t="s">
        <v>271</v>
      </c>
      <c r="F45" s="161" t="s">
        <v>272</v>
      </c>
      <c r="G45" s="161" t="s">
        <v>273</v>
      </c>
      <c r="H45" s="166" t="s">
        <v>274</v>
      </c>
      <c r="I45" s="161" t="s">
        <v>60</v>
      </c>
      <c r="J45" s="172" t="s">
        <v>61</v>
      </c>
      <c r="K45" s="86" t="s">
        <v>274</v>
      </c>
      <c r="L45" s="173">
        <v>39654</v>
      </c>
      <c r="M45" s="181" t="s">
        <v>53</v>
      </c>
      <c r="N45" s="179" t="s">
        <v>63</v>
      </c>
      <c r="O45" s="180">
        <v>100</v>
      </c>
      <c r="P45" s="161">
        <v>100</v>
      </c>
      <c r="Q45" s="160"/>
      <c r="R45" s="180">
        <v>100</v>
      </c>
      <c r="S45" s="160">
        <v>100</v>
      </c>
      <c r="T45" s="160">
        <v>100</v>
      </c>
      <c r="U45" s="160"/>
      <c r="V45" s="180">
        <v>100</v>
      </c>
      <c r="W45" s="160">
        <v>1</v>
      </c>
      <c r="X45" s="161">
        <v>100</v>
      </c>
      <c r="Y45" s="160">
        <v>1</v>
      </c>
      <c r="Z45" s="160">
        <v>1</v>
      </c>
      <c r="AA45" s="160">
        <v>3</v>
      </c>
      <c r="AB45" s="160">
        <v>100</v>
      </c>
      <c r="AC45" s="78">
        <f t="shared" si="0"/>
        <v>800</v>
      </c>
      <c r="AD45" s="160">
        <f t="shared" si="1"/>
        <v>600</v>
      </c>
      <c r="AE45" s="196">
        <f t="shared" si="2"/>
        <v>760</v>
      </c>
      <c r="AF45" s="197">
        <f t="shared" si="3"/>
        <v>91.1549295774648</v>
      </c>
      <c r="AG45" s="160">
        <v>100</v>
      </c>
      <c r="AH45" s="160">
        <v>100</v>
      </c>
      <c r="AI45" s="160"/>
      <c r="AJ45" s="160">
        <f t="shared" si="4"/>
        <v>85</v>
      </c>
      <c r="AK45" s="160">
        <v>4</v>
      </c>
      <c r="AL45" s="161"/>
      <c r="AM45" s="161">
        <v>100</v>
      </c>
      <c r="AN45" s="161">
        <v>100</v>
      </c>
      <c r="AO45" s="161">
        <f t="shared" si="5"/>
        <v>400</v>
      </c>
      <c r="AP45" s="161">
        <f t="shared" si="6"/>
        <v>4</v>
      </c>
      <c r="AQ45" s="126">
        <v>85</v>
      </c>
      <c r="AR45" s="128" t="s">
        <v>275</v>
      </c>
      <c r="AT45" s="128">
        <f t="shared" si="7"/>
        <v>400</v>
      </c>
      <c r="AU45" s="204">
        <f t="shared" si="8"/>
        <v>85.1063829787234</v>
      </c>
      <c r="AV45" s="205">
        <f t="shared" si="9"/>
        <v>85.0531914893617</v>
      </c>
      <c r="AW45" s="206">
        <f t="shared" si="10"/>
        <v>88.1040605334132</v>
      </c>
      <c r="AX45" s="205">
        <f t="shared" si="11"/>
        <v>89.6933289554455</v>
      </c>
      <c r="AY45" s="207">
        <v>89.6933289554455</v>
      </c>
      <c r="AZ45" s="166" t="s">
        <v>274</v>
      </c>
      <c r="BA45" s="128" t="s">
        <v>274</v>
      </c>
    </row>
    <row r="46" customHeight="1" spans="1:53">
      <c r="A46" s="160">
        <v>34</v>
      </c>
      <c r="B46" s="160">
        <v>34</v>
      </c>
      <c r="C46" s="161" t="s">
        <v>276</v>
      </c>
      <c r="D46" s="124">
        <v>242510238</v>
      </c>
      <c r="E46" s="124" t="s">
        <v>277</v>
      </c>
      <c r="F46" s="161" t="s">
        <v>278</v>
      </c>
      <c r="G46" s="161" t="s">
        <v>279</v>
      </c>
      <c r="H46" s="166" t="s">
        <v>280</v>
      </c>
      <c r="I46" s="161" t="s">
        <v>281</v>
      </c>
      <c r="J46" s="172" t="s">
        <v>61</v>
      </c>
      <c r="K46" s="86" t="s">
        <v>280</v>
      </c>
      <c r="L46" s="173">
        <v>39675</v>
      </c>
      <c r="M46" s="183" t="s">
        <v>90</v>
      </c>
      <c r="N46" s="179" t="s">
        <v>63</v>
      </c>
      <c r="O46" s="180">
        <v>100</v>
      </c>
      <c r="P46" s="161">
        <v>100</v>
      </c>
      <c r="Q46" s="160"/>
      <c r="R46" s="180">
        <v>100</v>
      </c>
      <c r="S46" s="160">
        <v>100</v>
      </c>
      <c r="T46" s="160">
        <v>100</v>
      </c>
      <c r="U46" s="160"/>
      <c r="V46" s="180">
        <v>100</v>
      </c>
      <c r="W46" s="160"/>
      <c r="X46" s="161">
        <v>100</v>
      </c>
      <c r="Y46" s="160"/>
      <c r="Z46" s="160"/>
      <c r="AA46" s="160">
        <v>3</v>
      </c>
      <c r="AB46" s="160">
        <v>95</v>
      </c>
      <c r="AC46" s="78">
        <f t="shared" si="0"/>
        <v>795</v>
      </c>
      <c r="AD46" s="160">
        <f t="shared" si="1"/>
        <v>300</v>
      </c>
      <c r="AE46" s="196">
        <f t="shared" si="2"/>
        <v>696</v>
      </c>
      <c r="AF46" s="197">
        <f t="shared" si="3"/>
        <v>90.2535211267606</v>
      </c>
      <c r="AG46" s="160">
        <v>100</v>
      </c>
      <c r="AH46" s="160">
        <v>100</v>
      </c>
      <c r="AI46" s="160"/>
      <c r="AJ46" s="160">
        <f t="shared" si="4"/>
        <v>91</v>
      </c>
      <c r="AK46" s="160">
        <v>5</v>
      </c>
      <c r="AL46" s="161"/>
      <c r="AM46" s="161">
        <v>100</v>
      </c>
      <c r="AN46" s="161">
        <v>100</v>
      </c>
      <c r="AO46" s="161">
        <f t="shared" si="5"/>
        <v>400</v>
      </c>
      <c r="AP46" s="161">
        <f t="shared" si="6"/>
        <v>5</v>
      </c>
      <c r="AQ46" s="126">
        <v>91</v>
      </c>
      <c r="AR46" s="128" t="s">
        <v>282</v>
      </c>
      <c r="AT46" s="128">
        <f t="shared" si="7"/>
        <v>410</v>
      </c>
      <c r="AU46" s="204">
        <f t="shared" si="8"/>
        <v>87.2340425531915</v>
      </c>
      <c r="AV46" s="205">
        <f t="shared" si="9"/>
        <v>89.1170212765958</v>
      </c>
      <c r="AW46" s="206">
        <f t="shared" si="10"/>
        <v>89.6852712016781</v>
      </c>
      <c r="AX46" s="205">
        <f t="shared" si="11"/>
        <v>90.5541957364539</v>
      </c>
      <c r="AY46" s="207">
        <v>90.5541957364539</v>
      </c>
      <c r="AZ46" s="166" t="s">
        <v>280</v>
      </c>
      <c r="BA46" s="128" t="s">
        <v>280</v>
      </c>
    </row>
    <row r="47" customHeight="1" spans="8:32">
      <c r="H47" s="165" t="s">
        <v>283</v>
      </c>
      <c r="I47" s="174"/>
      <c r="J47" s="129">
        <f>COUNTIF(J13:J46,"L")</f>
        <v>11</v>
      </c>
      <c r="L47" s="175"/>
      <c r="AD47" s="129" t="s">
        <v>284</v>
      </c>
      <c r="AE47" s="128">
        <f>MAX(AE13:AE46)</f>
        <v>820</v>
      </c>
      <c r="AF47" s="198"/>
    </row>
    <row r="48" customHeight="1" spans="1:51">
      <c r="A48" s="163"/>
      <c r="E48" s="128"/>
      <c r="H48" s="165" t="s">
        <v>285</v>
      </c>
      <c r="I48" s="129"/>
      <c r="J48" s="129">
        <f>COUNTIF(J13:O47,"P")</f>
        <v>23</v>
      </c>
      <c r="K48" s="175"/>
      <c r="M48" s="126"/>
      <c r="N48" s="128"/>
      <c r="AD48" s="129" t="s">
        <v>286</v>
      </c>
      <c r="AE48" s="128">
        <f>MIN(AE13:AE46)</f>
        <v>252</v>
      </c>
      <c r="AF48" s="198"/>
      <c r="AT48" s="128">
        <f>MAX(AT13:AT46)</f>
        <v>470</v>
      </c>
      <c r="AV48" s="128">
        <f>MAX(AV13:AV46)</f>
        <v>93.8085106382979</v>
      </c>
      <c r="AW48" s="128">
        <f>MAX(AW13:AW46)</f>
        <v>92.3408750374588</v>
      </c>
      <c r="AX48" s="128">
        <f>MAX(AX13:AX46)</f>
        <v>92</v>
      </c>
      <c r="AY48" s="129">
        <f>MAX(AY13:AY46)</f>
        <v>92</v>
      </c>
    </row>
    <row r="49" customHeight="1" spans="12:51">
      <c r="L49" s="175"/>
      <c r="AV49" s="128">
        <f>MIN(AV13:AV46)</f>
        <v>65.2765957446808</v>
      </c>
      <c r="AW49" s="128">
        <f>MIN(AW13:AW46)</f>
        <v>77.6467485765658</v>
      </c>
      <c r="AX49" s="128">
        <f>MIN(AX13:AX46)</f>
        <v>84</v>
      </c>
      <c r="AY49" s="204">
        <f>MIN(AY13:AY46)</f>
        <v>86</v>
      </c>
    </row>
    <row r="50" customHeight="1" spans="1:19">
      <c r="A50" s="152" t="s">
        <v>0</v>
      </c>
      <c r="B50" s="152"/>
      <c r="C50" s="152"/>
      <c r="D50" s="152"/>
      <c r="E50" s="152"/>
      <c r="F50" s="152"/>
      <c r="G50" s="152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87"/>
    </row>
    <row r="51" customHeight="1" spans="1:19">
      <c r="A51" s="152" t="s">
        <v>1</v>
      </c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87"/>
    </row>
    <row r="52" customHeight="1" spans="1:19">
      <c r="A52" s="152" t="s">
        <v>2</v>
      </c>
      <c r="B52" s="152"/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87"/>
    </row>
    <row r="53" ht="18.75" customHeight="1" spans="1:19">
      <c r="A53" s="153" t="s">
        <v>3</v>
      </c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88"/>
    </row>
    <row r="54" customHeight="1" spans="1:19">
      <c r="A54" s="154" t="s">
        <v>4</v>
      </c>
      <c r="B54" s="154"/>
      <c r="C54" s="154"/>
      <c r="D54" s="154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89"/>
    </row>
    <row r="55" customHeight="1" spans="1:34">
      <c r="A55" s="154"/>
      <c r="B55" s="154"/>
      <c r="C55" s="154"/>
      <c r="D55" s="154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89"/>
      <c r="AH55" s="129" t="s">
        <v>287</v>
      </c>
    </row>
    <row r="56" customHeight="1" spans="1:19">
      <c r="A56" s="154"/>
      <c r="B56" s="154"/>
      <c r="C56" s="154"/>
      <c r="D56" s="154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89"/>
    </row>
    <row r="57" customHeight="1" spans="1:19">
      <c r="A57" s="155" t="s">
        <v>288</v>
      </c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90"/>
    </row>
    <row r="58" customHeight="1" spans="1:19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90"/>
    </row>
    <row r="59" s="149" customFormat="1" customHeight="1" spans="1:43">
      <c r="A59" s="128"/>
      <c r="B59" s="157"/>
      <c r="C59" s="128"/>
      <c r="D59" s="164"/>
      <c r="E59" s="126"/>
      <c r="F59" s="157"/>
      <c r="G59" s="157"/>
      <c r="H59" s="167"/>
      <c r="I59" s="157"/>
      <c r="J59" s="128"/>
      <c r="K59" s="128"/>
      <c r="L59" s="128"/>
      <c r="M59" s="128"/>
      <c r="N59" s="126"/>
      <c r="O59" s="151"/>
      <c r="P59" s="128"/>
      <c r="Q59" s="129"/>
      <c r="R59" s="129"/>
      <c r="S59" s="129"/>
      <c r="T59" s="191"/>
      <c r="U59" s="191"/>
      <c r="V59" s="193"/>
      <c r="W59" s="191"/>
      <c r="Y59" s="191"/>
      <c r="Z59" s="191"/>
      <c r="AA59" s="191"/>
      <c r="AB59" s="191"/>
      <c r="AC59" s="199"/>
      <c r="AD59" s="191"/>
      <c r="AF59" s="191"/>
      <c r="AG59" s="191"/>
      <c r="AH59" s="191"/>
      <c r="AI59" s="191"/>
      <c r="AJ59" s="191"/>
      <c r="AK59" s="191"/>
      <c r="AQ59" s="203"/>
    </row>
    <row r="60" customHeight="1" spans="1:10">
      <c r="A60" s="156" t="s">
        <v>289</v>
      </c>
      <c r="B60" s="157"/>
      <c r="F60" s="157"/>
      <c r="G60" s="157"/>
      <c r="H60" s="167" t="s">
        <v>8</v>
      </c>
      <c r="I60" s="157" t="s">
        <v>290</v>
      </c>
      <c r="J60" s="176" t="s">
        <v>291</v>
      </c>
    </row>
    <row r="61" s="126" customFormat="1" ht="24" customHeight="1" spans="1:51">
      <c r="A61" s="158" t="s">
        <v>10</v>
      </c>
      <c r="B61" s="158" t="s">
        <v>11</v>
      </c>
      <c r="C61" s="159" t="s">
        <v>12</v>
      </c>
      <c r="D61" s="159" t="s">
        <v>13</v>
      </c>
      <c r="E61" s="159" t="s">
        <v>14</v>
      </c>
      <c r="F61" s="159" t="s">
        <v>15</v>
      </c>
      <c r="G61" s="159" t="s">
        <v>16</v>
      </c>
      <c r="H61" s="159" t="s">
        <v>17</v>
      </c>
      <c r="I61" s="159" t="s">
        <v>18</v>
      </c>
      <c r="J61" s="159" t="s">
        <v>19</v>
      </c>
      <c r="K61" s="159" t="s">
        <v>20</v>
      </c>
      <c r="L61" s="159" t="s">
        <v>21</v>
      </c>
      <c r="M61" s="158" t="s">
        <v>22</v>
      </c>
      <c r="N61" s="158" t="s">
        <v>23</v>
      </c>
      <c r="O61" s="107" t="s">
        <v>24</v>
      </c>
      <c r="P61" s="107" t="s">
        <v>25</v>
      </c>
      <c r="Q61" s="107" t="s">
        <v>26</v>
      </c>
      <c r="R61" s="107" t="s">
        <v>27</v>
      </c>
      <c r="S61" s="107" t="s">
        <v>28</v>
      </c>
      <c r="T61" s="107" t="s">
        <v>29</v>
      </c>
      <c r="U61" s="179" t="s">
        <v>30</v>
      </c>
      <c r="V61" s="107"/>
      <c r="W61" s="179" t="s">
        <v>292</v>
      </c>
      <c r="X61" s="179"/>
      <c r="Y61" s="179" t="s">
        <v>293</v>
      </c>
      <c r="Z61" s="179" t="s">
        <v>294</v>
      </c>
      <c r="AA61" s="179" t="s">
        <v>295</v>
      </c>
      <c r="AB61" s="179"/>
      <c r="AC61" s="104" t="s">
        <v>38</v>
      </c>
      <c r="AD61" s="105" t="s">
        <v>39</v>
      </c>
      <c r="AE61" s="107" t="s">
        <v>40</v>
      </c>
      <c r="AF61" s="108" t="s">
        <v>41</v>
      </c>
      <c r="AG61" s="101" t="s">
        <v>42</v>
      </c>
      <c r="AH61" s="179" t="s">
        <v>43</v>
      </c>
      <c r="AI61" s="179" t="s">
        <v>44</v>
      </c>
      <c r="AJ61" s="179" t="s">
        <v>45</v>
      </c>
      <c r="AK61" s="179" t="s">
        <v>296</v>
      </c>
      <c r="AL61" s="179"/>
      <c r="AM61" s="179" t="s">
        <v>48</v>
      </c>
      <c r="AN61" s="179" t="s">
        <v>49</v>
      </c>
      <c r="AO61" s="179" t="s">
        <v>50</v>
      </c>
      <c r="AP61" s="179" t="s">
        <v>51</v>
      </c>
      <c r="AX61" s="126" t="s">
        <v>53</v>
      </c>
      <c r="AY61" s="126" t="s">
        <v>54</v>
      </c>
    </row>
    <row r="62" customHeight="1" spans="1:53">
      <c r="A62" s="160">
        <v>1</v>
      </c>
      <c r="B62" s="160">
        <v>113</v>
      </c>
      <c r="C62" s="161" t="s">
        <v>297</v>
      </c>
      <c r="D62" s="124">
        <v>242510353</v>
      </c>
      <c r="E62" s="124" t="s">
        <v>298</v>
      </c>
      <c r="F62" s="161" t="s">
        <v>299</v>
      </c>
      <c r="G62" s="161" t="s">
        <v>300</v>
      </c>
      <c r="H62" s="166" t="s">
        <v>301</v>
      </c>
      <c r="I62" s="161" t="s">
        <v>60</v>
      </c>
      <c r="J62" s="172" t="s">
        <v>61</v>
      </c>
      <c r="K62" s="86" t="s">
        <v>301</v>
      </c>
      <c r="L62" s="173">
        <v>39890</v>
      </c>
      <c r="M62" s="181" t="s">
        <v>53</v>
      </c>
      <c r="N62" s="179" t="s">
        <v>302</v>
      </c>
      <c r="O62" s="180">
        <v>100</v>
      </c>
      <c r="P62" s="161">
        <v>100</v>
      </c>
      <c r="Q62" s="160">
        <v>1</v>
      </c>
      <c r="R62" s="160">
        <v>100</v>
      </c>
      <c r="S62" s="160">
        <v>100</v>
      </c>
      <c r="T62" s="160">
        <v>100</v>
      </c>
      <c r="U62" s="160"/>
      <c r="V62" s="180"/>
      <c r="W62" s="160"/>
      <c r="X62" s="161"/>
      <c r="Y62" s="160"/>
      <c r="Z62" s="160" t="s">
        <v>303</v>
      </c>
      <c r="AA62" s="160">
        <v>100</v>
      </c>
      <c r="AB62" s="194"/>
      <c r="AC62" s="200">
        <f t="shared" ref="AC62:AC97" si="12">O62+P62+R62+S62+T62+AA62</f>
        <v>600</v>
      </c>
      <c r="AD62" s="180">
        <f t="shared" ref="AD62:AD97" si="13">(Q62+U62+W62+Y62)*100</f>
        <v>100</v>
      </c>
      <c r="AE62" s="196">
        <f t="shared" ref="AE62:AE97" si="14">(0.8*AC62)+(0.2*AD62)</f>
        <v>500</v>
      </c>
      <c r="AF62" s="201">
        <f t="shared" ref="AF62:AF97" si="15">84+((AE62-$AE$99)/($AE$98-$AE$99)*(92-84))</f>
        <v>89.5238095238095</v>
      </c>
      <c r="AG62" s="160"/>
      <c r="AH62" s="160">
        <v>100</v>
      </c>
      <c r="AI62" s="160">
        <v>2</v>
      </c>
      <c r="AJ62" s="160">
        <f t="shared" ref="AJ62:AJ97" si="16">AQ62</f>
        <v>94</v>
      </c>
      <c r="AK62" s="160"/>
      <c r="AL62" s="161"/>
      <c r="AM62" s="161">
        <v>100</v>
      </c>
      <c r="AN62" s="161">
        <v>100</v>
      </c>
      <c r="AO62" s="161">
        <f t="shared" ref="AO62:AO97" si="17">AG62+AH62+AM62+AN62</f>
        <v>300</v>
      </c>
      <c r="AP62" s="161">
        <f t="shared" ref="AP62:AP97" si="18">AI62+AK62+AL62</f>
        <v>2</v>
      </c>
      <c r="AQ62" s="126">
        <v>94</v>
      </c>
      <c r="AR62" s="128" t="s">
        <v>304</v>
      </c>
      <c r="AT62" s="128">
        <f t="shared" ref="AT62:AT97" si="19">(90%*AO62)+(10%*AP62*100)</f>
        <v>290</v>
      </c>
      <c r="AU62" s="204">
        <f t="shared" ref="AU62:AU97" si="20">(AT62/$AT$99)*100</f>
        <v>90.625</v>
      </c>
      <c r="AV62" s="205">
        <f t="shared" ref="AV62:AV97" si="21">(50%*AU62)+(50%*AQ62)</f>
        <v>92.3125</v>
      </c>
      <c r="AW62" s="206">
        <f t="shared" ref="AW62:AW97" si="22">(50%*AV62)+(50%*AF62)</f>
        <v>90.9181547619048</v>
      </c>
      <c r="AX62" s="206">
        <f t="shared" ref="AX62:AX97" si="23">84+((AW62-$AW$100)/($AW$99-$AW$100)*(92-84))</f>
        <v>89.1719782640623</v>
      </c>
      <c r="AY62" s="207">
        <v>90.3305011271025</v>
      </c>
      <c r="AZ62" s="166" t="s">
        <v>301</v>
      </c>
      <c r="BA62" s="128" t="s">
        <v>301</v>
      </c>
    </row>
    <row r="63" customHeight="1" spans="1:53">
      <c r="A63" s="160">
        <v>2</v>
      </c>
      <c r="B63" s="160">
        <v>114</v>
      </c>
      <c r="C63" s="161" t="s">
        <v>305</v>
      </c>
      <c r="D63" s="124">
        <v>242510041</v>
      </c>
      <c r="E63" s="124" t="s">
        <v>306</v>
      </c>
      <c r="F63" s="161" t="s">
        <v>307</v>
      </c>
      <c r="G63" s="161" t="s">
        <v>308</v>
      </c>
      <c r="H63" s="166" t="s">
        <v>309</v>
      </c>
      <c r="I63" s="161" t="s">
        <v>60</v>
      </c>
      <c r="J63" s="172" t="s">
        <v>61</v>
      </c>
      <c r="K63" s="86" t="s">
        <v>309</v>
      </c>
      <c r="L63" s="173">
        <v>39837</v>
      </c>
      <c r="M63" s="181" t="s">
        <v>53</v>
      </c>
      <c r="N63" s="179" t="s">
        <v>302</v>
      </c>
      <c r="O63" s="180">
        <v>100</v>
      </c>
      <c r="P63" s="161">
        <v>100</v>
      </c>
      <c r="Q63" s="192">
        <v>1</v>
      </c>
      <c r="R63" s="160">
        <v>100</v>
      </c>
      <c r="S63" s="160">
        <v>100</v>
      </c>
      <c r="T63" s="160">
        <v>100</v>
      </c>
      <c r="U63" s="160"/>
      <c r="V63" s="180"/>
      <c r="W63" s="160"/>
      <c r="X63" s="161"/>
      <c r="Y63" s="160"/>
      <c r="Z63" s="160" t="s">
        <v>303</v>
      </c>
      <c r="AA63" s="160">
        <v>100</v>
      </c>
      <c r="AB63" s="194"/>
      <c r="AC63" s="200">
        <f t="shared" si="12"/>
        <v>600</v>
      </c>
      <c r="AD63" s="180">
        <f t="shared" si="13"/>
        <v>100</v>
      </c>
      <c r="AE63" s="196">
        <f t="shared" si="14"/>
        <v>500</v>
      </c>
      <c r="AF63" s="201">
        <f t="shared" si="15"/>
        <v>89.5238095238095</v>
      </c>
      <c r="AG63" s="160"/>
      <c r="AH63" s="160">
        <v>100</v>
      </c>
      <c r="AI63" s="160">
        <v>1</v>
      </c>
      <c r="AJ63" s="160">
        <f t="shared" si="16"/>
        <v>79</v>
      </c>
      <c r="AK63" s="160">
        <v>2</v>
      </c>
      <c r="AL63" s="161"/>
      <c r="AM63" s="161">
        <v>100</v>
      </c>
      <c r="AN63" s="161">
        <v>100</v>
      </c>
      <c r="AO63" s="161">
        <f t="shared" si="17"/>
        <v>300</v>
      </c>
      <c r="AP63" s="161">
        <f t="shared" si="18"/>
        <v>3</v>
      </c>
      <c r="AQ63" s="126">
        <v>79</v>
      </c>
      <c r="AR63" s="128" t="s">
        <v>310</v>
      </c>
      <c r="AT63" s="128">
        <f t="shared" si="19"/>
        <v>300</v>
      </c>
      <c r="AU63" s="204">
        <f t="shared" si="20"/>
        <v>93.75</v>
      </c>
      <c r="AV63" s="205">
        <f t="shared" si="21"/>
        <v>86.375</v>
      </c>
      <c r="AW63" s="206">
        <f t="shared" si="22"/>
        <v>87.9494047619048</v>
      </c>
      <c r="AX63" s="206">
        <f t="shared" si="23"/>
        <v>86.8280217359377</v>
      </c>
      <c r="AY63" s="207">
        <v>88.9467660828854</v>
      </c>
      <c r="AZ63" s="166" t="s">
        <v>309</v>
      </c>
      <c r="BA63" s="128" t="s">
        <v>309</v>
      </c>
    </row>
    <row r="64" customHeight="1" spans="1:53">
      <c r="A64" s="160">
        <v>3</v>
      </c>
      <c r="B64" s="160">
        <v>115</v>
      </c>
      <c r="C64" s="161" t="s">
        <v>311</v>
      </c>
      <c r="D64" s="124">
        <v>242510164</v>
      </c>
      <c r="E64" s="124" t="s">
        <v>312</v>
      </c>
      <c r="F64" s="161" t="s">
        <v>313</v>
      </c>
      <c r="G64" s="161" t="s">
        <v>314</v>
      </c>
      <c r="H64" s="166" t="s">
        <v>315</v>
      </c>
      <c r="I64" s="161" t="s">
        <v>178</v>
      </c>
      <c r="J64" s="172" t="s">
        <v>61</v>
      </c>
      <c r="K64" s="86" t="s">
        <v>315</v>
      </c>
      <c r="L64" s="173">
        <v>39838</v>
      </c>
      <c r="M64" s="183" t="s">
        <v>90</v>
      </c>
      <c r="N64" s="179" t="s">
        <v>302</v>
      </c>
      <c r="O64" s="180">
        <v>100</v>
      </c>
      <c r="P64" s="161">
        <v>100</v>
      </c>
      <c r="Q64" s="160"/>
      <c r="R64" s="160">
        <v>100</v>
      </c>
      <c r="S64" s="160">
        <v>100</v>
      </c>
      <c r="T64" s="160">
        <v>80</v>
      </c>
      <c r="U64" s="160"/>
      <c r="V64" s="180"/>
      <c r="W64" s="160"/>
      <c r="X64" s="161"/>
      <c r="Y64" s="160"/>
      <c r="Z64" s="160" t="s">
        <v>303</v>
      </c>
      <c r="AA64" s="160">
        <v>95</v>
      </c>
      <c r="AB64" s="195"/>
      <c r="AC64" s="200">
        <f t="shared" si="12"/>
        <v>575</v>
      </c>
      <c r="AD64" s="180">
        <f t="shared" si="13"/>
        <v>0</v>
      </c>
      <c r="AE64" s="196">
        <f t="shared" si="14"/>
        <v>460</v>
      </c>
      <c r="AF64" s="201">
        <f t="shared" si="15"/>
        <v>87.6190476190476</v>
      </c>
      <c r="AG64" s="160"/>
      <c r="AH64" s="160">
        <v>100</v>
      </c>
      <c r="AI64" s="160"/>
      <c r="AJ64" s="160">
        <f t="shared" si="16"/>
        <v>91</v>
      </c>
      <c r="AK64" s="160">
        <v>3</v>
      </c>
      <c r="AL64" s="161"/>
      <c r="AM64" s="161">
        <v>100</v>
      </c>
      <c r="AN64" s="161">
        <v>100</v>
      </c>
      <c r="AO64" s="161">
        <f t="shared" si="17"/>
        <v>300</v>
      </c>
      <c r="AP64" s="161">
        <f t="shared" si="18"/>
        <v>3</v>
      </c>
      <c r="AQ64" s="126">
        <v>91</v>
      </c>
      <c r="AR64" s="128" t="s">
        <v>316</v>
      </c>
      <c r="AT64" s="128">
        <f t="shared" si="19"/>
        <v>300</v>
      </c>
      <c r="AU64" s="204">
        <f t="shared" si="20"/>
        <v>93.75</v>
      </c>
      <c r="AV64" s="205">
        <f t="shared" si="21"/>
        <v>92.375</v>
      </c>
      <c r="AW64" s="206">
        <f t="shared" si="22"/>
        <v>89.9970238095238</v>
      </c>
      <c r="AX64" s="206">
        <f t="shared" si="23"/>
        <v>88.4447055367895</v>
      </c>
      <c r="AY64" s="207">
        <v>89.9011617825559</v>
      </c>
      <c r="AZ64" s="166" t="s">
        <v>315</v>
      </c>
      <c r="BA64" s="128" t="s">
        <v>315</v>
      </c>
    </row>
    <row r="65" customHeight="1" spans="1:53">
      <c r="A65" s="160">
        <v>4</v>
      </c>
      <c r="B65" s="160">
        <v>116</v>
      </c>
      <c r="C65" s="161" t="s">
        <v>317</v>
      </c>
      <c r="D65" s="124">
        <v>242510166</v>
      </c>
      <c r="E65" s="124" t="s">
        <v>318</v>
      </c>
      <c r="F65" s="161" t="s">
        <v>319</v>
      </c>
      <c r="G65" s="161" t="s">
        <v>320</v>
      </c>
      <c r="H65" s="166" t="s">
        <v>321</v>
      </c>
      <c r="I65" s="161" t="s">
        <v>158</v>
      </c>
      <c r="J65" s="172" t="s">
        <v>61</v>
      </c>
      <c r="K65" s="86" t="s">
        <v>321</v>
      </c>
      <c r="L65" s="173">
        <v>39617</v>
      </c>
      <c r="M65" s="183" t="s">
        <v>90</v>
      </c>
      <c r="N65" s="179" t="s">
        <v>302</v>
      </c>
      <c r="O65" s="180">
        <v>100</v>
      </c>
      <c r="P65" s="161">
        <v>100</v>
      </c>
      <c r="Q65" s="160"/>
      <c r="R65" s="160">
        <v>100</v>
      </c>
      <c r="S65" s="160">
        <v>100</v>
      </c>
      <c r="T65" s="160">
        <v>100</v>
      </c>
      <c r="U65" s="160"/>
      <c r="V65" s="180"/>
      <c r="W65" s="160">
        <v>1</v>
      </c>
      <c r="X65" s="161"/>
      <c r="Y65" s="160"/>
      <c r="Z65" s="160" t="s">
        <v>303</v>
      </c>
      <c r="AA65" s="160">
        <v>100</v>
      </c>
      <c r="AB65" s="194"/>
      <c r="AC65" s="200">
        <f t="shared" si="12"/>
        <v>600</v>
      </c>
      <c r="AD65" s="180">
        <f t="shared" si="13"/>
        <v>100</v>
      </c>
      <c r="AE65" s="196">
        <f t="shared" si="14"/>
        <v>500</v>
      </c>
      <c r="AF65" s="201">
        <f t="shared" si="15"/>
        <v>89.5238095238095</v>
      </c>
      <c r="AG65" s="160"/>
      <c r="AH65" s="160">
        <v>100</v>
      </c>
      <c r="AI65" s="160">
        <v>2</v>
      </c>
      <c r="AJ65" s="160">
        <f t="shared" si="16"/>
        <v>94</v>
      </c>
      <c r="AK65" s="160">
        <v>3</v>
      </c>
      <c r="AL65" s="161"/>
      <c r="AM65" s="161">
        <v>100</v>
      </c>
      <c r="AN65" s="161">
        <v>100</v>
      </c>
      <c r="AO65" s="161">
        <f t="shared" si="17"/>
        <v>300</v>
      </c>
      <c r="AP65" s="161">
        <f t="shared" si="18"/>
        <v>5</v>
      </c>
      <c r="AQ65" s="126">
        <v>94</v>
      </c>
      <c r="AR65" s="128" t="s">
        <v>322</v>
      </c>
      <c r="AT65" s="128">
        <f t="shared" si="19"/>
        <v>320</v>
      </c>
      <c r="AU65" s="204">
        <f t="shared" si="20"/>
        <v>100</v>
      </c>
      <c r="AV65" s="205">
        <f t="shared" si="21"/>
        <v>97</v>
      </c>
      <c r="AW65" s="206">
        <f t="shared" si="22"/>
        <v>93.2619047619048</v>
      </c>
      <c r="AX65" s="206">
        <f t="shared" si="23"/>
        <v>91.0224702599501</v>
      </c>
      <c r="AY65" s="207">
        <v>91.4229235304318</v>
      </c>
      <c r="AZ65" s="166" t="s">
        <v>321</v>
      </c>
      <c r="BA65" s="128" t="s">
        <v>321</v>
      </c>
    </row>
    <row r="66" customHeight="1" spans="1:53">
      <c r="A66" s="160">
        <v>5</v>
      </c>
      <c r="B66" s="160">
        <v>117</v>
      </c>
      <c r="C66" s="161" t="s">
        <v>323</v>
      </c>
      <c r="D66" s="124">
        <v>242510086</v>
      </c>
      <c r="E66" s="124" t="s">
        <v>324</v>
      </c>
      <c r="F66" s="161" t="s">
        <v>325</v>
      </c>
      <c r="G66" s="161" t="s">
        <v>326</v>
      </c>
      <c r="H66" s="166" t="s">
        <v>327</v>
      </c>
      <c r="I66" s="161" t="s">
        <v>60</v>
      </c>
      <c r="J66" s="172" t="s">
        <v>61</v>
      </c>
      <c r="K66" s="86" t="s">
        <v>327</v>
      </c>
      <c r="L66" s="173">
        <v>39891</v>
      </c>
      <c r="M66" s="183" t="s">
        <v>90</v>
      </c>
      <c r="N66" s="179" t="s">
        <v>302</v>
      </c>
      <c r="O66" s="180">
        <v>100</v>
      </c>
      <c r="P66" s="161">
        <v>100</v>
      </c>
      <c r="Q66" s="160"/>
      <c r="R66" s="160">
        <v>100</v>
      </c>
      <c r="S66" s="160">
        <v>100</v>
      </c>
      <c r="T66" s="160">
        <v>80</v>
      </c>
      <c r="U66" s="160"/>
      <c r="V66" s="180"/>
      <c r="W66" s="160"/>
      <c r="X66" s="161"/>
      <c r="Y66" s="160"/>
      <c r="Z66" s="160" t="s">
        <v>303</v>
      </c>
      <c r="AA66" s="160">
        <v>100</v>
      </c>
      <c r="AB66" s="194"/>
      <c r="AC66" s="200">
        <f t="shared" si="12"/>
        <v>580</v>
      </c>
      <c r="AD66" s="180">
        <f t="shared" si="13"/>
        <v>0</v>
      </c>
      <c r="AE66" s="196">
        <f t="shared" si="14"/>
        <v>464</v>
      </c>
      <c r="AF66" s="201">
        <f t="shared" si="15"/>
        <v>87.8095238095238</v>
      </c>
      <c r="AG66" s="160"/>
      <c r="AH66" s="160">
        <v>100</v>
      </c>
      <c r="AI66" s="160"/>
      <c r="AJ66" s="160">
        <f t="shared" si="16"/>
        <v>76</v>
      </c>
      <c r="AK66" s="160">
        <v>1</v>
      </c>
      <c r="AL66" s="161"/>
      <c r="AM66" s="161">
        <v>100</v>
      </c>
      <c r="AN66" s="161">
        <v>100</v>
      </c>
      <c r="AO66" s="161">
        <f t="shared" si="17"/>
        <v>300</v>
      </c>
      <c r="AP66" s="161">
        <f t="shared" si="18"/>
        <v>1</v>
      </c>
      <c r="AQ66" s="126">
        <v>76</v>
      </c>
      <c r="AR66" s="128" t="s">
        <v>328</v>
      </c>
      <c r="AT66" s="128">
        <f t="shared" si="19"/>
        <v>280</v>
      </c>
      <c r="AU66" s="204">
        <f t="shared" si="20"/>
        <v>87.5</v>
      </c>
      <c r="AV66" s="205">
        <f t="shared" si="21"/>
        <v>81.75</v>
      </c>
      <c r="AW66" s="206">
        <f t="shared" si="22"/>
        <v>84.7797619047619</v>
      </c>
      <c r="AX66" s="206">
        <f t="shared" si="23"/>
        <v>84.3254516081657</v>
      </c>
      <c r="AY66" s="207">
        <v>87.4693948326686</v>
      </c>
      <c r="AZ66" s="166" t="s">
        <v>327</v>
      </c>
      <c r="BA66" s="128" t="s">
        <v>327</v>
      </c>
    </row>
    <row r="67" customHeight="1" spans="1:53">
      <c r="A67" s="160">
        <v>6</v>
      </c>
      <c r="B67" s="160">
        <v>118</v>
      </c>
      <c r="C67" s="161" t="s">
        <v>329</v>
      </c>
      <c r="D67" s="124">
        <v>242510043</v>
      </c>
      <c r="E67" s="124" t="s">
        <v>330</v>
      </c>
      <c r="F67" s="161" t="s">
        <v>331</v>
      </c>
      <c r="G67" s="161" t="s">
        <v>332</v>
      </c>
      <c r="H67" s="166" t="s">
        <v>333</v>
      </c>
      <c r="I67" s="161" t="s">
        <v>334</v>
      </c>
      <c r="J67" s="172" t="s">
        <v>76</v>
      </c>
      <c r="K67" s="86" t="s">
        <v>333</v>
      </c>
      <c r="L67" s="173">
        <v>39699</v>
      </c>
      <c r="M67" s="186" t="s">
        <v>171</v>
      </c>
      <c r="N67" s="179" t="s">
        <v>302</v>
      </c>
      <c r="O67" s="180">
        <v>100</v>
      </c>
      <c r="P67" s="161">
        <v>100</v>
      </c>
      <c r="Q67" s="160"/>
      <c r="R67" s="160">
        <v>100</v>
      </c>
      <c r="S67" s="160">
        <v>100</v>
      </c>
      <c r="T67" s="160">
        <v>100</v>
      </c>
      <c r="U67" s="160"/>
      <c r="V67" s="180"/>
      <c r="W67" s="160"/>
      <c r="X67" s="161"/>
      <c r="Y67" s="160"/>
      <c r="Z67" s="160" t="s">
        <v>303</v>
      </c>
      <c r="AA67" s="160">
        <v>95</v>
      </c>
      <c r="AB67" s="194"/>
      <c r="AC67" s="200">
        <f t="shared" si="12"/>
        <v>595</v>
      </c>
      <c r="AD67" s="180">
        <f t="shared" si="13"/>
        <v>0</v>
      </c>
      <c r="AE67" s="196">
        <f t="shared" si="14"/>
        <v>476</v>
      </c>
      <c r="AF67" s="201">
        <f t="shared" si="15"/>
        <v>88.3809523809524</v>
      </c>
      <c r="AG67" s="160"/>
      <c r="AH67" s="160">
        <v>100</v>
      </c>
      <c r="AI67" s="160"/>
      <c r="AJ67" s="160">
        <f t="shared" si="16"/>
        <v>88</v>
      </c>
      <c r="AK67" s="160"/>
      <c r="AL67" s="161"/>
      <c r="AM67" s="161">
        <v>100</v>
      </c>
      <c r="AN67" s="161">
        <v>100</v>
      </c>
      <c r="AO67" s="161">
        <f t="shared" si="17"/>
        <v>300</v>
      </c>
      <c r="AP67" s="161">
        <f t="shared" si="18"/>
        <v>0</v>
      </c>
      <c r="AQ67" s="126">
        <v>88</v>
      </c>
      <c r="AR67" s="128" t="s">
        <v>335</v>
      </c>
      <c r="AT67" s="128">
        <f t="shared" si="19"/>
        <v>270</v>
      </c>
      <c r="AU67" s="204">
        <f t="shared" si="20"/>
        <v>84.375</v>
      </c>
      <c r="AV67" s="205">
        <f t="shared" si="21"/>
        <v>86.1875</v>
      </c>
      <c r="AW67" s="206">
        <f t="shared" si="22"/>
        <v>87.2842261904762</v>
      </c>
      <c r="AX67" s="206">
        <f t="shared" si="23"/>
        <v>86.3028344837715</v>
      </c>
      <c r="AY67" s="207">
        <v>88.6367262007976</v>
      </c>
      <c r="AZ67" s="166" t="s">
        <v>333</v>
      </c>
      <c r="BA67" s="128" t="s">
        <v>333</v>
      </c>
    </row>
    <row r="68" customHeight="1" spans="1:53">
      <c r="A68" s="160">
        <v>7</v>
      </c>
      <c r="B68" s="160">
        <v>119</v>
      </c>
      <c r="C68" s="161" t="s">
        <v>336</v>
      </c>
      <c r="D68" s="124">
        <v>242510394</v>
      </c>
      <c r="E68" s="124" t="s">
        <v>337</v>
      </c>
      <c r="F68" s="161" t="s">
        <v>338</v>
      </c>
      <c r="G68" s="161" t="s">
        <v>339</v>
      </c>
      <c r="H68" s="166" t="s">
        <v>340</v>
      </c>
      <c r="I68" s="161" t="s">
        <v>60</v>
      </c>
      <c r="J68" s="172" t="s">
        <v>61</v>
      </c>
      <c r="K68" s="86" t="s">
        <v>340</v>
      </c>
      <c r="L68" s="173">
        <v>39736</v>
      </c>
      <c r="M68" s="183" t="s">
        <v>90</v>
      </c>
      <c r="N68" s="179" t="s">
        <v>302</v>
      </c>
      <c r="O68" s="180">
        <v>100</v>
      </c>
      <c r="P68" s="161">
        <v>100</v>
      </c>
      <c r="Q68" s="160"/>
      <c r="R68" s="160">
        <v>100</v>
      </c>
      <c r="S68" s="160">
        <v>100</v>
      </c>
      <c r="T68" s="160">
        <v>80</v>
      </c>
      <c r="U68" s="160"/>
      <c r="V68" s="180"/>
      <c r="W68" s="160"/>
      <c r="X68" s="161"/>
      <c r="Y68" s="160"/>
      <c r="Z68" s="160" t="s">
        <v>303</v>
      </c>
      <c r="AA68" s="160">
        <v>95</v>
      </c>
      <c r="AB68" s="194"/>
      <c r="AC68" s="200">
        <f t="shared" si="12"/>
        <v>575</v>
      </c>
      <c r="AD68" s="180">
        <f t="shared" si="13"/>
        <v>0</v>
      </c>
      <c r="AE68" s="196">
        <f t="shared" si="14"/>
        <v>460</v>
      </c>
      <c r="AF68" s="201">
        <f t="shared" si="15"/>
        <v>87.6190476190476</v>
      </c>
      <c r="AG68" s="160"/>
      <c r="AH68" s="160">
        <v>100</v>
      </c>
      <c r="AI68" s="160"/>
      <c r="AJ68" s="160">
        <f t="shared" si="16"/>
        <v>82</v>
      </c>
      <c r="AK68" s="160"/>
      <c r="AL68" s="161"/>
      <c r="AM68" s="161">
        <v>100</v>
      </c>
      <c r="AN68" s="161">
        <v>100</v>
      </c>
      <c r="AO68" s="161">
        <f t="shared" si="17"/>
        <v>300</v>
      </c>
      <c r="AP68" s="161">
        <f t="shared" si="18"/>
        <v>0</v>
      </c>
      <c r="AQ68" s="126">
        <v>82</v>
      </c>
      <c r="AR68" s="128" t="s">
        <v>341</v>
      </c>
      <c r="AT68" s="128">
        <f t="shared" si="19"/>
        <v>270</v>
      </c>
      <c r="AU68" s="204">
        <f t="shared" si="20"/>
        <v>84.375</v>
      </c>
      <c r="AV68" s="205">
        <f t="shared" si="21"/>
        <v>83.1875</v>
      </c>
      <c r="AW68" s="206">
        <f t="shared" si="22"/>
        <v>85.4032738095238</v>
      </c>
      <c r="AX68" s="206">
        <f t="shared" si="23"/>
        <v>84.8177412248495</v>
      </c>
      <c r="AY68" s="207">
        <v>87.7600138720305</v>
      </c>
      <c r="AZ68" s="166" t="s">
        <v>340</v>
      </c>
      <c r="BA68" s="128" t="s">
        <v>340</v>
      </c>
    </row>
    <row r="69" customHeight="1" spans="1:53">
      <c r="A69" s="160">
        <v>8</v>
      </c>
      <c r="B69" s="160">
        <v>120</v>
      </c>
      <c r="C69" s="161" t="s">
        <v>342</v>
      </c>
      <c r="D69" s="124">
        <v>242510288</v>
      </c>
      <c r="E69" s="124" t="s">
        <v>343</v>
      </c>
      <c r="F69" s="161" t="s">
        <v>344</v>
      </c>
      <c r="G69" s="161" t="s">
        <v>345</v>
      </c>
      <c r="H69" s="166" t="s">
        <v>346</v>
      </c>
      <c r="I69" s="161" t="s">
        <v>60</v>
      </c>
      <c r="J69" s="172" t="s">
        <v>76</v>
      </c>
      <c r="K69" s="86" t="s">
        <v>346</v>
      </c>
      <c r="L69" s="173">
        <v>39872</v>
      </c>
      <c r="M69" s="182" t="s">
        <v>77</v>
      </c>
      <c r="N69" s="179" t="s">
        <v>302</v>
      </c>
      <c r="O69" s="180">
        <v>100</v>
      </c>
      <c r="P69" s="161">
        <v>100</v>
      </c>
      <c r="Q69" s="160"/>
      <c r="R69" s="160">
        <v>100</v>
      </c>
      <c r="S69" s="160">
        <v>100</v>
      </c>
      <c r="T69" s="160">
        <v>80</v>
      </c>
      <c r="U69" s="160">
        <v>1</v>
      </c>
      <c r="V69" s="180"/>
      <c r="W69" s="160"/>
      <c r="X69" s="161"/>
      <c r="Y69" s="160"/>
      <c r="Z69" s="160" t="s">
        <v>303</v>
      </c>
      <c r="AA69" s="160">
        <v>95</v>
      </c>
      <c r="AB69" s="194"/>
      <c r="AC69" s="200">
        <f t="shared" si="12"/>
        <v>575</v>
      </c>
      <c r="AD69" s="180">
        <f t="shared" si="13"/>
        <v>100</v>
      </c>
      <c r="AE69" s="196">
        <f t="shared" si="14"/>
        <v>480</v>
      </c>
      <c r="AF69" s="201">
        <f t="shared" si="15"/>
        <v>88.5714285714286</v>
      </c>
      <c r="AG69" s="160"/>
      <c r="AH69" s="160">
        <v>100</v>
      </c>
      <c r="AI69" s="160"/>
      <c r="AJ69" s="160">
        <f t="shared" si="16"/>
        <v>88</v>
      </c>
      <c r="AK69" s="160">
        <v>3</v>
      </c>
      <c r="AL69" s="161"/>
      <c r="AM69" s="161">
        <v>100</v>
      </c>
      <c r="AN69" s="161">
        <v>100</v>
      </c>
      <c r="AO69" s="161">
        <f t="shared" si="17"/>
        <v>300</v>
      </c>
      <c r="AP69" s="161">
        <f t="shared" si="18"/>
        <v>3</v>
      </c>
      <c r="AQ69" s="126">
        <v>88</v>
      </c>
      <c r="AR69" s="128" t="s">
        <v>347</v>
      </c>
      <c r="AT69" s="128">
        <f t="shared" si="19"/>
        <v>300</v>
      </c>
      <c r="AU69" s="204">
        <f t="shared" si="20"/>
        <v>93.75</v>
      </c>
      <c r="AV69" s="205">
        <f t="shared" si="21"/>
        <v>90.875</v>
      </c>
      <c r="AW69" s="206">
        <f t="shared" si="22"/>
        <v>89.7232142857143</v>
      </c>
      <c r="AX69" s="206">
        <f t="shared" si="23"/>
        <v>88.2285210750477</v>
      </c>
      <c r="AY69" s="207">
        <v>89.773539101786</v>
      </c>
      <c r="AZ69" s="166" t="s">
        <v>346</v>
      </c>
      <c r="BA69" s="128" t="s">
        <v>346</v>
      </c>
    </row>
    <row r="70" customHeight="1" spans="1:53">
      <c r="A70" s="160">
        <v>9</v>
      </c>
      <c r="B70" s="160">
        <v>121</v>
      </c>
      <c r="C70" s="161" t="s">
        <v>348</v>
      </c>
      <c r="D70" s="124">
        <v>242510396</v>
      </c>
      <c r="E70" s="124" t="s">
        <v>349</v>
      </c>
      <c r="F70" s="161" t="s">
        <v>350</v>
      </c>
      <c r="G70" s="161" t="s">
        <v>351</v>
      </c>
      <c r="H70" s="166" t="s">
        <v>352</v>
      </c>
      <c r="I70" s="161" t="s">
        <v>353</v>
      </c>
      <c r="J70" s="172" t="s">
        <v>61</v>
      </c>
      <c r="K70" s="86" t="s">
        <v>352</v>
      </c>
      <c r="L70" s="173">
        <v>39951</v>
      </c>
      <c r="M70" s="182" t="s">
        <v>77</v>
      </c>
      <c r="N70" s="179" t="s">
        <v>302</v>
      </c>
      <c r="O70" s="180">
        <v>100</v>
      </c>
      <c r="P70" s="161">
        <v>100</v>
      </c>
      <c r="Q70" s="160"/>
      <c r="R70" s="160">
        <v>100</v>
      </c>
      <c r="S70" s="160">
        <v>100</v>
      </c>
      <c r="T70" s="160"/>
      <c r="U70" s="160">
        <v>1</v>
      </c>
      <c r="V70" s="180"/>
      <c r="W70" s="160">
        <v>1</v>
      </c>
      <c r="X70" s="161"/>
      <c r="Y70" s="160">
        <v>1</v>
      </c>
      <c r="Z70" s="160" t="s">
        <v>303</v>
      </c>
      <c r="AA70" s="160">
        <v>100</v>
      </c>
      <c r="AB70" s="194"/>
      <c r="AC70" s="200">
        <f t="shared" si="12"/>
        <v>500</v>
      </c>
      <c r="AD70" s="180">
        <f t="shared" si="13"/>
        <v>300</v>
      </c>
      <c r="AE70" s="196">
        <f t="shared" si="14"/>
        <v>460</v>
      </c>
      <c r="AF70" s="201">
        <f t="shared" si="15"/>
        <v>87.6190476190476</v>
      </c>
      <c r="AG70" s="160"/>
      <c r="AH70" s="160">
        <v>100</v>
      </c>
      <c r="AI70" s="160">
        <v>2</v>
      </c>
      <c r="AJ70" s="160">
        <f t="shared" si="16"/>
        <v>91</v>
      </c>
      <c r="AK70" s="160">
        <v>1</v>
      </c>
      <c r="AL70" s="161"/>
      <c r="AM70" s="161">
        <v>100</v>
      </c>
      <c r="AN70" s="161">
        <v>100</v>
      </c>
      <c r="AO70" s="161">
        <f t="shared" si="17"/>
        <v>300</v>
      </c>
      <c r="AP70" s="161">
        <f t="shared" si="18"/>
        <v>3</v>
      </c>
      <c r="AQ70" s="126">
        <v>91</v>
      </c>
      <c r="AR70" s="128" t="s">
        <v>354</v>
      </c>
      <c r="AT70" s="128">
        <f t="shared" si="19"/>
        <v>300</v>
      </c>
      <c r="AU70" s="204">
        <f t="shared" si="20"/>
        <v>93.75</v>
      </c>
      <c r="AV70" s="205">
        <f t="shared" si="21"/>
        <v>92.375</v>
      </c>
      <c r="AW70" s="206">
        <f t="shared" si="22"/>
        <v>89.9970238095238</v>
      </c>
      <c r="AX70" s="206">
        <f t="shared" si="23"/>
        <v>88.4447055367895</v>
      </c>
      <c r="AY70" s="207">
        <v>89.9011617825559</v>
      </c>
      <c r="AZ70" s="166" t="s">
        <v>352</v>
      </c>
      <c r="BA70" s="128" t="s">
        <v>352</v>
      </c>
    </row>
    <row r="71" customHeight="1" spans="1:53">
      <c r="A71" s="160">
        <v>10</v>
      </c>
      <c r="B71" s="160">
        <v>122</v>
      </c>
      <c r="C71" s="161" t="s">
        <v>355</v>
      </c>
      <c r="D71" s="124">
        <v>242510046</v>
      </c>
      <c r="E71" s="124" t="s">
        <v>356</v>
      </c>
      <c r="F71" s="161" t="s">
        <v>357</v>
      </c>
      <c r="G71" s="161" t="s">
        <v>358</v>
      </c>
      <c r="H71" s="166" t="s">
        <v>359</v>
      </c>
      <c r="I71" s="161" t="s">
        <v>218</v>
      </c>
      <c r="J71" s="172" t="s">
        <v>76</v>
      </c>
      <c r="K71" s="86" t="s">
        <v>359</v>
      </c>
      <c r="L71" s="173">
        <v>39857</v>
      </c>
      <c r="M71" s="181" t="s">
        <v>53</v>
      </c>
      <c r="N71" s="179" t="s">
        <v>302</v>
      </c>
      <c r="O71" s="180">
        <v>100</v>
      </c>
      <c r="P71" s="161">
        <v>100</v>
      </c>
      <c r="Q71" s="160"/>
      <c r="R71" s="160">
        <v>100</v>
      </c>
      <c r="S71" s="160">
        <v>100</v>
      </c>
      <c r="T71" s="160">
        <v>80</v>
      </c>
      <c r="U71" s="160"/>
      <c r="V71" s="180"/>
      <c r="W71" s="160"/>
      <c r="X71" s="161"/>
      <c r="Y71" s="160"/>
      <c r="Z71" s="160" t="s">
        <v>303</v>
      </c>
      <c r="AA71" s="160">
        <v>80</v>
      </c>
      <c r="AB71" s="194"/>
      <c r="AC71" s="200">
        <f t="shared" si="12"/>
        <v>560</v>
      </c>
      <c r="AD71" s="180">
        <f t="shared" si="13"/>
        <v>0</v>
      </c>
      <c r="AE71" s="196">
        <f t="shared" si="14"/>
        <v>448</v>
      </c>
      <c r="AF71" s="201">
        <f t="shared" si="15"/>
        <v>87.0476190476191</v>
      </c>
      <c r="AG71" s="160"/>
      <c r="AH71" s="160">
        <v>100</v>
      </c>
      <c r="AI71" s="160"/>
      <c r="AJ71" s="160">
        <f t="shared" si="16"/>
        <v>79</v>
      </c>
      <c r="AK71" s="160"/>
      <c r="AL71" s="161"/>
      <c r="AM71" s="161">
        <v>100</v>
      </c>
      <c r="AN71" s="161">
        <v>100</v>
      </c>
      <c r="AO71" s="161">
        <f t="shared" si="17"/>
        <v>300</v>
      </c>
      <c r="AP71" s="161">
        <f t="shared" si="18"/>
        <v>0</v>
      </c>
      <c r="AQ71" s="126">
        <v>79</v>
      </c>
      <c r="AR71" s="128" t="s">
        <v>360</v>
      </c>
      <c r="AT71" s="128">
        <f t="shared" si="19"/>
        <v>270</v>
      </c>
      <c r="AU71" s="204">
        <f t="shared" si="20"/>
        <v>84.375</v>
      </c>
      <c r="AV71" s="205">
        <f t="shared" si="21"/>
        <v>81.6875</v>
      </c>
      <c r="AW71" s="206">
        <f t="shared" si="22"/>
        <v>84.3675595238095</v>
      </c>
      <c r="AX71" s="206">
        <f t="shared" si="23"/>
        <v>84</v>
      </c>
      <c r="AY71" s="207">
        <v>86</v>
      </c>
      <c r="AZ71" s="166" t="s">
        <v>359</v>
      </c>
      <c r="BA71" s="128" t="s">
        <v>359</v>
      </c>
    </row>
    <row r="72" customHeight="1" spans="1:53">
      <c r="A72" s="160">
        <v>11</v>
      </c>
      <c r="B72" s="160">
        <v>123</v>
      </c>
      <c r="C72" s="161" t="s">
        <v>361</v>
      </c>
      <c r="D72" s="124">
        <v>242510093</v>
      </c>
      <c r="E72" s="124" t="s">
        <v>362</v>
      </c>
      <c r="F72" s="161" t="s">
        <v>363</v>
      </c>
      <c r="G72" s="161" t="s">
        <v>364</v>
      </c>
      <c r="H72" s="166" t="s">
        <v>365</v>
      </c>
      <c r="I72" s="161" t="s">
        <v>60</v>
      </c>
      <c r="J72" s="172" t="s">
        <v>76</v>
      </c>
      <c r="K72" s="86" t="s">
        <v>365</v>
      </c>
      <c r="L72" s="173">
        <v>39981</v>
      </c>
      <c r="M72" s="183" t="s">
        <v>90</v>
      </c>
      <c r="N72" s="179" t="s">
        <v>302</v>
      </c>
      <c r="O72" s="180">
        <v>100</v>
      </c>
      <c r="P72" s="161">
        <v>100</v>
      </c>
      <c r="Q72" s="160"/>
      <c r="R72" s="160">
        <v>100</v>
      </c>
      <c r="S72" s="160">
        <v>100</v>
      </c>
      <c r="T72" s="160">
        <v>100</v>
      </c>
      <c r="U72" s="160"/>
      <c r="V72" s="180"/>
      <c r="W72" s="160"/>
      <c r="X72" s="161"/>
      <c r="Y72" s="160"/>
      <c r="Z72" s="160" t="s">
        <v>303</v>
      </c>
      <c r="AA72" s="160">
        <v>95</v>
      </c>
      <c r="AB72" s="194"/>
      <c r="AC72" s="200">
        <f t="shared" si="12"/>
        <v>595</v>
      </c>
      <c r="AD72" s="180">
        <f t="shared" si="13"/>
        <v>0</v>
      </c>
      <c r="AE72" s="196">
        <f t="shared" si="14"/>
        <v>476</v>
      </c>
      <c r="AF72" s="201">
        <f t="shared" si="15"/>
        <v>88.3809523809524</v>
      </c>
      <c r="AG72" s="160"/>
      <c r="AH72" s="160">
        <v>100</v>
      </c>
      <c r="AI72" s="160"/>
      <c r="AJ72" s="160">
        <f t="shared" si="16"/>
        <v>91</v>
      </c>
      <c r="AK72" s="160"/>
      <c r="AL72" s="161"/>
      <c r="AM72" s="161">
        <v>100</v>
      </c>
      <c r="AN72" s="161">
        <v>100</v>
      </c>
      <c r="AO72" s="161">
        <f t="shared" si="17"/>
        <v>300</v>
      </c>
      <c r="AP72" s="161">
        <f t="shared" si="18"/>
        <v>0</v>
      </c>
      <c r="AQ72" s="126">
        <v>91</v>
      </c>
      <c r="AR72" s="128" t="s">
        <v>366</v>
      </c>
      <c r="AT72" s="128">
        <f t="shared" si="19"/>
        <v>270</v>
      </c>
      <c r="AU72" s="204">
        <f t="shared" si="20"/>
        <v>84.375</v>
      </c>
      <c r="AV72" s="205">
        <f t="shared" si="21"/>
        <v>87.6875</v>
      </c>
      <c r="AW72" s="206">
        <f t="shared" si="22"/>
        <v>88.0342261904762</v>
      </c>
      <c r="AX72" s="206">
        <f t="shared" si="23"/>
        <v>86.8949919224556</v>
      </c>
      <c r="AY72" s="207">
        <v>88.986301369863</v>
      </c>
      <c r="AZ72" s="166" t="s">
        <v>365</v>
      </c>
      <c r="BA72" s="128" t="s">
        <v>365</v>
      </c>
    </row>
    <row r="73" customHeight="1" spans="1:53">
      <c r="A73" s="160">
        <v>12</v>
      </c>
      <c r="B73" s="160">
        <v>124</v>
      </c>
      <c r="C73" s="161" t="s">
        <v>367</v>
      </c>
      <c r="D73" s="124">
        <v>242510213</v>
      </c>
      <c r="E73" s="124" t="s">
        <v>368</v>
      </c>
      <c r="F73" s="161" t="s">
        <v>369</v>
      </c>
      <c r="G73" s="161" t="s">
        <v>370</v>
      </c>
      <c r="H73" s="166" t="s">
        <v>371</v>
      </c>
      <c r="I73" s="161" t="s">
        <v>372</v>
      </c>
      <c r="J73" s="172" t="s">
        <v>76</v>
      </c>
      <c r="K73" s="86" t="s">
        <v>371</v>
      </c>
      <c r="L73" s="173">
        <v>39943</v>
      </c>
      <c r="M73" s="182" t="s">
        <v>77</v>
      </c>
      <c r="N73" s="179" t="s">
        <v>302</v>
      </c>
      <c r="O73" s="180">
        <v>100</v>
      </c>
      <c r="P73" s="161">
        <v>100</v>
      </c>
      <c r="Q73" s="160"/>
      <c r="R73" s="160">
        <v>100</v>
      </c>
      <c r="S73" s="160">
        <v>100</v>
      </c>
      <c r="T73" s="160">
        <v>100</v>
      </c>
      <c r="U73" s="160"/>
      <c r="V73" s="180"/>
      <c r="W73" s="160"/>
      <c r="X73" s="161"/>
      <c r="Y73" s="160"/>
      <c r="Z73" s="160" t="s">
        <v>303</v>
      </c>
      <c r="AA73" s="160">
        <v>100</v>
      </c>
      <c r="AB73" s="194"/>
      <c r="AC73" s="200">
        <f t="shared" si="12"/>
        <v>600</v>
      </c>
      <c r="AD73" s="180">
        <f t="shared" si="13"/>
        <v>0</v>
      </c>
      <c r="AE73" s="196">
        <f t="shared" si="14"/>
        <v>480</v>
      </c>
      <c r="AF73" s="201">
        <f t="shared" si="15"/>
        <v>88.5714285714286</v>
      </c>
      <c r="AG73" s="160"/>
      <c r="AH73" s="160">
        <v>100</v>
      </c>
      <c r="AI73" s="160">
        <v>2</v>
      </c>
      <c r="AJ73" s="160">
        <f t="shared" si="16"/>
        <v>91</v>
      </c>
      <c r="AK73" s="160"/>
      <c r="AL73" s="161"/>
      <c r="AM73" s="161">
        <v>100</v>
      </c>
      <c r="AN73" s="161">
        <v>100</v>
      </c>
      <c r="AO73" s="161">
        <f t="shared" si="17"/>
        <v>300</v>
      </c>
      <c r="AP73" s="161">
        <f t="shared" si="18"/>
        <v>2</v>
      </c>
      <c r="AQ73" s="126">
        <v>91</v>
      </c>
      <c r="AR73" s="128" t="s">
        <v>373</v>
      </c>
      <c r="AT73" s="128">
        <f t="shared" si="19"/>
        <v>290</v>
      </c>
      <c r="AU73" s="204">
        <f t="shared" si="20"/>
        <v>90.625</v>
      </c>
      <c r="AV73" s="205">
        <f t="shared" si="21"/>
        <v>90.8125</v>
      </c>
      <c r="AW73" s="206">
        <f t="shared" si="22"/>
        <v>89.6919642857143</v>
      </c>
      <c r="AX73" s="206">
        <f t="shared" si="23"/>
        <v>88.2038478484359</v>
      </c>
      <c r="AY73" s="207">
        <v>89.7589734697416</v>
      </c>
      <c r="AZ73" s="166" t="s">
        <v>371</v>
      </c>
      <c r="BA73" s="128" t="s">
        <v>371</v>
      </c>
    </row>
    <row r="74" customHeight="1" spans="1:53">
      <c r="A74" s="160">
        <v>13</v>
      </c>
      <c r="B74" s="160">
        <v>125</v>
      </c>
      <c r="C74" s="161" t="s">
        <v>374</v>
      </c>
      <c r="D74" s="124">
        <v>242510096</v>
      </c>
      <c r="E74" s="124" t="s">
        <v>375</v>
      </c>
      <c r="F74" s="161" t="s">
        <v>376</v>
      </c>
      <c r="G74" s="161" t="s">
        <v>377</v>
      </c>
      <c r="H74" s="166" t="s">
        <v>378</v>
      </c>
      <c r="I74" s="161" t="s">
        <v>143</v>
      </c>
      <c r="J74" s="172" t="s">
        <v>61</v>
      </c>
      <c r="K74" s="86" t="s">
        <v>378</v>
      </c>
      <c r="L74" s="173">
        <v>39728</v>
      </c>
      <c r="M74" s="184" t="s">
        <v>130</v>
      </c>
      <c r="N74" s="179" t="s">
        <v>302</v>
      </c>
      <c r="O74" s="180">
        <v>100</v>
      </c>
      <c r="P74" s="161">
        <v>100</v>
      </c>
      <c r="Q74" s="160"/>
      <c r="R74" s="160">
        <v>100</v>
      </c>
      <c r="S74" s="160">
        <v>100</v>
      </c>
      <c r="T74" s="160"/>
      <c r="U74" s="160"/>
      <c r="V74" s="180"/>
      <c r="W74" s="160"/>
      <c r="X74" s="161"/>
      <c r="Y74" s="160"/>
      <c r="Z74" s="160" t="s">
        <v>303</v>
      </c>
      <c r="AA74" s="160">
        <v>90</v>
      </c>
      <c r="AB74" s="194"/>
      <c r="AC74" s="200">
        <f t="shared" si="12"/>
        <v>490</v>
      </c>
      <c r="AD74" s="180">
        <f t="shared" si="13"/>
        <v>0</v>
      </c>
      <c r="AE74" s="196">
        <f t="shared" si="14"/>
        <v>392</v>
      </c>
      <c r="AF74" s="201">
        <f t="shared" si="15"/>
        <v>84.3809523809524</v>
      </c>
      <c r="AG74" s="160"/>
      <c r="AH74" s="160">
        <v>100</v>
      </c>
      <c r="AI74" s="160"/>
      <c r="AJ74" s="160">
        <f t="shared" si="16"/>
        <v>94</v>
      </c>
      <c r="AK74" s="160"/>
      <c r="AL74" s="161"/>
      <c r="AM74" s="161">
        <v>100</v>
      </c>
      <c r="AN74" s="161">
        <v>100</v>
      </c>
      <c r="AO74" s="161">
        <f t="shared" si="17"/>
        <v>300</v>
      </c>
      <c r="AP74" s="161">
        <f t="shared" si="18"/>
        <v>0</v>
      </c>
      <c r="AQ74" s="126">
        <v>94</v>
      </c>
      <c r="AR74" s="128" t="s">
        <v>379</v>
      </c>
      <c r="AT74" s="128">
        <f t="shared" si="19"/>
        <v>270</v>
      </c>
      <c r="AU74" s="204">
        <f t="shared" si="20"/>
        <v>84.375</v>
      </c>
      <c r="AV74" s="205">
        <f t="shared" si="21"/>
        <v>89.1875</v>
      </c>
      <c r="AW74" s="206">
        <f t="shared" si="22"/>
        <v>86.7842261904762</v>
      </c>
      <c r="AX74" s="206">
        <f t="shared" si="23"/>
        <v>85.9080628579821</v>
      </c>
      <c r="AY74" s="207">
        <v>88.4036760880874</v>
      </c>
      <c r="AZ74" s="166" t="s">
        <v>378</v>
      </c>
      <c r="BA74" s="128" t="s">
        <v>378</v>
      </c>
    </row>
    <row r="75" customHeight="1" spans="1:53">
      <c r="A75" s="160">
        <v>14</v>
      </c>
      <c r="B75" s="160">
        <v>126</v>
      </c>
      <c r="C75" s="161" t="s">
        <v>380</v>
      </c>
      <c r="D75" s="124">
        <v>242510293</v>
      </c>
      <c r="E75" s="124" t="s">
        <v>381</v>
      </c>
      <c r="F75" s="161" t="s">
        <v>382</v>
      </c>
      <c r="G75" s="161" t="s">
        <v>383</v>
      </c>
      <c r="H75" s="166" t="s">
        <v>384</v>
      </c>
      <c r="I75" s="161" t="s">
        <v>60</v>
      </c>
      <c r="J75" s="172" t="s">
        <v>76</v>
      </c>
      <c r="K75" s="86" t="s">
        <v>384</v>
      </c>
      <c r="L75" s="173">
        <v>39958</v>
      </c>
      <c r="M75" s="183" t="s">
        <v>90</v>
      </c>
      <c r="N75" s="179" t="s">
        <v>302</v>
      </c>
      <c r="O75" s="180">
        <v>100</v>
      </c>
      <c r="P75" s="161">
        <v>100</v>
      </c>
      <c r="Q75" s="192">
        <v>1</v>
      </c>
      <c r="R75" s="160">
        <v>100</v>
      </c>
      <c r="S75" s="160">
        <v>100</v>
      </c>
      <c r="T75" s="160">
        <v>90</v>
      </c>
      <c r="U75" s="160">
        <v>1</v>
      </c>
      <c r="V75" s="180"/>
      <c r="W75" s="160"/>
      <c r="X75" s="161"/>
      <c r="Y75" s="160">
        <v>2</v>
      </c>
      <c r="Z75" s="160" t="s">
        <v>303</v>
      </c>
      <c r="AA75" s="160">
        <v>100</v>
      </c>
      <c r="AB75" s="194"/>
      <c r="AC75" s="200">
        <f t="shared" si="12"/>
        <v>590</v>
      </c>
      <c r="AD75" s="180">
        <f t="shared" si="13"/>
        <v>400</v>
      </c>
      <c r="AE75" s="196">
        <f t="shared" si="14"/>
        <v>552</v>
      </c>
      <c r="AF75" s="201">
        <f t="shared" si="15"/>
        <v>92</v>
      </c>
      <c r="AG75" s="160"/>
      <c r="AH75" s="160">
        <v>100</v>
      </c>
      <c r="AI75" s="160">
        <v>2</v>
      </c>
      <c r="AJ75" s="160">
        <f t="shared" si="16"/>
        <v>94</v>
      </c>
      <c r="AK75" s="160">
        <v>3</v>
      </c>
      <c r="AL75" s="161"/>
      <c r="AM75" s="161">
        <v>100</v>
      </c>
      <c r="AN75" s="161">
        <v>100</v>
      </c>
      <c r="AO75" s="161">
        <f t="shared" si="17"/>
        <v>300</v>
      </c>
      <c r="AP75" s="161">
        <f t="shared" si="18"/>
        <v>5</v>
      </c>
      <c r="AQ75" s="126">
        <v>94</v>
      </c>
      <c r="AR75" s="128" t="s">
        <v>385</v>
      </c>
      <c r="AT75" s="128">
        <f t="shared" si="19"/>
        <v>320</v>
      </c>
      <c r="AU75" s="204">
        <f t="shared" si="20"/>
        <v>100</v>
      </c>
      <c r="AV75" s="205">
        <f t="shared" si="21"/>
        <v>97</v>
      </c>
      <c r="AW75" s="206">
        <f t="shared" si="22"/>
        <v>94.5</v>
      </c>
      <c r="AX75" s="206">
        <f t="shared" si="23"/>
        <v>92</v>
      </c>
      <c r="AY75" s="207">
        <v>92</v>
      </c>
      <c r="AZ75" s="166" t="s">
        <v>384</v>
      </c>
      <c r="BA75" s="128" t="s">
        <v>384</v>
      </c>
    </row>
    <row r="76" customHeight="1" spans="1:53">
      <c r="A76" s="160">
        <v>15</v>
      </c>
      <c r="B76" s="160">
        <v>127</v>
      </c>
      <c r="C76" s="161" t="s">
        <v>386</v>
      </c>
      <c r="D76" s="124">
        <v>242510333</v>
      </c>
      <c r="E76" s="124" t="s">
        <v>387</v>
      </c>
      <c r="F76" s="161" t="s">
        <v>388</v>
      </c>
      <c r="G76" s="161" t="s">
        <v>389</v>
      </c>
      <c r="H76" s="166" t="s">
        <v>390</v>
      </c>
      <c r="I76" s="161" t="s">
        <v>218</v>
      </c>
      <c r="J76" s="172" t="s">
        <v>61</v>
      </c>
      <c r="K76" s="86" t="s">
        <v>390</v>
      </c>
      <c r="L76" s="173">
        <v>39877</v>
      </c>
      <c r="M76" s="183" t="s">
        <v>90</v>
      </c>
      <c r="N76" s="179" t="s">
        <v>302</v>
      </c>
      <c r="O76" s="180">
        <v>100</v>
      </c>
      <c r="P76" s="161">
        <v>100</v>
      </c>
      <c r="Q76" s="160"/>
      <c r="R76" s="160">
        <v>100</v>
      </c>
      <c r="S76" s="160">
        <v>100</v>
      </c>
      <c r="T76" s="160">
        <v>90</v>
      </c>
      <c r="U76" s="160"/>
      <c r="V76" s="180"/>
      <c r="W76" s="160"/>
      <c r="X76" s="161"/>
      <c r="Y76" s="160"/>
      <c r="Z76" s="160" t="s">
        <v>303</v>
      </c>
      <c r="AA76" s="160">
        <v>95</v>
      </c>
      <c r="AB76" s="194"/>
      <c r="AC76" s="200">
        <f t="shared" si="12"/>
        <v>585</v>
      </c>
      <c r="AD76" s="180">
        <f t="shared" si="13"/>
        <v>0</v>
      </c>
      <c r="AE76" s="196">
        <f t="shared" si="14"/>
        <v>468</v>
      </c>
      <c r="AF76" s="201">
        <f t="shared" si="15"/>
        <v>88</v>
      </c>
      <c r="AG76" s="160"/>
      <c r="AH76" s="160">
        <v>100</v>
      </c>
      <c r="AI76" s="160"/>
      <c r="AJ76" s="160">
        <f t="shared" si="16"/>
        <v>91</v>
      </c>
      <c r="AK76" s="160">
        <v>2</v>
      </c>
      <c r="AL76" s="161"/>
      <c r="AM76" s="161">
        <v>100</v>
      </c>
      <c r="AN76" s="161">
        <v>100</v>
      </c>
      <c r="AO76" s="161">
        <f t="shared" si="17"/>
        <v>300</v>
      </c>
      <c r="AP76" s="161">
        <f t="shared" si="18"/>
        <v>2</v>
      </c>
      <c r="AQ76" s="126">
        <v>91</v>
      </c>
      <c r="AR76" s="128" t="s">
        <v>391</v>
      </c>
      <c r="AT76" s="128">
        <f t="shared" si="19"/>
        <v>290</v>
      </c>
      <c r="AU76" s="204">
        <f t="shared" si="20"/>
        <v>90.625</v>
      </c>
      <c r="AV76" s="205">
        <f t="shared" si="21"/>
        <v>90.8125</v>
      </c>
      <c r="AW76" s="206">
        <f t="shared" si="22"/>
        <v>89.40625</v>
      </c>
      <c r="AX76" s="206">
        <f t="shared" si="23"/>
        <v>87.9782640622705</v>
      </c>
      <c r="AY76" s="207">
        <v>89.6258019767644</v>
      </c>
      <c r="AZ76" s="166" t="s">
        <v>390</v>
      </c>
      <c r="BA76" s="128" t="s">
        <v>390</v>
      </c>
    </row>
    <row r="77" customHeight="1" spans="1:53">
      <c r="A77" s="160">
        <v>16</v>
      </c>
      <c r="B77" s="160">
        <v>128</v>
      </c>
      <c r="C77" s="161" t="s">
        <v>392</v>
      </c>
      <c r="D77" s="124">
        <v>242510256</v>
      </c>
      <c r="E77" s="124" t="s">
        <v>393</v>
      </c>
      <c r="F77" s="161" t="s">
        <v>394</v>
      </c>
      <c r="G77" s="161" t="s">
        <v>395</v>
      </c>
      <c r="H77" s="166" t="s">
        <v>396</v>
      </c>
      <c r="I77" s="161" t="s">
        <v>397</v>
      </c>
      <c r="J77" s="172" t="s">
        <v>61</v>
      </c>
      <c r="K77" s="86" t="s">
        <v>396</v>
      </c>
      <c r="L77" s="173">
        <v>39867</v>
      </c>
      <c r="M77" s="181" t="s">
        <v>53</v>
      </c>
      <c r="N77" s="179" t="s">
        <v>302</v>
      </c>
      <c r="O77" s="180">
        <v>100</v>
      </c>
      <c r="P77" s="161">
        <v>100</v>
      </c>
      <c r="Q77" s="160"/>
      <c r="R77" s="160">
        <v>100</v>
      </c>
      <c r="S77" s="160">
        <v>100</v>
      </c>
      <c r="T77" s="160">
        <v>100</v>
      </c>
      <c r="U77" s="160"/>
      <c r="V77" s="180"/>
      <c r="W77" s="160"/>
      <c r="X77" s="161"/>
      <c r="Y77" s="160"/>
      <c r="Z77" s="160" t="s">
        <v>303</v>
      </c>
      <c r="AA77" s="160">
        <v>95</v>
      </c>
      <c r="AB77" s="194"/>
      <c r="AC77" s="200">
        <f t="shared" si="12"/>
        <v>595</v>
      </c>
      <c r="AD77" s="180">
        <f t="shared" si="13"/>
        <v>0</v>
      </c>
      <c r="AE77" s="196">
        <f t="shared" si="14"/>
        <v>476</v>
      </c>
      <c r="AF77" s="201">
        <f t="shared" si="15"/>
        <v>88.3809523809524</v>
      </c>
      <c r="AG77" s="160"/>
      <c r="AH77" s="160">
        <v>100</v>
      </c>
      <c r="AI77" s="160">
        <v>3</v>
      </c>
      <c r="AJ77" s="160">
        <f t="shared" si="16"/>
        <v>94</v>
      </c>
      <c r="AK77" s="160">
        <v>2</v>
      </c>
      <c r="AL77" s="161"/>
      <c r="AM77" s="161">
        <v>100</v>
      </c>
      <c r="AN77" s="161">
        <v>100</v>
      </c>
      <c r="AO77" s="161">
        <f t="shared" si="17"/>
        <v>300</v>
      </c>
      <c r="AP77" s="161">
        <f t="shared" si="18"/>
        <v>5</v>
      </c>
      <c r="AQ77" s="126">
        <v>94</v>
      </c>
      <c r="AR77" s="128" t="s">
        <v>398</v>
      </c>
      <c r="AT77" s="128">
        <f t="shared" si="19"/>
        <v>320</v>
      </c>
      <c r="AU77" s="204">
        <f t="shared" si="20"/>
        <v>100</v>
      </c>
      <c r="AV77" s="205">
        <f t="shared" si="21"/>
        <v>97</v>
      </c>
      <c r="AW77" s="206">
        <f t="shared" si="22"/>
        <v>92.6904761904762</v>
      </c>
      <c r="AX77" s="206">
        <f t="shared" si="23"/>
        <v>90.5713026876193</v>
      </c>
      <c r="AY77" s="207">
        <v>91.1565805444772</v>
      </c>
      <c r="AZ77" s="166" t="s">
        <v>396</v>
      </c>
      <c r="BA77" s="128" t="s">
        <v>396</v>
      </c>
    </row>
    <row r="78" customHeight="1" spans="1:53">
      <c r="A78" s="160">
        <v>17</v>
      </c>
      <c r="B78" s="160">
        <v>129</v>
      </c>
      <c r="C78" s="161" t="s">
        <v>399</v>
      </c>
      <c r="D78" s="124">
        <v>242510334</v>
      </c>
      <c r="E78" s="124" t="s">
        <v>400</v>
      </c>
      <c r="F78" s="161" t="s">
        <v>401</v>
      </c>
      <c r="G78" s="161" t="s">
        <v>402</v>
      </c>
      <c r="H78" s="166" t="s">
        <v>403</v>
      </c>
      <c r="I78" s="161" t="s">
        <v>60</v>
      </c>
      <c r="J78" s="172" t="s">
        <v>61</v>
      </c>
      <c r="K78" s="86" t="s">
        <v>403</v>
      </c>
      <c r="L78" s="173">
        <v>39873</v>
      </c>
      <c r="M78" s="184" t="s">
        <v>130</v>
      </c>
      <c r="N78" s="179" t="s">
        <v>302</v>
      </c>
      <c r="O78" s="180">
        <v>100</v>
      </c>
      <c r="P78" s="161">
        <v>100</v>
      </c>
      <c r="Q78" s="192">
        <v>2</v>
      </c>
      <c r="R78" s="160">
        <v>100</v>
      </c>
      <c r="S78" s="160">
        <v>100</v>
      </c>
      <c r="T78" s="160">
        <v>100</v>
      </c>
      <c r="U78" s="160"/>
      <c r="V78" s="180"/>
      <c r="W78" s="160"/>
      <c r="X78" s="161"/>
      <c r="Y78" s="160"/>
      <c r="Z78" s="160" t="s">
        <v>303</v>
      </c>
      <c r="AA78" s="160">
        <v>95</v>
      </c>
      <c r="AB78" s="195"/>
      <c r="AC78" s="200">
        <f t="shared" si="12"/>
        <v>595</v>
      </c>
      <c r="AD78" s="180">
        <f t="shared" si="13"/>
        <v>200</v>
      </c>
      <c r="AE78" s="196">
        <f t="shared" si="14"/>
        <v>516</v>
      </c>
      <c r="AF78" s="201">
        <f t="shared" si="15"/>
        <v>90.2857142857143</v>
      </c>
      <c r="AG78" s="160"/>
      <c r="AH78" s="160">
        <v>100</v>
      </c>
      <c r="AI78" s="160"/>
      <c r="AJ78" s="160">
        <f t="shared" si="16"/>
        <v>88</v>
      </c>
      <c r="AK78" s="160">
        <v>1</v>
      </c>
      <c r="AL78" s="161"/>
      <c r="AM78" s="161">
        <v>100</v>
      </c>
      <c r="AN78" s="161">
        <v>100</v>
      </c>
      <c r="AO78" s="161">
        <f t="shared" si="17"/>
        <v>300</v>
      </c>
      <c r="AP78" s="161">
        <f t="shared" si="18"/>
        <v>1</v>
      </c>
      <c r="AQ78" s="126">
        <v>88</v>
      </c>
      <c r="AR78" s="128" t="s">
        <v>404</v>
      </c>
      <c r="AT78" s="128">
        <f t="shared" si="19"/>
        <v>280</v>
      </c>
      <c r="AU78" s="204">
        <f t="shared" si="20"/>
        <v>87.5</v>
      </c>
      <c r="AV78" s="205">
        <f t="shared" si="21"/>
        <v>87.75</v>
      </c>
      <c r="AW78" s="206">
        <f t="shared" si="22"/>
        <v>89.0178571428571</v>
      </c>
      <c r="AX78" s="206">
        <f t="shared" si="23"/>
        <v>87.671611102952</v>
      </c>
      <c r="AY78" s="207">
        <v>89.4447719784984</v>
      </c>
      <c r="AZ78" s="166" t="s">
        <v>403</v>
      </c>
      <c r="BA78" s="128" t="s">
        <v>405</v>
      </c>
    </row>
    <row r="79" customHeight="1" spans="1:53">
      <c r="A79" s="160">
        <v>18</v>
      </c>
      <c r="B79" s="160">
        <v>130</v>
      </c>
      <c r="C79" s="161" t="s">
        <v>406</v>
      </c>
      <c r="D79" s="124">
        <v>242510369</v>
      </c>
      <c r="E79" s="124" t="s">
        <v>407</v>
      </c>
      <c r="F79" s="161" t="s">
        <v>408</v>
      </c>
      <c r="G79" s="161" t="s">
        <v>409</v>
      </c>
      <c r="H79" s="166" t="s">
        <v>410</v>
      </c>
      <c r="I79" s="161" t="s">
        <v>60</v>
      </c>
      <c r="J79" s="172" t="s">
        <v>61</v>
      </c>
      <c r="K79" s="86" t="s">
        <v>410</v>
      </c>
      <c r="L79" s="173">
        <v>39476</v>
      </c>
      <c r="M79" s="161" t="s">
        <v>90</v>
      </c>
      <c r="N79" s="179" t="s">
        <v>302</v>
      </c>
      <c r="O79" s="180">
        <v>100</v>
      </c>
      <c r="P79" s="161">
        <v>100</v>
      </c>
      <c r="Q79" s="160"/>
      <c r="R79" s="160">
        <v>100</v>
      </c>
      <c r="S79" s="160">
        <v>100</v>
      </c>
      <c r="T79" s="160">
        <v>80</v>
      </c>
      <c r="U79" s="160"/>
      <c r="V79" s="180"/>
      <c r="W79" s="160"/>
      <c r="X79" s="161"/>
      <c r="Y79" s="160"/>
      <c r="Z79" s="160" t="s">
        <v>303</v>
      </c>
      <c r="AA79" s="160">
        <v>100</v>
      </c>
      <c r="AB79" s="194"/>
      <c r="AC79" s="200">
        <f t="shared" si="12"/>
        <v>580</v>
      </c>
      <c r="AD79" s="180">
        <f t="shared" si="13"/>
        <v>0</v>
      </c>
      <c r="AE79" s="196">
        <f t="shared" si="14"/>
        <v>464</v>
      </c>
      <c r="AF79" s="201">
        <f t="shared" si="15"/>
        <v>87.8095238095238</v>
      </c>
      <c r="AG79" s="160"/>
      <c r="AH79" s="160">
        <v>100</v>
      </c>
      <c r="AI79" s="160"/>
      <c r="AJ79" s="160">
        <f t="shared" si="16"/>
        <v>82</v>
      </c>
      <c r="AK79" s="160"/>
      <c r="AL79" s="161"/>
      <c r="AM79" s="161">
        <v>100</v>
      </c>
      <c r="AN79" s="161">
        <v>100</v>
      </c>
      <c r="AO79" s="161">
        <f t="shared" si="17"/>
        <v>300</v>
      </c>
      <c r="AP79" s="161">
        <f t="shared" si="18"/>
        <v>0</v>
      </c>
      <c r="AQ79" s="126">
        <v>82</v>
      </c>
      <c r="AR79" s="128" t="s">
        <v>411</v>
      </c>
      <c r="AT79" s="128">
        <f t="shared" si="19"/>
        <v>270</v>
      </c>
      <c r="AU79" s="204">
        <f t="shared" si="20"/>
        <v>84.375</v>
      </c>
      <c r="AV79" s="205">
        <f t="shared" si="21"/>
        <v>83.1875</v>
      </c>
      <c r="AW79" s="206">
        <f t="shared" si="22"/>
        <v>85.4985119047619</v>
      </c>
      <c r="AX79" s="206">
        <f t="shared" si="23"/>
        <v>84.8929358202379</v>
      </c>
      <c r="AY79" s="207">
        <v>87.8044043696896</v>
      </c>
      <c r="AZ79" s="166" t="s">
        <v>410</v>
      </c>
      <c r="BA79" s="128" t="s">
        <v>410</v>
      </c>
    </row>
    <row r="80" customHeight="1" spans="1:53">
      <c r="A80" s="160">
        <v>19</v>
      </c>
      <c r="B80" s="160">
        <v>131</v>
      </c>
      <c r="C80" s="161" t="s">
        <v>412</v>
      </c>
      <c r="D80" s="124">
        <v>242510404</v>
      </c>
      <c r="E80" s="124" t="s">
        <v>413</v>
      </c>
      <c r="F80" s="161" t="s">
        <v>414</v>
      </c>
      <c r="G80" s="161" t="s">
        <v>415</v>
      </c>
      <c r="H80" s="166" t="s">
        <v>416</v>
      </c>
      <c r="I80" s="161" t="s">
        <v>143</v>
      </c>
      <c r="J80" s="172" t="s">
        <v>61</v>
      </c>
      <c r="K80" s="86" t="s">
        <v>416</v>
      </c>
      <c r="L80" s="173">
        <v>39517</v>
      </c>
      <c r="M80" s="183" t="s">
        <v>90</v>
      </c>
      <c r="N80" s="179" t="s">
        <v>302</v>
      </c>
      <c r="O80" s="180">
        <v>100</v>
      </c>
      <c r="P80" s="161">
        <v>100</v>
      </c>
      <c r="Q80" s="160"/>
      <c r="R80" s="160">
        <v>100</v>
      </c>
      <c r="S80" s="160">
        <v>100</v>
      </c>
      <c r="T80" s="160">
        <v>80</v>
      </c>
      <c r="U80" s="160"/>
      <c r="V80" s="180"/>
      <c r="W80" s="160"/>
      <c r="X80" s="161"/>
      <c r="Y80" s="160"/>
      <c r="Z80" s="160" t="s">
        <v>303</v>
      </c>
      <c r="AA80" s="160">
        <v>95</v>
      </c>
      <c r="AB80" s="194"/>
      <c r="AC80" s="200">
        <f t="shared" si="12"/>
        <v>575</v>
      </c>
      <c r="AD80" s="180">
        <f t="shared" si="13"/>
        <v>0</v>
      </c>
      <c r="AE80" s="196">
        <f t="shared" si="14"/>
        <v>460</v>
      </c>
      <c r="AF80" s="201">
        <f t="shared" si="15"/>
        <v>87.6190476190476</v>
      </c>
      <c r="AG80" s="160"/>
      <c r="AH80" s="160">
        <v>100</v>
      </c>
      <c r="AI80" s="160"/>
      <c r="AJ80" s="160">
        <f t="shared" si="16"/>
        <v>91</v>
      </c>
      <c r="AK80" s="160">
        <v>1</v>
      </c>
      <c r="AL80" s="161"/>
      <c r="AM80" s="161">
        <v>100</v>
      </c>
      <c r="AN80" s="161">
        <v>100</v>
      </c>
      <c r="AO80" s="161">
        <f t="shared" si="17"/>
        <v>300</v>
      </c>
      <c r="AP80" s="161">
        <f t="shared" si="18"/>
        <v>1</v>
      </c>
      <c r="AQ80" s="126">
        <v>91</v>
      </c>
      <c r="AR80" s="128" t="s">
        <v>417</v>
      </c>
      <c r="AT80" s="128">
        <f t="shared" si="19"/>
        <v>280</v>
      </c>
      <c r="AU80" s="204">
        <f t="shared" si="20"/>
        <v>87.5</v>
      </c>
      <c r="AV80" s="205">
        <f t="shared" si="21"/>
        <v>89.25</v>
      </c>
      <c r="AW80" s="206">
        <f t="shared" si="22"/>
        <v>88.4345238095238</v>
      </c>
      <c r="AX80" s="206">
        <f t="shared" si="23"/>
        <v>87.2110442061977</v>
      </c>
      <c r="AY80" s="207">
        <v>89.1728801803364</v>
      </c>
      <c r="AZ80" s="166" t="s">
        <v>416</v>
      </c>
      <c r="BA80" s="128" t="s">
        <v>416</v>
      </c>
    </row>
    <row r="81" customHeight="1" spans="1:53">
      <c r="A81" s="160">
        <v>20</v>
      </c>
      <c r="B81" s="160">
        <v>132</v>
      </c>
      <c r="C81" s="161" t="s">
        <v>418</v>
      </c>
      <c r="D81" s="124">
        <v>242510102</v>
      </c>
      <c r="E81" s="124" t="s">
        <v>419</v>
      </c>
      <c r="F81" s="161" t="s">
        <v>420</v>
      </c>
      <c r="G81" s="161" t="s">
        <v>421</v>
      </c>
      <c r="H81" s="166" t="s">
        <v>422</v>
      </c>
      <c r="I81" s="161" t="s">
        <v>60</v>
      </c>
      <c r="J81" s="172" t="s">
        <v>61</v>
      </c>
      <c r="K81" s="86" t="s">
        <v>422</v>
      </c>
      <c r="L81" s="173">
        <v>39896</v>
      </c>
      <c r="M81" s="183" t="s">
        <v>90</v>
      </c>
      <c r="N81" s="179" t="s">
        <v>302</v>
      </c>
      <c r="O81" s="180">
        <v>100</v>
      </c>
      <c r="P81" s="161">
        <v>100</v>
      </c>
      <c r="Q81" s="160"/>
      <c r="R81" s="160">
        <v>100</v>
      </c>
      <c r="S81" s="160">
        <v>100</v>
      </c>
      <c r="T81" s="160">
        <v>80</v>
      </c>
      <c r="U81" s="160"/>
      <c r="V81" s="180"/>
      <c r="W81" s="160"/>
      <c r="X81" s="161"/>
      <c r="Y81" s="160"/>
      <c r="Z81" s="160" t="s">
        <v>303</v>
      </c>
      <c r="AA81" s="160">
        <v>95</v>
      </c>
      <c r="AB81" s="194"/>
      <c r="AC81" s="200">
        <f t="shared" si="12"/>
        <v>575</v>
      </c>
      <c r="AD81" s="180">
        <f t="shared" si="13"/>
        <v>0</v>
      </c>
      <c r="AE81" s="196">
        <f t="shared" si="14"/>
        <v>460</v>
      </c>
      <c r="AF81" s="201">
        <f t="shared" si="15"/>
        <v>87.6190476190476</v>
      </c>
      <c r="AG81" s="160"/>
      <c r="AH81" s="160">
        <v>100</v>
      </c>
      <c r="AI81" s="160">
        <v>1</v>
      </c>
      <c r="AJ81" s="160">
        <f t="shared" si="16"/>
        <v>94</v>
      </c>
      <c r="AK81" s="160">
        <v>1</v>
      </c>
      <c r="AL81" s="161"/>
      <c r="AM81" s="161">
        <v>100</v>
      </c>
      <c r="AN81" s="161">
        <v>100</v>
      </c>
      <c r="AO81" s="161">
        <f t="shared" si="17"/>
        <v>300</v>
      </c>
      <c r="AP81" s="161">
        <f t="shared" si="18"/>
        <v>2</v>
      </c>
      <c r="AQ81" s="126">
        <v>94</v>
      </c>
      <c r="AR81" s="128" t="s">
        <v>423</v>
      </c>
      <c r="AT81" s="128">
        <f t="shared" si="19"/>
        <v>290</v>
      </c>
      <c r="AU81" s="204">
        <f t="shared" si="20"/>
        <v>90.625</v>
      </c>
      <c r="AV81" s="205">
        <f t="shared" si="21"/>
        <v>92.3125</v>
      </c>
      <c r="AW81" s="206">
        <f t="shared" si="22"/>
        <v>89.9657738095238</v>
      </c>
      <c r="AX81" s="206">
        <f t="shared" si="23"/>
        <v>88.4200323101777</v>
      </c>
      <c r="AY81" s="207">
        <v>89.8865961505115</v>
      </c>
      <c r="AZ81" s="166" t="s">
        <v>422</v>
      </c>
      <c r="BA81" s="128" t="s">
        <v>422</v>
      </c>
    </row>
    <row r="82" customHeight="1" spans="1:53">
      <c r="A82" s="160">
        <v>21</v>
      </c>
      <c r="B82" s="160">
        <v>133</v>
      </c>
      <c r="C82" s="161" t="s">
        <v>424</v>
      </c>
      <c r="D82" s="124">
        <v>242510138</v>
      </c>
      <c r="E82" s="124" t="s">
        <v>425</v>
      </c>
      <c r="F82" s="161" t="s">
        <v>426</v>
      </c>
      <c r="G82" s="161" t="s">
        <v>427</v>
      </c>
      <c r="H82" s="166" t="s">
        <v>428</v>
      </c>
      <c r="I82" s="161" t="s">
        <v>429</v>
      </c>
      <c r="J82" s="172" t="s">
        <v>61</v>
      </c>
      <c r="K82" s="86" t="s">
        <v>428</v>
      </c>
      <c r="L82" s="173">
        <v>39747</v>
      </c>
      <c r="M82" s="184" t="s">
        <v>130</v>
      </c>
      <c r="N82" s="179" t="s">
        <v>302</v>
      </c>
      <c r="O82" s="180">
        <v>100</v>
      </c>
      <c r="P82" s="161">
        <v>100</v>
      </c>
      <c r="Q82" s="160"/>
      <c r="R82" s="160">
        <v>100</v>
      </c>
      <c r="S82" s="160">
        <v>100</v>
      </c>
      <c r="T82" s="160">
        <v>100</v>
      </c>
      <c r="U82" s="160"/>
      <c r="V82" s="180"/>
      <c r="W82" s="160"/>
      <c r="X82" s="161"/>
      <c r="Y82" s="160"/>
      <c r="Z82" s="160" t="s">
        <v>303</v>
      </c>
      <c r="AA82" s="160">
        <v>100</v>
      </c>
      <c r="AB82" s="194"/>
      <c r="AC82" s="200">
        <f t="shared" si="12"/>
        <v>600</v>
      </c>
      <c r="AD82" s="180">
        <f t="shared" si="13"/>
        <v>0</v>
      </c>
      <c r="AE82" s="196">
        <f t="shared" si="14"/>
        <v>480</v>
      </c>
      <c r="AF82" s="201">
        <f t="shared" si="15"/>
        <v>88.5714285714286</v>
      </c>
      <c r="AG82" s="160"/>
      <c r="AH82" s="160">
        <v>100</v>
      </c>
      <c r="AI82" s="160">
        <v>1</v>
      </c>
      <c r="AJ82" s="160">
        <f t="shared" si="16"/>
        <v>88</v>
      </c>
      <c r="AK82" s="160"/>
      <c r="AL82" s="161"/>
      <c r="AM82" s="161">
        <v>100</v>
      </c>
      <c r="AN82" s="161">
        <v>100</v>
      </c>
      <c r="AO82" s="161">
        <f t="shared" si="17"/>
        <v>300</v>
      </c>
      <c r="AP82" s="161">
        <f t="shared" si="18"/>
        <v>1</v>
      </c>
      <c r="AQ82" s="126">
        <v>88</v>
      </c>
      <c r="AR82" s="128" t="s">
        <v>430</v>
      </c>
      <c r="AT82" s="128">
        <f t="shared" si="19"/>
        <v>280</v>
      </c>
      <c r="AU82" s="204">
        <f t="shared" si="20"/>
        <v>87.5</v>
      </c>
      <c r="AV82" s="205">
        <f t="shared" si="21"/>
        <v>87.75</v>
      </c>
      <c r="AW82" s="206">
        <f t="shared" si="22"/>
        <v>88.1607142857143</v>
      </c>
      <c r="AX82" s="206">
        <f t="shared" si="23"/>
        <v>86.9948597444559</v>
      </c>
      <c r="AY82" s="207">
        <v>89.0452574995665</v>
      </c>
      <c r="AZ82" s="166" t="s">
        <v>428</v>
      </c>
      <c r="BA82" s="128" t="s">
        <v>428</v>
      </c>
    </row>
    <row r="83" customHeight="1" spans="1:53">
      <c r="A83" s="160">
        <v>22</v>
      </c>
      <c r="B83" s="160">
        <v>134</v>
      </c>
      <c r="C83" s="161" t="s">
        <v>431</v>
      </c>
      <c r="D83" s="124">
        <v>242510056</v>
      </c>
      <c r="E83" s="124" t="s">
        <v>432</v>
      </c>
      <c r="F83" s="161" t="s">
        <v>433</v>
      </c>
      <c r="G83" s="161" t="s">
        <v>434</v>
      </c>
      <c r="H83" s="166" t="s">
        <v>435</v>
      </c>
      <c r="I83" s="161" t="s">
        <v>436</v>
      </c>
      <c r="J83" s="172" t="s">
        <v>76</v>
      </c>
      <c r="K83" s="86" t="s">
        <v>435</v>
      </c>
      <c r="L83" s="173">
        <v>39810</v>
      </c>
      <c r="M83" s="181" t="s">
        <v>53</v>
      </c>
      <c r="N83" s="179" t="s">
        <v>302</v>
      </c>
      <c r="O83" s="180">
        <v>100</v>
      </c>
      <c r="P83" s="161">
        <v>100</v>
      </c>
      <c r="Q83" s="160"/>
      <c r="R83" s="160">
        <v>100</v>
      </c>
      <c r="S83" s="160">
        <v>100</v>
      </c>
      <c r="T83" s="160">
        <v>80</v>
      </c>
      <c r="U83" s="160"/>
      <c r="V83" s="180"/>
      <c r="W83" s="160"/>
      <c r="X83" s="161"/>
      <c r="Y83" s="160"/>
      <c r="Z83" s="160" t="s">
        <v>303</v>
      </c>
      <c r="AA83" s="160">
        <v>80</v>
      </c>
      <c r="AB83" s="194"/>
      <c r="AC83" s="200">
        <f t="shared" si="12"/>
        <v>560</v>
      </c>
      <c r="AD83" s="180">
        <f t="shared" si="13"/>
        <v>0</v>
      </c>
      <c r="AE83" s="196">
        <f t="shared" si="14"/>
        <v>448</v>
      </c>
      <c r="AF83" s="201">
        <f t="shared" si="15"/>
        <v>87.0476190476191</v>
      </c>
      <c r="AG83" s="160"/>
      <c r="AH83" s="160">
        <v>100</v>
      </c>
      <c r="AI83" s="160"/>
      <c r="AJ83" s="160">
        <f t="shared" si="16"/>
        <v>94</v>
      </c>
      <c r="AK83" s="160"/>
      <c r="AL83" s="161"/>
      <c r="AM83" s="161">
        <v>100</v>
      </c>
      <c r="AN83" s="161">
        <v>100</v>
      </c>
      <c r="AO83" s="161">
        <f t="shared" si="17"/>
        <v>300</v>
      </c>
      <c r="AP83" s="161">
        <f t="shared" si="18"/>
        <v>0</v>
      </c>
      <c r="AQ83" s="126">
        <v>94</v>
      </c>
      <c r="AR83" s="128" t="s">
        <v>437</v>
      </c>
      <c r="AT83" s="128">
        <f t="shared" si="19"/>
        <v>270</v>
      </c>
      <c r="AU83" s="204">
        <f t="shared" si="20"/>
        <v>84.375</v>
      </c>
      <c r="AV83" s="205">
        <f t="shared" si="21"/>
        <v>89.1875</v>
      </c>
      <c r="AW83" s="206">
        <f t="shared" si="22"/>
        <v>88.1175595238095</v>
      </c>
      <c r="AX83" s="206">
        <f t="shared" si="23"/>
        <v>86.9607871934205</v>
      </c>
      <c r="AY83" s="207">
        <v>89.0251430553147</v>
      </c>
      <c r="AZ83" s="166" t="s">
        <v>435</v>
      </c>
      <c r="BA83" s="128" t="s">
        <v>435</v>
      </c>
    </row>
    <row r="84" customHeight="1" spans="1:53">
      <c r="A84" s="160">
        <v>23</v>
      </c>
      <c r="B84" s="160">
        <v>135</v>
      </c>
      <c r="C84" s="161" t="s">
        <v>438</v>
      </c>
      <c r="D84" s="124">
        <v>242510185</v>
      </c>
      <c r="E84" s="124" t="s">
        <v>439</v>
      </c>
      <c r="F84" s="161" t="s">
        <v>440</v>
      </c>
      <c r="G84" s="161" t="s">
        <v>441</v>
      </c>
      <c r="H84" s="166" t="s">
        <v>442</v>
      </c>
      <c r="I84" s="161" t="s">
        <v>443</v>
      </c>
      <c r="J84" s="172" t="s">
        <v>76</v>
      </c>
      <c r="K84" s="86" t="s">
        <v>442</v>
      </c>
      <c r="L84" s="173">
        <v>39837</v>
      </c>
      <c r="M84" s="184" t="s">
        <v>130</v>
      </c>
      <c r="N84" s="179" t="s">
        <v>302</v>
      </c>
      <c r="O84" s="180">
        <v>100</v>
      </c>
      <c r="P84" s="161">
        <v>100</v>
      </c>
      <c r="Q84" s="160"/>
      <c r="R84" s="160">
        <v>100</v>
      </c>
      <c r="S84" s="160">
        <v>100</v>
      </c>
      <c r="T84" s="160">
        <v>80</v>
      </c>
      <c r="U84" s="160"/>
      <c r="V84" s="180"/>
      <c r="W84" s="160"/>
      <c r="X84" s="161"/>
      <c r="Y84" s="160"/>
      <c r="Z84" s="160" t="s">
        <v>303</v>
      </c>
      <c r="AA84" s="160">
        <v>80</v>
      </c>
      <c r="AB84" s="194"/>
      <c r="AC84" s="200">
        <f t="shared" si="12"/>
        <v>560</v>
      </c>
      <c r="AD84" s="180">
        <f t="shared" si="13"/>
        <v>0</v>
      </c>
      <c r="AE84" s="196">
        <f t="shared" si="14"/>
        <v>448</v>
      </c>
      <c r="AF84" s="201">
        <f t="shared" si="15"/>
        <v>87.0476190476191</v>
      </c>
      <c r="AG84" s="160"/>
      <c r="AH84" s="160">
        <v>100</v>
      </c>
      <c r="AI84" s="160"/>
      <c r="AJ84" s="160">
        <f t="shared" si="16"/>
        <v>91</v>
      </c>
      <c r="AK84" s="160"/>
      <c r="AL84" s="161"/>
      <c r="AM84" s="161">
        <v>100</v>
      </c>
      <c r="AN84" s="161">
        <v>100</v>
      </c>
      <c r="AO84" s="161">
        <f t="shared" si="17"/>
        <v>300</v>
      </c>
      <c r="AP84" s="161">
        <f t="shared" si="18"/>
        <v>0</v>
      </c>
      <c r="AQ84" s="126">
        <v>91</v>
      </c>
      <c r="AR84" s="128" t="s">
        <v>444</v>
      </c>
      <c r="AT84" s="128">
        <f t="shared" si="19"/>
        <v>270</v>
      </c>
      <c r="AU84" s="204">
        <f t="shared" si="20"/>
        <v>84.375</v>
      </c>
      <c r="AV84" s="205">
        <f t="shared" si="21"/>
        <v>87.6875</v>
      </c>
      <c r="AW84" s="206">
        <f t="shared" si="22"/>
        <v>87.3675595238095</v>
      </c>
      <c r="AX84" s="206">
        <f t="shared" si="23"/>
        <v>86.3686297547364</v>
      </c>
      <c r="AY84" s="207">
        <v>88.6755678862494</v>
      </c>
      <c r="AZ84" s="166" t="s">
        <v>442</v>
      </c>
      <c r="BA84" s="128" t="s">
        <v>442</v>
      </c>
    </row>
    <row r="85" customHeight="1" spans="1:53">
      <c r="A85" s="160">
        <v>24</v>
      </c>
      <c r="B85" s="160">
        <v>136</v>
      </c>
      <c r="C85" s="161" t="s">
        <v>445</v>
      </c>
      <c r="D85" s="124">
        <v>242510227</v>
      </c>
      <c r="E85" s="124" t="s">
        <v>446</v>
      </c>
      <c r="F85" s="161" t="s">
        <v>447</v>
      </c>
      <c r="G85" s="161" t="s">
        <v>448</v>
      </c>
      <c r="H85" s="166" t="s">
        <v>449</v>
      </c>
      <c r="I85" s="161" t="s">
        <v>268</v>
      </c>
      <c r="J85" s="172" t="s">
        <v>61</v>
      </c>
      <c r="K85" s="86" t="s">
        <v>449</v>
      </c>
      <c r="L85" s="173">
        <v>39688</v>
      </c>
      <c r="M85" s="183" t="s">
        <v>90</v>
      </c>
      <c r="N85" s="179" t="s">
        <v>302</v>
      </c>
      <c r="O85" s="180">
        <v>100</v>
      </c>
      <c r="P85" s="161">
        <v>100</v>
      </c>
      <c r="Q85" s="160"/>
      <c r="R85" s="160">
        <v>100</v>
      </c>
      <c r="S85" s="160">
        <v>100</v>
      </c>
      <c r="T85" s="160">
        <v>80</v>
      </c>
      <c r="U85" s="160"/>
      <c r="V85" s="180"/>
      <c r="W85" s="160"/>
      <c r="X85" s="161"/>
      <c r="Y85" s="160"/>
      <c r="Z85" s="160" t="s">
        <v>303</v>
      </c>
      <c r="AA85" s="160">
        <v>100</v>
      </c>
      <c r="AB85" s="194"/>
      <c r="AC85" s="200">
        <f t="shared" si="12"/>
        <v>580</v>
      </c>
      <c r="AD85" s="180">
        <f t="shared" si="13"/>
        <v>0</v>
      </c>
      <c r="AE85" s="196">
        <f t="shared" si="14"/>
        <v>464</v>
      </c>
      <c r="AF85" s="201">
        <f t="shared" si="15"/>
        <v>87.8095238095238</v>
      </c>
      <c r="AG85" s="160"/>
      <c r="AH85" s="160">
        <v>100</v>
      </c>
      <c r="AI85" s="160"/>
      <c r="AJ85" s="160">
        <f t="shared" si="16"/>
        <v>94</v>
      </c>
      <c r="AK85" s="160"/>
      <c r="AL85" s="161"/>
      <c r="AM85" s="161">
        <v>100</v>
      </c>
      <c r="AN85" s="161">
        <v>100</v>
      </c>
      <c r="AO85" s="161">
        <f t="shared" si="17"/>
        <v>300</v>
      </c>
      <c r="AP85" s="161">
        <f t="shared" si="18"/>
        <v>0</v>
      </c>
      <c r="AQ85" s="126">
        <v>94</v>
      </c>
      <c r="AR85" s="128" t="s">
        <v>450</v>
      </c>
      <c r="AT85" s="128">
        <f t="shared" si="19"/>
        <v>270</v>
      </c>
      <c r="AU85" s="204">
        <f t="shared" si="20"/>
        <v>84.375</v>
      </c>
      <c r="AV85" s="205">
        <f t="shared" si="21"/>
        <v>89.1875</v>
      </c>
      <c r="AW85" s="206">
        <f t="shared" si="22"/>
        <v>88.4985119047619</v>
      </c>
      <c r="AX85" s="206">
        <f t="shared" si="23"/>
        <v>87.2615655749743</v>
      </c>
      <c r="AY85" s="207">
        <v>89.2027050459511</v>
      </c>
      <c r="AZ85" s="166" t="s">
        <v>449</v>
      </c>
      <c r="BA85" s="128" t="s">
        <v>449</v>
      </c>
    </row>
    <row r="86" customHeight="1" spans="1:53">
      <c r="A86" s="160">
        <v>25</v>
      </c>
      <c r="B86" s="160">
        <v>137</v>
      </c>
      <c r="C86" s="161" t="s">
        <v>451</v>
      </c>
      <c r="D86" s="124">
        <v>242510228</v>
      </c>
      <c r="E86" s="124" t="s">
        <v>452</v>
      </c>
      <c r="F86" s="161" t="s">
        <v>453</v>
      </c>
      <c r="G86" s="161" t="s">
        <v>454</v>
      </c>
      <c r="H86" s="166" t="s">
        <v>455</v>
      </c>
      <c r="I86" s="161" t="s">
        <v>197</v>
      </c>
      <c r="J86" s="89" t="s">
        <v>61</v>
      </c>
      <c r="K86" s="86" t="s">
        <v>455</v>
      </c>
      <c r="L86" s="173">
        <v>39740</v>
      </c>
      <c r="M86" s="185" t="s">
        <v>144</v>
      </c>
      <c r="N86" s="179" t="s">
        <v>302</v>
      </c>
      <c r="O86" s="180">
        <v>100</v>
      </c>
      <c r="P86" s="161">
        <v>100</v>
      </c>
      <c r="Q86" s="160"/>
      <c r="R86" s="160">
        <v>100</v>
      </c>
      <c r="S86" s="160">
        <v>100</v>
      </c>
      <c r="T86" s="160">
        <v>80</v>
      </c>
      <c r="U86" s="160"/>
      <c r="V86" s="180"/>
      <c r="W86" s="160"/>
      <c r="X86" s="161"/>
      <c r="Y86" s="160"/>
      <c r="Z86" s="160" t="s">
        <v>303</v>
      </c>
      <c r="AA86" s="160">
        <v>95</v>
      </c>
      <c r="AB86" s="194"/>
      <c r="AC86" s="200">
        <f t="shared" si="12"/>
        <v>575</v>
      </c>
      <c r="AD86" s="180">
        <f t="shared" si="13"/>
        <v>0</v>
      </c>
      <c r="AE86" s="196">
        <f t="shared" si="14"/>
        <v>460</v>
      </c>
      <c r="AF86" s="201">
        <f t="shared" si="15"/>
        <v>87.6190476190476</v>
      </c>
      <c r="AG86" s="160"/>
      <c r="AH86" s="160">
        <v>100</v>
      </c>
      <c r="AI86" s="160">
        <v>1</v>
      </c>
      <c r="AJ86" s="160">
        <f t="shared" si="16"/>
        <v>94</v>
      </c>
      <c r="AK86" s="160"/>
      <c r="AL86" s="161"/>
      <c r="AM86" s="161">
        <v>100</v>
      </c>
      <c r="AN86" s="161">
        <v>100</v>
      </c>
      <c r="AO86" s="161">
        <f t="shared" si="17"/>
        <v>300</v>
      </c>
      <c r="AP86" s="161">
        <f t="shared" si="18"/>
        <v>1</v>
      </c>
      <c r="AQ86" s="126">
        <v>94</v>
      </c>
      <c r="AR86" s="128" t="s">
        <v>456</v>
      </c>
      <c r="AT86" s="128">
        <f t="shared" si="19"/>
        <v>280</v>
      </c>
      <c r="AU86" s="204">
        <f t="shared" si="20"/>
        <v>87.5</v>
      </c>
      <c r="AV86" s="205">
        <f t="shared" si="21"/>
        <v>90.75</v>
      </c>
      <c r="AW86" s="206">
        <f t="shared" si="22"/>
        <v>89.1845238095238</v>
      </c>
      <c r="AX86" s="206">
        <f t="shared" si="23"/>
        <v>87.8032016448818</v>
      </c>
      <c r="AY86" s="207">
        <v>89.5224553494018</v>
      </c>
      <c r="AZ86" s="166" t="s">
        <v>455</v>
      </c>
      <c r="BA86" s="128" t="s">
        <v>455</v>
      </c>
    </row>
    <row r="87" customHeight="1" spans="1:53">
      <c r="A87" s="160">
        <v>26</v>
      </c>
      <c r="B87" s="160">
        <v>138</v>
      </c>
      <c r="C87" s="161" t="s">
        <v>457</v>
      </c>
      <c r="D87" s="124">
        <v>242510031</v>
      </c>
      <c r="E87" s="124" t="s">
        <v>458</v>
      </c>
      <c r="F87" s="161" t="s">
        <v>459</v>
      </c>
      <c r="G87" s="161" t="s">
        <v>460</v>
      </c>
      <c r="H87" s="166" t="s">
        <v>461</v>
      </c>
      <c r="I87" s="161" t="s">
        <v>60</v>
      </c>
      <c r="J87" s="172" t="s">
        <v>61</v>
      </c>
      <c r="K87" s="86" t="s">
        <v>461</v>
      </c>
      <c r="L87" s="173">
        <v>39718</v>
      </c>
      <c r="M87" s="181" t="s">
        <v>53</v>
      </c>
      <c r="N87" s="179" t="s">
        <v>302</v>
      </c>
      <c r="O87" s="180">
        <v>100</v>
      </c>
      <c r="P87" s="161">
        <v>100</v>
      </c>
      <c r="Q87" s="192">
        <v>1</v>
      </c>
      <c r="R87" s="160">
        <v>100</v>
      </c>
      <c r="S87" s="160">
        <v>100</v>
      </c>
      <c r="T87" s="160">
        <v>100</v>
      </c>
      <c r="U87" s="160"/>
      <c r="V87" s="180"/>
      <c r="W87" s="160"/>
      <c r="X87" s="161"/>
      <c r="Y87" s="160"/>
      <c r="Z87" s="160" t="s">
        <v>303</v>
      </c>
      <c r="AA87" s="160">
        <v>100</v>
      </c>
      <c r="AB87" s="194"/>
      <c r="AC87" s="200">
        <f t="shared" si="12"/>
        <v>600</v>
      </c>
      <c r="AD87" s="180">
        <f t="shared" si="13"/>
        <v>100</v>
      </c>
      <c r="AE87" s="196">
        <f t="shared" si="14"/>
        <v>500</v>
      </c>
      <c r="AF87" s="201">
        <f t="shared" si="15"/>
        <v>89.5238095238095</v>
      </c>
      <c r="AG87" s="160"/>
      <c r="AH87" s="160">
        <v>100</v>
      </c>
      <c r="AI87" s="160">
        <v>1</v>
      </c>
      <c r="AJ87" s="160">
        <f t="shared" si="16"/>
        <v>88</v>
      </c>
      <c r="AK87" s="160">
        <v>2</v>
      </c>
      <c r="AL87" s="161"/>
      <c r="AM87" s="161">
        <v>100</v>
      </c>
      <c r="AN87" s="161">
        <v>100</v>
      </c>
      <c r="AO87" s="161">
        <f t="shared" si="17"/>
        <v>300</v>
      </c>
      <c r="AP87" s="161">
        <f t="shared" si="18"/>
        <v>3</v>
      </c>
      <c r="AQ87" s="126">
        <v>88</v>
      </c>
      <c r="AR87" s="128" t="s">
        <v>462</v>
      </c>
      <c r="AT87" s="128">
        <f t="shared" si="19"/>
        <v>300</v>
      </c>
      <c r="AU87" s="204">
        <f t="shared" si="20"/>
        <v>93.75</v>
      </c>
      <c r="AV87" s="205">
        <f t="shared" si="21"/>
        <v>90.875</v>
      </c>
      <c r="AW87" s="206">
        <f t="shared" si="22"/>
        <v>90.1994047619048</v>
      </c>
      <c r="AX87" s="206">
        <f t="shared" si="23"/>
        <v>88.60449405199</v>
      </c>
      <c r="AY87" s="207">
        <v>89.9954915900815</v>
      </c>
      <c r="AZ87" s="166" t="s">
        <v>461</v>
      </c>
      <c r="BA87" s="128" t="s">
        <v>461</v>
      </c>
    </row>
    <row r="88" customHeight="1" spans="1:53">
      <c r="A88" s="160">
        <v>27</v>
      </c>
      <c r="B88" s="160">
        <v>139</v>
      </c>
      <c r="C88" s="161" t="s">
        <v>463</v>
      </c>
      <c r="D88" s="124">
        <v>242510264</v>
      </c>
      <c r="E88" s="124" t="s">
        <v>464</v>
      </c>
      <c r="F88" s="161" t="s">
        <v>465</v>
      </c>
      <c r="G88" s="161" t="s">
        <v>466</v>
      </c>
      <c r="H88" s="166" t="s">
        <v>467</v>
      </c>
      <c r="I88" s="161" t="s">
        <v>178</v>
      </c>
      <c r="J88" s="172" t="s">
        <v>61</v>
      </c>
      <c r="K88" s="86" t="s">
        <v>467</v>
      </c>
      <c r="L88" s="173">
        <v>39675</v>
      </c>
      <c r="M88" s="183" t="s">
        <v>90</v>
      </c>
      <c r="N88" s="179" t="s">
        <v>302</v>
      </c>
      <c r="O88" s="180">
        <v>100</v>
      </c>
      <c r="P88" s="161">
        <v>100</v>
      </c>
      <c r="Q88" s="160"/>
      <c r="R88" s="160">
        <v>100</v>
      </c>
      <c r="S88" s="160">
        <v>100</v>
      </c>
      <c r="T88" s="160">
        <v>100</v>
      </c>
      <c r="U88" s="160"/>
      <c r="V88" s="180"/>
      <c r="W88" s="160"/>
      <c r="X88" s="161"/>
      <c r="Y88" s="160"/>
      <c r="Z88" s="160" t="s">
        <v>303</v>
      </c>
      <c r="AA88" s="160">
        <v>90</v>
      </c>
      <c r="AB88" s="194"/>
      <c r="AC88" s="200">
        <f t="shared" si="12"/>
        <v>590</v>
      </c>
      <c r="AD88" s="180">
        <f t="shared" si="13"/>
        <v>0</v>
      </c>
      <c r="AE88" s="196">
        <f t="shared" si="14"/>
        <v>472</v>
      </c>
      <c r="AF88" s="201">
        <f t="shared" si="15"/>
        <v>88.1904761904762</v>
      </c>
      <c r="AG88" s="160"/>
      <c r="AH88" s="160">
        <v>100</v>
      </c>
      <c r="AI88" s="160"/>
      <c r="AJ88" s="160">
        <f t="shared" si="16"/>
        <v>88</v>
      </c>
      <c r="AK88" s="160"/>
      <c r="AL88" s="161"/>
      <c r="AM88" s="161">
        <v>100</v>
      </c>
      <c r="AN88" s="161">
        <v>100</v>
      </c>
      <c r="AO88" s="161">
        <f t="shared" si="17"/>
        <v>300</v>
      </c>
      <c r="AP88" s="161">
        <f t="shared" si="18"/>
        <v>0</v>
      </c>
      <c r="AQ88" s="126">
        <v>88</v>
      </c>
      <c r="AR88" s="128" t="s">
        <v>467</v>
      </c>
      <c r="AT88" s="128">
        <f t="shared" si="19"/>
        <v>270</v>
      </c>
      <c r="AU88" s="204">
        <f t="shared" si="20"/>
        <v>84.375</v>
      </c>
      <c r="AV88" s="205">
        <f t="shared" si="21"/>
        <v>86.1875</v>
      </c>
      <c r="AW88" s="206">
        <f t="shared" si="22"/>
        <v>87.1889880952381</v>
      </c>
      <c r="AX88" s="206">
        <f t="shared" si="23"/>
        <v>86.227639888383</v>
      </c>
      <c r="AY88" s="207">
        <v>88.5923357031385</v>
      </c>
      <c r="AZ88" s="166" t="s">
        <v>467</v>
      </c>
      <c r="BA88" s="128" t="s">
        <v>467</v>
      </c>
    </row>
    <row r="89" customHeight="1" spans="1:53">
      <c r="A89" s="160">
        <v>28</v>
      </c>
      <c r="B89" s="160">
        <v>141</v>
      </c>
      <c r="C89" s="161" t="s">
        <v>468</v>
      </c>
      <c r="D89" s="124">
        <v>242510340</v>
      </c>
      <c r="E89" s="124" t="s">
        <v>469</v>
      </c>
      <c r="F89" s="161" t="s">
        <v>470</v>
      </c>
      <c r="G89" s="161" t="s">
        <v>471</v>
      </c>
      <c r="H89" s="166" t="s">
        <v>472</v>
      </c>
      <c r="I89" s="161" t="s">
        <v>60</v>
      </c>
      <c r="J89" s="172" t="s">
        <v>61</v>
      </c>
      <c r="K89" s="86" t="s">
        <v>472</v>
      </c>
      <c r="L89" s="173">
        <v>39763</v>
      </c>
      <c r="M89" s="181" t="s">
        <v>53</v>
      </c>
      <c r="N89" s="179" t="s">
        <v>302</v>
      </c>
      <c r="O89" s="180">
        <v>100</v>
      </c>
      <c r="P89" s="161">
        <v>100</v>
      </c>
      <c r="Q89" s="160"/>
      <c r="R89" s="160">
        <v>100</v>
      </c>
      <c r="S89" s="160">
        <v>100</v>
      </c>
      <c r="T89" s="160">
        <v>100</v>
      </c>
      <c r="U89" s="160"/>
      <c r="V89" s="180"/>
      <c r="W89" s="160"/>
      <c r="X89" s="161"/>
      <c r="Y89" s="160"/>
      <c r="Z89" s="160" t="s">
        <v>303</v>
      </c>
      <c r="AA89" s="160">
        <v>100</v>
      </c>
      <c r="AB89" s="194"/>
      <c r="AC89" s="200">
        <f t="shared" si="12"/>
        <v>600</v>
      </c>
      <c r="AD89" s="180">
        <f t="shared" si="13"/>
        <v>0</v>
      </c>
      <c r="AE89" s="196">
        <f t="shared" si="14"/>
        <v>480</v>
      </c>
      <c r="AF89" s="201">
        <f t="shared" si="15"/>
        <v>88.5714285714286</v>
      </c>
      <c r="AG89" s="160"/>
      <c r="AH89" s="160">
        <v>100</v>
      </c>
      <c r="AI89" s="160"/>
      <c r="AJ89" s="160">
        <f t="shared" si="16"/>
        <v>88</v>
      </c>
      <c r="AK89" s="160">
        <v>2</v>
      </c>
      <c r="AL89" s="161"/>
      <c r="AM89" s="161">
        <v>100</v>
      </c>
      <c r="AN89" s="161">
        <v>100</v>
      </c>
      <c r="AO89" s="161">
        <f t="shared" si="17"/>
        <v>300</v>
      </c>
      <c r="AP89" s="161">
        <f t="shared" si="18"/>
        <v>2</v>
      </c>
      <c r="AQ89" s="126">
        <v>88</v>
      </c>
      <c r="AR89" s="128" t="s">
        <v>473</v>
      </c>
      <c r="AT89" s="128">
        <f t="shared" si="19"/>
        <v>290</v>
      </c>
      <c r="AU89" s="204">
        <f t="shared" si="20"/>
        <v>90.625</v>
      </c>
      <c r="AV89" s="205">
        <f t="shared" si="21"/>
        <v>89.3125</v>
      </c>
      <c r="AW89" s="206">
        <f t="shared" si="22"/>
        <v>88.9419642857143</v>
      </c>
      <c r="AX89" s="206">
        <f t="shared" si="23"/>
        <v>87.6116904097518</v>
      </c>
      <c r="AY89" s="207">
        <v>89.4093983006763</v>
      </c>
      <c r="AZ89" s="166" t="s">
        <v>472</v>
      </c>
      <c r="BA89" s="128" t="s">
        <v>472</v>
      </c>
    </row>
    <row r="90" customHeight="1" spans="1:53">
      <c r="A90" s="160">
        <v>29</v>
      </c>
      <c r="B90" s="160">
        <v>142</v>
      </c>
      <c r="C90" s="161" t="s">
        <v>474</v>
      </c>
      <c r="D90" s="124">
        <v>242510060</v>
      </c>
      <c r="E90" s="124" t="s">
        <v>475</v>
      </c>
      <c r="F90" s="161" t="s">
        <v>476</v>
      </c>
      <c r="G90" s="161" t="s">
        <v>477</v>
      </c>
      <c r="H90" s="166" t="s">
        <v>478</v>
      </c>
      <c r="I90" s="161" t="s">
        <v>60</v>
      </c>
      <c r="J90" s="172" t="s">
        <v>61</v>
      </c>
      <c r="K90" s="86" t="s">
        <v>478</v>
      </c>
      <c r="L90" s="173">
        <v>39297</v>
      </c>
      <c r="M90" s="183" t="s">
        <v>90</v>
      </c>
      <c r="N90" s="179" t="s">
        <v>302</v>
      </c>
      <c r="O90" s="180">
        <v>100</v>
      </c>
      <c r="P90" s="161">
        <v>100</v>
      </c>
      <c r="Q90" s="160"/>
      <c r="R90" s="160">
        <v>100</v>
      </c>
      <c r="S90" s="160">
        <v>100</v>
      </c>
      <c r="T90" s="160">
        <v>100</v>
      </c>
      <c r="U90" s="160"/>
      <c r="V90" s="180"/>
      <c r="W90" s="160"/>
      <c r="X90" s="161"/>
      <c r="Y90" s="160"/>
      <c r="Z90" s="160" t="s">
        <v>303</v>
      </c>
      <c r="AA90" s="160">
        <v>100</v>
      </c>
      <c r="AB90" s="194"/>
      <c r="AC90" s="200">
        <f t="shared" si="12"/>
        <v>600</v>
      </c>
      <c r="AD90" s="180">
        <f t="shared" si="13"/>
        <v>0</v>
      </c>
      <c r="AE90" s="196">
        <f t="shared" si="14"/>
        <v>480</v>
      </c>
      <c r="AF90" s="201">
        <f t="shared" si="15"/>
        <v>88.5714285714286</v>
      </c>
      <c r="AG90" s="160"/>
      <c r="AH90" s="160">
        <v>100</v>
      </c>
      <c r="AI90" s="160"/>
      <c r="AJ90" s="160">
        <f t="shared" si="16"/>
        <v>94</v>
      </c>
      <c r="AK90" s="160"/>
      <c r="AL90" s="161"/>
      <c r="AM90" s="161">
        <v>100</v>
      </c>
      <c r="AN90" s="161">
        <v>100</v>
      </c>
      <c r="AO90" s="161">
        <f t="shared" si="17"/>
        <v>300</v>
      </c>
      <c r="AP90" s="161">
        <f t="shared" si="18"/>
        <v>0</v>
      </c>
      <c r="AQ90" s="126">
        <v>94</v>
      </c>
      <c r="AR90" s="128" t="s">
        <v>479</v>
      </c>
      <c r="AT90" s="128">
        <f t="shared" si="19"/>
        <v>270</v>
      </c>
      <c r="AU90" s="204">
        <f t="shared" si="20"/>
        <v>84.375</v>
      </c>
      <c r="AV90" s="205">
        <f t="shared" si="21"/>
        <v>89.1875</v>
      </c>
      <c r="AW90" s="206">
        <f t="shared" si="22"/>
        <v>88.8794642857143</v>
      </c>
      <c r="AX90" s="206">
        <f t="shared" si="23"/>
        <v>87.5623439565281</v>
      </c>
      <c r="AY90" s="207">
        <v>89.3802670365875</v>
      </c>
      <c r="AZ90" s="166" t="s">
        <v>478</v>
      </c>
      <c r="BA90" s="128" t="s">
        <v>480</v>
      </c>
    </row>
    <row r="91" customHeight="1" spans="1:53">
      <c r="A91" s="160">
        <v>30</v>
      </c>
      <c r="B91" s="160"/>
      <c r="C91" s="161"/>
      <c r="D91" s="124">
        <v>242510413</v>
      </c>
      <c r="E91" s="124" t="s">
        <v>481</v>
      </c>
      <c r="F91" s="161" t="s">
        <v>482</v>
      </c>
      <c r="G91" s="161" t="s">
        <v>483</v>
      </c>
      <c r="H91" s="166" t="s">
        <v>484</v>
      </c>
      <c r="I91" s="161" t="s">
        <v>60</v>
      </c>
      <c r="J91" s="172" t="s">
        <v>76</v>
      </c>
      <c r="K91" s="86" t="s">
        <v>484</v>
      </c>
      <c r="L91" s="173"/>
      <c r="M91" s="183"/>
      <c r="N91" s="179"/>
      <c r="O91" s="180">
        <v>100</v>
      </c>
      <c r="P91" s="161">
        <v>100</v>
      </c>
      <c r="Q91" s="160"/>
      <c r="R91" s="160">
        <v>100</v>
      </c>
      <c r="S91" s="160">
        <v>100</v>
      </c>
      <c r="T91" s="160">
        <v>100</v>
      </c>
      <c r="U91" s="160"/>
      <c r="V91" s="180"/>
      <c r="W91" s="160"/>
      <c r="X91" s="161"/>
      <c r="Y91" s="160"/>
      <c r="Z91" s="160" t="s">
        <v>303</v>
      </c>
      <c r="AA91" s="160">
        <v>95</v>
      </c>
      <c r="AB91" s="194"/>
      <c r="AC91" s="200">
        <f t="shared" si="12"/>
        <v>595</v>
      </c>
      <c r="AD91" s="180">
        <f t="shared" si="13"/>
        <v>0</v>
      </c>
      <c r="AE91" s="196">
        <f t="shared" si="14"/>
        <v>476</v>
      </c>
      <c r="AF91" s="201">
        <f t="shared" si="15"/>
        <v>88.3809523809524</v>
      </c>
      <c r="AG91" s="160"/>
      <c r="AH91" s="160">
        <v>100</v>
      </c>
      <c r="AI91" s="160"/>
      <c r="AJ91" s="160">
        <f t="shared" si="16"/>
        <v>94</v>
      </c>
      <c r="AK91" s="160"/>
      <c r="AL91" s="161"/>
      <c r="AM91" s="161">
        <v>100</v>
      </c>
      <c r="AN91" s="161">
        <v>100</v>
      </c>
      <c r="AO91" s="161">
        <f t="shared" si="17"/>
        <v>300</v>
      </c>
      <c r="AP91" s="161">
        <f t="shared" si="18"/>
        <v>0</v>
      </c>
      <c r="AQ91" s="126">
        <v>94</v>
      </c>
      <c r="AR91" s="128" t="s">
        <v>485</v>
      </c>
      <c r="AT91" s="128">
        <f t="shared" si="19"/>
        <v>270</v>
      </c>
      <c r="AU91" s="204">
        <f t="shared" si="20"/>
        <v>84.375</v>
      </c>
      <c r="AV91" s="205">
        <f t="shared" si="21"/>
        <v>89.1875</v>
      </c>
      <c r="AW91" s="206">
        <f t="shared" si="22"/>
        <v>88.7842261904762</v>
      </c>
      <c r="AX91" s="206">
        <f t="shared" si="23"/>
        <v>87.4871493611397</v>
      </c>
      <c r="AY91" s="207">
        <v>89.3358765389284</v>
      </c>
      <c r="AZ91" s="166" t="s">
        <v>484</v>
      </c>
      <c r="BA91" s="128" t="s">
        <v>484</v>
      </c>
    </row>
    <row r="92" customHeight="1" spans="1:53">
      <c r="A92" s="160">
        <v>31</v>
      </c>
      <c r="B92" s="160">
        <v>143</v>
      </c>
      <c r="C92" s="161" t="s">
        <v>486</v>
      </c>
      <c r="D92" s="124">
        <v>242510109</v>
      </c>
      <c r="E92" s="124" t="s">
        <v>487</v>
      </c>
      <c r="F92" s="161" t="s">
        <v>488</v>
      </c>
      <c r="G92" s="161" t="s">
        <v>489</v>
      </c>
      <c r="H92" s="166" t="s">
        <v>490</v>
      </c>
      <c r="I92" s="161" t="s">
        <v>60</v>
      </c>
      <c r="J92" s="172" t="s">
        <v>76</v>
      </c>
      <c r="K92" s="86" t="s">
        <v>490</v>
      </c>
      <c r="L92" s="173">
        <v>39743</v>
      </c>
      <c r="M92" s="183" t="s">
        <v>90</v>
      </c>
      <c r="N92" s="179" t="s">
        <v>302</v>
      </c>
      <c r="O92" s="180">
        <v>100</v>
      </c>
      <c r="P92" s="161">
        <v>100</v>
      </c>
      <c r="Q92" s="160"/>
      <c r="R92" s="160">
        <v>100</v>
      </c>
      <c r="S92" s="160">
        <v>100</v>
      </c>
      <c r="T92" s="160">
        <v>80</v>
      </c>
      <c r="U92" s="160">
        <v>1</v>
      </c>
      <c r="V92" s="180"/>
      <c r="W92" s="160"/>
      <c r="X92" s="161"/>
      <c r="Y92" s="160">
        <v>1</v>
      </c>
      <c r="Z92" s="160" t="s">
        <v>303</v>
      </c>
      <c r="AA92" s="160">
        <v>100</v>
      </c>
      <c r="AB92" s="194"/>
      <c r="AC92" s="200">
        <f t="shared" si="12"/>
        <v>580</v>
      </c>
      <c r="AD92" s="180">
        <f t="shared" si="13"/>
        <v>200</v>
      </c>
      <c r="AE92" s="196">
        <f t="shared" si="14"/>
        <v>504</v>
      </c>
      <c r="AF92" s="201">
        <f t="shared" si="15"/>
        <v>89.7142857142857</v>
      </c>
      <c r="AG92" s="160"/>
      <c r="AH92" s="160">
        <v>100</v>
      </c>
      <c r="AI92" s="160">
        <v>1</v>
      </c>
      <c r="AJ92" s="160">
        <f t="shared" si="16"/>
        <v>88</v>
      </c>
      <c r="AK92" s="160">
        <v>1</v>
      </c>
      <c r="AL92" s="161"/>
      <c r="AM92" s="161">
        <v>100</v>
      </c>
      <c r="AN92" s="161">
        <v>100</v>
      </c>
      <c r="AO92" s="161">
        <f t="shared" si="17"/>
        <v>300</v>
      </c>
      <c r="AP92" s="161">
        <f t="shared" si="18"/>
        <v>2</v>
      </c>
      <c r="AQ92" s="126">
        <v>88</v>
      </c>
      <c r="AR92" s="128" t="s">
        <v>491</v>
      </c>
      <c r="AT92" s="128">
        <f t="shared" si="19"/>
        <v>290</v>
      </c>
      <c r="AU92" s="204">
        <f t="shared" si="20"/>
        <v>90.625</v>
      </c>
      <c r="AV92" s="205">
        <f t="shared" si="21"/>
        <v>89.3125</v>
      </c>
      <c r="AW92" s="206">
        <f t="shared" si="22"/>
        <v>89.5133928571429</v>
      </c>
      <c r="AX92" s="206">
        <f t="shared" si="23"/>
        <v>88.0628579820825</v>
      </c>
      <c r="AY92" s="207">
        <v>89.6757412866308</v>
      </c>
      <c r="AZ92" s="166" t="s">
        <v>490</v>
      </c>
      <c r="BA92" s="128" t="s">
        <v>490</v>
      </c>
    </row>
    <row r="93" customHeight="1" spans="1:53">
      <c r="A93" s="160">
        <v>32</v>
      </c>
      <c r="B93" s="160">
        <v>144</v>
      </c>
      <c r="C93" s="161" t="s">
        <v>492</v>
      </c>
      <c r="D93" s="124">
        <v>242510268</v>
      </c>
      <c r="E93" s="124" t="s">
        <v>493</v>
      </c>
      <c r="F93" s="161" t="s">
        <v>494</v>
      </c>
      <c r="G93" s="161" t="s">
        <v>495</v>
      </c>
      <c r="H93" s="166" t="s">
        <v>496</v>
      </c>
      <c r="I93" s="161" t="s">
        <v>158</v>
      </c>
      <c r="J93" s="172" t="s">
        <v>61</v>
      </c>
      <c r="K93" s="86" t="s">
        <v>496</v>
      </c>
      <c r="L93" s="173">
        <v>39713</v>
      </c>
      <c r="M93" s="178" t="s">
        <v>62</v>
      </c>
      <c r="N93" s="179" t="s">
        <v>302</v>
      </c>
      <c r="O93" s="180">
        <v>100</v>
      </c>
      <c r="P93" s="161">
        <v>100</v>
      </c>
      <c r="Q93" s="160"/>
      <c r="R93" s="160">
        <v>100</v>
      </c>
      <c r="S93" s="160">
        <v>100</v>
      </c>
      <c r="T93" s="160">
        <v>90</v>
      </c>
      <c r="U93" s="160"/>
      <c r="V93" s="180"/>
      <c r="W93" s="160"/>
      <c r="X93" s="161"/>
      <c r="Y93" s="160"/>
      <c r="Z93" s="160" t="s">
        <v>303</v>
      </c>
      <c r="AA93" s="160">
        <v>95</v>
      </c>
      <c r="AB93" s="194"/>
      <c r="AC93" s="200">
        <f t="shared" si="12"/>
        <v>585</v>
      </c>
      <c r="AD93" s="180">
        <f t="shared" si="13"/>
        <v>0</v>
      </c>
      <c r="AE93" s="196">
        <f t="shared" si="14"/>
        <v>468</v>
      </c>
      <c r="AF93" s="201">
        <f t="shared" si="15"/>
        <v>88</v>
      </c>
      <c r="AG93" s="160"/>
      <c r="AH93" s="160">
        <v>100</v>
      </c>
      <c r="AI93" s="160"/>
      <c r="AJ93" s="160">
        <f t="shared" si="16"/>
        <v>91</v>
      </c>
      <c r="AK93" s="160">
        <v>2</v>
      </c>
      <c r="AL93" s="161"/>
      <c r="AM93" s="161">
        <v>100</v>
      </c>
      <c r="AN93" s="161">
        <v>100</v>
      </c>
      <c r="AO93" s="161">
        <f t="shared" si="17"/>
        <v>300</v>
      </c>
      <c r="AP93" s="161">
        <f t="shared" si="18"/>
        <v>2</v>
      </c>
      <c r="AQ93" s="126">
        <v>91</v>
      </c>
      <c r="AR93" s="128" t="s">
        <v>497</v>
      </c>
      <c r="AT93" s="128">
        <f t="shared" si="19"/>
        <v>290</v>
      </c>
      <c r="AU93" s="204">
        <f t="shared" si="20"/>
        <v>90.625</v>
      </c>
      <c r="AV93" s="205">
        <f t="shared" si="21"/>
        <v>90.8125</v>
      </c>
      <c r="AW93" s="206">
        <f t="shared" si="22"/>
        <v>89.40625</v>
      </c>
      <c r="AX93" s="206">
        <f t="shared" si="23"/>
        <v>87.9782640622705</v>
      </c>
      <c r="AY93" s="207">
        <v>89.6258019767644</v>
      </c>
      <c r="AZ93" s="166" t="s">
        <v>496</v>
      </c>
      <c r="BA93" s="128" t="s">
        <v>496</v>
      </c>
    </row>
    <row r="94" customHeight="1" spans="1:53">
      <c r="A94" s="160">
        <v>33</v>
      </c>
      <c r="B94" s="160">
        <v>145</v>
      </c>
      <c r="C94" s="161" t="s">
        <v>498</v>
      </c>
      <c r="D94" s="124">
        <v>242510075</v>
      </c>
      <c r="E94" s="124" t="s">
        <v>499</v>
      </c>
      <c r="F94" s="161" t="s">
        <v>500</v>
      </c>
      <c r="G94" s="161" t="s">
        <v>501</v>
      </c>
      <c r="H94" s="166" t="s">
        <v>502</v>
      </c>
      <c r="I94" s="161" t="s">
        <v>60</v>
      </c>
      <c r="J94" s="172" t="s">
        <v>61</v>
      </c>
      <c r="K94" s="86" t="s">
        <v>502</v>
      </c>
      <c r="L94" s="173">
        <v>39769</v>
      </c>
      <c r="M94" s="186" t="s">
        <v>171</v>
      </c>
      <c r="N94" s="179" t="s">
        <v>302</v>
      </c>
      <c r="O94" s="180">
        <v>100</v>
      </c>
      <c r="P94" s="161">
        <v>100</v>
      </c>
      <c r="Q94" s="160"/>
      <c r="R94" s="160">
        <v>100</v>
      </c>
      <c r="S94" s="160"/>
      <c r="T94" s="160">
        <v>80</v>
      </c>
      <c r="U94" s="160"/>
      <c r="V94" s="180"/>
      <c r="W94" s="160"/>
      <c r="X94" s="161"/>
      <c r="Y94" s="160"/>
      <c r="Z94" s="160" t="s">
        <v>303</v>
      </c>
      <c r="AA94" s="160">
        <v>100</v>
      </c>
      <c r="AB94" s="194"/>
      <c r="AC94" s="200">
        <f t="shared" si="12"/>
        <v>480</v>
      </c>
      <c r="AD94" s="180">
        <f t="shared" si="13"/>
        <v>0</v>
      </c>
      <c r="AE94" s="196">
        <f t="shared" si="14"/>
        <v>384</v>
      </c>
      <c r="AF94" s="201">
        <f t="shared" si="15"/>
        <v>84</v>
      </c>
      <c r="AG94" s="160"/>
      <c r="AH94" s="160">
        <v>100</v>
      </c>
      <c r="AI94" s="160"/>
      <c r="AJ94" s="160">
        <f t="shared" si="16"/>
        <v>83</v>
      </c>
      <c r="AK94" s="160">
        <v>1</v>
      </c>
      <c r="AL94" s="161"/>
      <c r="AM94" s="161">
        <v>100</v>
      </c>
      <c r="AN94" s="161">
        <v>100</v>
      </c>
      <c r="AO94" s="161">
        <f t="shared" si="17"/>
        <v>300</v>
      </c>
      <c r="AP94" s="161">
        <f t="shared" si="18"/>
        <v>1</v>
      </c>
      <c r="AQ94" s="126">
        <v>83</v>
      </c>
      <c r="AR94" s="128" t="s">
        <v>503</v>
      </c>
      <c r="AT94" s="128">
        <f t="shared" si="19"/>
        <v>280</v>
      </c>
      <c r="AU94" s="204">
        <f t="shared" si="20"/>
        <v>87.5</v>
      </c>
      <c r="AV94" s="205">
        <f t="shared" si="21"/>
        <v>85.25</v>
      </c>
      <c r="AW94" s="206">
        <f t="shared" si="22"/>
        <v>84.625</v>
      </c>
      <c r="AX94" s="206">
        <f t="shared" si="23"/>
        <v>84.2032603906594</v>
      </c>
      <c r="AY94" s="207">
        <v>87.3972602739726</v>
      </c>
      <c r="AZ94" s="166" t="s">
        <v>502</v>
      </c>
      <c r="BA94" s="128" t="s">
        <v>502</v>
      </c>
    </row>
    <row r="95" customHeight="1" spans="1:53">
      <c r="A95" s="160">
        <v>34</v>
      </c>
      <c r="B95" s="160">
        <v>72</v>
      </c>
      <c r="C95" s="161" t="s">
        <v>504</v>
      </c>
      <c r="D95" s="124">
        <v>242510153</v>
      </c>
      <c r="E95" s="124" t="s">
        <v>505</v>
      </c>
      <c r="F95" s="161" t="s">
        <v>506</v>
      </c>
      <c r="G95" s="161" t="s">
        <v>507</v>
      </c>
      <c r="H95" s="166" t="s">
        <v>508</v>
      </c>
      <c r="I95" s="161" t="s">
        <v>509</v>
      </c>
      <c r="J95" s="172" t="s">
        <v>61</v>
      </c>
      <c r="K95" s="86" t="s">
        <v>508</v>
      </c>
      <c r="L95" s="173">
        <v>39724</v>
      </c>
      <c r="M95" s="183" t="s">
        <v>90</v>
      </c>
      <c r="N95" s="179" t="s">
        <v>510</v>
      </c>
      <c r="O95" s="180">
        <v>100</v>
      </c>
      <c r="P95" s="161">
        <v>100</v>
      </c>
      <c r="Q95" s="160"/>
      <c r="R95" s="160">
        <v>100</v>
      </c>
      <c r="S95" s="160">
        <v>100</v>
      </c>
      <c r="T95" s="160">
        <v>100</v>
      </c>
      <c r="U95" s="160"/>
      <c r="V95" s="180"/>
      <c r="W95" s="160"/>
      <c r="X95" s="161"/>
      <c r="Y95" s="160"/>
      <c r="Z95" s="160" t="s">
        <v>303</v>
      </c>
      <c r="AA95" s="160">
        <v>100</v>
      </c>
      <c r="AB95" s="194"/>
      <c r="AC95" s="200">
        <f t="shared" si="12"/>
        <v>600</v>
      </c>
      <c r="AD95" s="180">
        <f t="shared" si="13"/>
        <v>0</v>
      </c>
      <c r="AE95" s="196">
        <f t="shared" si="14"/>
        <v>480</v>
      </c>
      <c r="AF95" s="201">
        <f t="shared" si="15"/>
        <v>88.5714285714286</v>
      </c>
      <c r="AG95" s="160"/>
      <c r="AH95" s="160">
        <v>100</v>
      </c>
      <c r="AI95" s="160"/>
      <c r="AJ95" s="160">
        <f t="shared" si="16"/>
        <v>82</v>
      </c>
      <c r="AK95" s="160">
        <v>1</v>
      </c>
      <c r="AL95" s="161"/>
      <c r="AM95" s="161">
        <v>100</v>
      </c>
      <c r="AN95" s="161">
        <v>100</v>
      </c>
      <c r="AO95" s="161">
        <f t="shared" si="17"/>
        <v>300</v>
      </c>
      <c r="AP95" s="161">
        <f t="shared" si="18"/>
        <v>1</v>
      </c>
      <c r="AQ95" s="126">
        <v>82</v>
      </c>
      <c r="AR95" s="128" t="s">
        <v>508</v>
      </c>
      <c r="AT95" s="128">
        <f t="shared" si="19"/>
        <v>280</v>
      </c>
      <c r="AU95" s="204">
        <f t="shared" si="20"/>
        <v>87.5</v>
      </c>
      <c r="AV95" s="205">
        <f t="shared" si="21"/>
        <v>84.75</v>
      </c>
      <c r="AW95" s="206">
        <f t="shared" si="22"/>
        <v>86.6607142857143</v>
      </c>
      <c r="AX95" s="206">
        <f t="shared" si="23"/>
        <v>85.8105448670877</v>
      </c>
      <c r="AY95" s="207">
        <v>88.3461071614358</v>
      </c>
      <c r="AZ95" s="166" t="s">
        <v>508</v>
      </c>
      <c r="BA95" s="128" t="s">
        <v>508</v>
      </c>
    </row>
    <row r="96" customHeight="1" spans="1:53">
      <c r="A96" s="160">
        <v>35</v>
      </c>
      <c r="B96" s="160">
        <v>146</v>
      </c>
      <c r="C96" s="161" t="s">
        <v>511</v>
      </c>
      <c r="D96" s="124">
        <v>242510196</v>
      </c>
      <c r="E96" s="124" t="s">
        <v>512</v>
      </c>
      <c r="F96" s="161" t="s">
        <v>513</v>
      </c>
      <c r="G96" s="161" t="s">
        <v>514</v>
      </c>
      <c r="H96" s="166" t="s">
        <v>515</v>
      </c>
      <c r="I96" s="161" t="s">
        <v>516</v>
      </c>
      <c r="J96" s="172" t="s">
        <v>61</v>
      </c>
      <c r="K96" s="86" t="s">
        <v>515</v>
      </c>
      <c r="L96" s="173">
        <v>39678</v>
      </c>
      <c r="M96" s="181" t="s">
        <v>53</v>
      </c>
      <c r="N96" s="179" t="s">
        <v>302</v>
      </c>
      <c r="O96" s="180">
        <v>100</v>
      </c>
      <c r="P96" s="161">
        <v>100</v>
      </c>
      <c r="Q96" s="160"/>
      <c r="R96" s="160">
        <v>100</v>
      </c>
      <c r="S96" s="160">
        <v>100</v>
      </c>
      <c r="T96" s="160">
        <v>80</v>
      </c>
      <c r="U96" s="160"/>
      <c r="V96" s="180"/>
      <c r="W96" s="160"/>
      <c r="X96" s="161"/>
      <c r="Y96" s="160"/>
      <c r="Z96" s="160" t="s">
        <v>303</v>
      </c>
      <c r="AA96" s="160">
        <v>95</v>
      </c>
      <c r="AB96" s="194"/>
      <c r="AC96" s="200">
        <f t="shared" si="12"/>
        <v>575</v>
      </c>
      <c r="AD96" s="180">
        <f t="shared" si="13"/>
        <v>0</v>
      </c>
      <c r="AE96" s="196">
        <f t="shared" si="14"/>
        <v>460</v>
      </c>
      <c r="AF96" s="201">
        <f t="shared" si="15"/>
        <v>87.6190476190476</v>
      </c>
      <c r="AG96" s="160"/>
      <c r="AH96" s="160">
        <v>100</v>
      </c>
      <c r="AI96" s="160"/>
      <c r="AJ96" s="160">
        <f t="shared" si="16"/>
        <v>94</v>
      </c>
      <c r="AK96" s="160">
        <v>1</v>
      </c>
      <c r="AL96" s="161"/>
      <c r="AM96" s="161">
        <v>100</v>
      </c>
      <c r="AN96" s="161">
        <v>100</v>
      </c>
      <c r="AO96" s="161">
        <f t="shared" si="17"/>
        <v>300</v>
      </c>
      <c r="AP96" s="161">
        <f t="shared" si="18"/>
        <v>1</v>
      </c>
      <c r="AQ96" s="126">
        <v>94</v>
      </c>
      <c r="AR96" s="128" t="s">
        <v>517</v>
      </c>
      <c r="AT96" s="128">
        <f t="shared" si="19"/>
        <v>280</v>
      </c>
      <c r="AU96" s="204">
        <f t="shared" si="20"/>
        <v>87.5</v>
      </c>
      <c r="AV96" s="205">
        <f t="shared" si="21"/>
        <v>90.75</v>
      </c>
      <c r="AW96" s="206">
        <f t="shared" si="22"/>
        <v>89.1845238095238</v>
      </c>
      <c r="AX96" s="206">
        <f t="shared" si="23"/>
        <v>87.8032016448818</v>
      </c>
      <c r="AY96" s="207">
        <v>89.5224553494018</v>
      </c>
      <c r="AZ96" s="166" t="s">
        <v>515</v>
      </c>
      <c r="BA96" s="128" t="s">
        <v>515</v>
      </c>
    </row>
    <row r="97" customHeight="1" spans="1:53">
      <c r="A97" s="160">
        <v>36</v>
      </c>
      <c r="B97" s="160">
        <v>147</v>
      </c>
      <c r="C97" s="161" t="s">
        <v>518</v>
      </c>
      <c r="D97" s="124">
        <v>242510237</v>
      </c>
      <c r="E97" s="124" t="s">
        <v>519</v>
      </c>
      <c r="F97" s="161" t="s">
        <v>520</v>
      </c>
      <c r="G97" s="161" t="s">
        <v>521</v>
      </c>
      <c r="H97" s="166" t="s">
        <v>522</v>
      </c>
      <c r="I97" s="161" t="s">
        <v>523</v>
      </c>
      <c r="J97" s="172" t="s">
        <v>61</v>
      </c>
      <c r="K97" s="86" t="s">
        <v>522</v>
      </c>
      <c r="L97" s="173">
        <v>39507</v>
      </c>
      <c r="M97" s="182" t="s">
        <v>77</v>
      </c>
      <c r="N97" s="179" t="s">
        <v>302</v>
      </c>
      <c r="O97" s="180">
        <v>100</v>
      </c>
      <c r="P97" s="161">
        <v>100</v>
      </c>
      <c r="Q97" s="213">
        <v>1</v>
      </c>
      <c r="R97" s="160">
        <v>100</v>
      </c>
      <c r="S97" s="160">
        <v>100</v>
      </c>
      <c r="T97" s="160">
        <v>100</v>
      </c>
      <c r="U97" s="160"/>
      <c r="V97" s="180"/>
      <c r="W97" s="160"/>
      <c r="X97" s="161"/>
      <c r="Y97" s="160"/>
      <c r="Z97" s="160" t="s">
        <v>303</v>
      </c>
      <c r="AA97" s="160">
        <v>100</v>
      </c>
      <c r="AB97" s="194"/>
      <c r="AC97" s="200">
        <f t="shared" si="12"/>
        <v>600</v>
      </c>
      <c r="AD97" s="180">
        <f t="shared" si="13"/>
        <v>100</v>
      </c>
      <c r="AE97" s="196">
        <f t="shared" si="14"/>
        <v>500</v>
      </c>
      <c r="AF97" s="201">
        <f t="shared" si="15"/>
        <v>89.5238095238095</v>
      </c>
      <c r="AG97" s="160"/>
      <c r="AH97" s="160">
        <v>100</v>
      </c>
      <c r="AI97" s="160">
        <v>2</v>
      </c>
      <c r="AJ97" s="160">
        <f t="shared" si="16"/>
        <v>94</v>
      </c>
      <c r="AK97" s="160"/>
      <c r="AL97" s="161"/>
      <c r="AM97" s="161">
        <v>100</v>
      </c>
      <c r="AN97" s="161">
        <v>100</v>
      </c>
      <c r="AO97" s="161">
        <f t="shared" si="17"/>
        <v>300</v>
      </c>
      <c r="AP97" s="161">
        <f t="shared" si="18"/>
        <v>2</v>
      </c>
      <c r="AQ97" s="126">
        <v>94</v>
      </c>
      <c r="AR97" s="128" t="s">
        <v>524</v>
      </c>
      <c r="AT97" s="128">
        <f t="shared" si="19"/>
        <v>290</v>
      </c>
      <c r="AU97" s="204">
        <f t="shared" si="20"/>
        <v>90.625</v>
      </c>
      <c r="AV97" s="205">
        <f t="shared" si="21"/>
        <v>92.3125</v>
      </c>
      <c r="AW97" s="206">
        <f t="shared" si="22"/>
        <v>90.9181547619048</v>
      </c>
      <c r="AX97" s="206">
        <f t="shared" si="23"/>
        <v>89.1719782640623</v>
      </c>
      <c r="AY97" s="207">
        <v>90.3305011271025</v>
      </c>
      <c r="AZ97" s="166" t="s">
        <v>522</v>
      </c>
      <c r="BA97" s="128" t="s">
        <v>522</v>
      </c>
    </row>
    <row r="98" customHeight="1" spans="4:31">
      <c r="D98" s="208"/>
      <c r="H98" s="165" t="s">
        <v>283</v>
      </c>
      <c r="I98" s="174"/>
      <c r="J98" s="129">
        <f>COUNTIF(J62:J97,"L")</f>
        <v>10</v>
      </c>
      <c r="L98" s="175"/>
      <c r="M98" s="211"/>
      <c r="AD98" s="151" t="s">
        <v>284</v>
      </c>
      <c r="AE98" s="129">
        <f>MAX(AE62:AE97)</f>
        <v>552</v>
      </c>
    </row>
    <row r="99" customHeight="1" spans="1:51">
      <c r="A99" s="163"/>
      <c r="B99" s="128"/>
      <c r="E99" s="128"/>
      <c r="H99" s="165" t="s">
        <v>285</v>
      </c>
      <c r="I99" s="129"/>
      <c r="J99" s="129">
        <f>COUNTIF(J62:J98,"P")</f>
        <v>26</v>
      </c>
      <c r="K99" s="175"/>
      <c r="M99" s="126"/>
      <c r="N99" s="128"/>
      <c r="AD99" s="151" t="s">
        <v>286</v>
      </c>
      <c r="AE99" s="129">
        <f>MIN(AE62:AE97)</f>
        <v>384</v>
      </c>
      <c r="AT99" s="128">
        <f>MAX(AT62:AT97)</f>
        <v>320</v>
      </c>
      <c r="AV99" s="128">
        <f>MAX(AV62:AV97)</f>
        <v>97</v>
      </c>
      <c r="AW99" s="128">
        <f>MAX(AW62:AW97)</f>
        <v>94.5</v>
      </c>
      <c r="AX99" s="129">
        <f>MAX(AX62:AX97)</f>
        <v>92</v>
      </c>
      <c r="AY99" s="129">
        <f>MAX(AY62:AY97)</f>
        <v>92</v>
      </c>
    </row>
    <row r="100" customHeight="1" spans="1:51">
      <c r="A100" s="163"/>
      <c r="B100" s="128"/>
      <c r="E100" s="128"/>
      <c r="H100" s="174"/>
      <c r="I100" s="129"/>
      <c r="J100" s="128"/>
      <c r="K100" s="175"/>
      <c r="M100" s="126"/>
      <c r="N100" s="128"/>
      <c r="AV100" s="128">
        <f>MIN(AV62:AV97)</f>
        <v>81.6875</v>
      </c>
      <c r="AW100" s="128">
        <f>MIN(AW62:AW97)</f>
        <v>84.3675595238095</v>
      </c>
      <c r="AX100" s="129">
        <f>MIN(AX62:AX97)</f>
        <v>84</v>
      </c>
      <c r="AY100" s="129">
        <f>MIN(AY62:AY97)</f>
        <v>86</v>
      </c>
    </row>
    <row r="101" customHeight="1" spans="1:14">
      <c r="A101" s="163" t="s">
        <v>525</v>
      </c>
      <c r="B101" s="128"/>
      <c r="E101" s="128"/>
      <c r="H101" s="174"/>
      <c r="I101" s="129"/>
      <c r="J101" s="128"/>
      <c r="K101" s="175"/>
      <c r="M101" s="126"/>
      <c r="N101" s="128" t="s">
        <v>526</v>
      </c>
    </row>
    <row r="102" customHeight="1" spans="1:14">
      <c r="A102" s="163"/>
      <c r="B102" s="128"/>
      <c r="E102" s="128"/>
      <c r="H102" s="174"/>
      <c r="I102" s="129"/>
      <c r="J102" s="128"/>
      <c r="K102" s="175"/>
      <c r="M102" s="126"/>
      <c r="N102" s="128"/>
    </row>
    <row r="103" customHeight="1" spans="1:14">
      <c r="A103" s="163"/>
      <c r="B103" s="128"/>
      <c r="E103" s="128"/>
      <c r="H103" s="174"/>
      <c r="I103" s="129"/>
      <c r="J103" s="128"/>
      <c r="K103" s="175"/>
      <c r="M103" s="126"/>
      <c r="N103" s="128"/>
    </row>
    <row r="104" customHeight="1" spans="1:14">
      <c r="A104" s="163"/>
      <c r="B104" s="128"/>
      <c r="E104" s="128"/>
      <c r="H104" s="174"/>
      <c r="I104" s="129"/>
      <c r="J104" s="128"/>
      <c r="K104" s="175"/>
      <c r="M104" s="126"/>
      <c r="N104" s="128"/>
    </row>
    <row r="105" customHeight="1" spans="1:14">
      <c r="A105" s="163"/>
      <c r="B105" s="128"/>
      <c r="E105" s="128"/>
      <c r="H105" s="174"/>
      <c r="I105" s="129"/>
      <c r="J105" s="128"/>
      <c r="K105" s="175"/>
      <c r="M105" s="126"/>
      <c r="N105" s="128"/>
    </row>
    <row r="106" customHeight="1" spans="1:15">
      <c r="A106" s="209" t="s">
        <v>527</v>
      </c>
      <c r="B106" s="128"/>
      <c r="E106" s="128"/>
      <c r="H106" s="174"/>
      <c r="I106" s="129"/>
      <c r="J106" s="128"/>
      <c r="K106" s="175"/>
      <c r="M106" s="126"/>
      <c r="N106" s="128" t="s">
        <v>528</v>
      </c>
      <c r="O106" s="151" t="s">
        <v>529</v>
      </c>
    </row>
    <row r="107" customHeight="1" spans="1:14">
      <c r="A107" s="132" t="s">
        <v>530</v>
      </c>
      <c r="B107" s="128"/>
      <c r="E107" s="128"/>
      <c r="I107" s="129"/>
      <c r="J107" s="128"/>
      <c r="K107" s="175"/>
      <c r="M107" s="126"/>
      <c r="N107" s="128"/>
    </row>
    <row r="108" s="149" customFormat="1" customHeight="1" spans="1:43">
      <c r="A108" s="132"/>
      <c r="B108" s="128"/>
      <c r="C108" s="128"/>
      <c r="D108" s="150"/>
      <c r="E108" s="128"/>
      <c r="F108" s="128"/>
      <c r="G108" s="128"/>
      <c r="H108" s="128"/>
      <c r="I108" s="129"/>
      <c r="J108" s="128"/>
      <c r="K108" s="175"/>
      <c r="L108" s="128"/>
      <c r="M108" s="126"/>
      <c r="N108" s="128"/>
      <c r="O108" s="151"/>
      <c r="P108" s="128"/>
      <c r="Q108" s="129"/>
      <c r="R108" s="129"/>
      <c r="S108" s="129"/>
      <c r="T108" s="191"/>
      <c r="U108" s="191"/>
      <c r="V108" s="193"/>
      <c r="W108" s="191"/>
      <c r="Y108" s="191"/>
      <c r="Z108" s="191"/>
      <c r="AA108" s="191"/>
      <c r="AB108" s="191"/>
      <c r="AC108" s="199"/>
      <c r="AD108" s="191"/>
      <c r="AF108" s="191"/>
      <c r="AG108" s="191"/>
      <c r="AH108" s="191"/>
      <c r="AI108" s="191"/>
      <c r="AJ108" s="191"/>
      <c r="AK108" s="191"/>
      <c r="AQ108" s="203"/>
    </row>
    <row r="109" customHeight="1" spans="1:19">
      <c r="A109" s="152" t="s">
        <v>0</v>
      </c>
      <c r="B109" s="152"/>
      <c r="C109" s="152"/>
      <c r="D109" s="152"/>
      <c r="E109" s="152"/>
      <c r="F109" s="152"/>
      <c r="G109" s="152"/>
      <c r="H109" s="152"/>
      <c r="I109" s="152"/>
      <c r="J109" s="152"/>
      <c r="K109" s="152"/>
      <c r="L109" s="152"/>
      <c r="M109" s="152"/>
      <c r="N109" s="152"/>
      <c r="O109" s="152"/>
      <c r="P109" s="152"/>
      <c r="Q109" s="152"/>
      <c r="R109" s="152"/>
      <c r="S109" s="187"/>
    </row>
    <row r="110" customHeight="1" spans="1:19">
      <c r="A110" s="152" t="s">
        <v>1</v>
      </c>
      <c r="B110" s="152"/>
      <c r="C110" s="152"/>
      <c r="D110" s="152"/>
      <c r="E110" s="152"/>
      <c r="F110" s="152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52"/>
      <c r="S110" s="187"/>
    </row>
    <row r="111" customHeight="1" spans="1:19">
      <c r="A111" s="152" t="s">
        <v>2</v>
      </c>
      <c r="B111" s="152"/>
      <c r="C111" s="152"/>
      <c r="D111" s="152"/>
      <c r="E111" s="152"/>
      <c r="F111" s="152"/>
      <c r="G111" s="152"/>
      <c r="H111" s="152"/>
      <c r="I111" s="152"/>
      <c r="J111" s="152"/>
      <c r="K111" s="152"/>
      <c r="L111" s="152"/>
      <c r="M111" s="152"/>
      <c r="N111" s="152"/>
      <c r="O111" s="152"/>
      <c r="P111" s="152"/>
      <c r="Q111" s="152"/>
      <c r="R111" s="152"/>
      <c r="S111" s="187"/>
    </row>
    <row r="112" ht="19.5" customHeight="1" spans="1:19">
      <c r="A112" s="153" t="s">
        <v>3</v>
      </c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88"/>
    </row>
    <row r="113" customHeight="1" spans="1:19">
      <c r="A113" s="154" t="s">
        <v>4</v>
      </c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89"/>
    </row>
    <row r="114" customHeight="1" spans="1:19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89"/>
    </row>
    <row r="115" customHeight="1" spans="1:19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89"/>
    </row>
    <row r="116" customHeight="1" spans="1:19">
      <c r="A116" s="155" t="s">
        <v>531</v>
      </c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90"/>
    </row>
    <row r="117" customHeight="1" spans="1:19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90"/>
    </row>
    <row r="118" s="149" customFormat="1" customHeight="1" spans="1:43">
      <c r="A118" s="128"/>
      <c r="B118" s="157"/>
      <c r="C118" s="128"/>
      <c r="D118" s="164"/>
      <c r="E118" s="126"/>
      <c r="F118" s="157"/>
      <c r="G118" s="157"/>
      <c r="H118" s="167"/>
      <c r="I118" s="157"/>
      <c r="J118" s="128"/>
      <c r="K118" s="128"/>
      <c r="L118" s="128"/>
      <c r="M118" s="128"/>
      <c r="N118" s="126"/>
      <c r="O118" s="151"/>
      <c r="P118" s="128"/>
      <c r="Q118" s="129"/>
      <c r="R118" s="129"/>
      <c r="S118" s="129"/>
      <c r="T118" s="191"/>
      <c r="U118" s="191"/>
      <c r="V118" s="193"/>
      <c r="W118" s="191"/>
      <c r="Y118" s="191"/>
      <c r="Z118" s="191"/>
      <c r="AA118" s="191"/>
      <c r="AB118" s="191"/>
      <c r="AC118" s="199"/>
      <c r="AD118" s="191"/>
      <c r="AF118" s="191"/>
      <c r="AG118" s="191"/>
      <c r="AH118" s="191"/>
      <c r="AI118" s="191"/>
      <c r="AJ118" s="191"/>
      <c r="AK118" s="191"/>
      <c r="AQ118" s="203"/>
    </row>
    <row r="119" customHeight="1" spans="1:32">
      <c r="A119" s="156" t="s">
        <v>532</v>
      </c>
      <c r="B119" s="157"/>
      <c r="F119" s="157"/>
      <c r="G119" s="157"/>
      <c r="I119" s="157" t="s">
        <v>290</v>
      </c>
      <c r="J119" s="167" t="s">
        <v>8</v>
      </c>
      <c r="K119" s="210"/>
      <c r="L119" s="210"/>
      <c r="O119" s="212" t="s">
        <v>533</v>
      </c>
      <c r="AF119" s="129" t="s">
        <v>534</v>
      </c>
    </row>
    <row r="120" s="126" customFormat="1" ht="24" customHeight="1" spans="1:51">
      <c r="A120" s="158" t="s">
        <v>10</v>
      </c>
      <c r="B120" s="158" t="s">
        <v>11</v>
      </c>
      <c r="C120" s="159" t="s">
        <v>12</v>
      </c>
      <c r="D120" s="159" t="s">
        <v>13</v>
      </c>
      <c r="E120" s="159" t="s">
        <v>14</v>
      </c>
      <c r="F120" s="159" t="s">
        <v>15</v>
      </c>
      <c r="G120" s="159" t="s">
        <v>16</v>
      </c>
      <c r="H120" s="159" t="s">
        <v>17</v>
      </c>
      <c r="I120" s="159" t="s">
        <v>18</v>
      </c>
      <c r="J120" s="159" t="s">
        <v>19</v>
      </c>
      <c r="K120" s="159" t="s">
        <v>20</v>
      </c>
      <c r="L120" s="159" t="s">
        <v>21</v>
      </c>
      <c r="M120" s="158" t="s">
        <v>22</v>
      </c>
      <c r="N120" s="158" t="s">
        <v>23</v>
      </c>
      <c r="O120" s="107" t="s">
        <v>535</v>
      </c>
      <c r="P120" s="107" t="s">
        <v>25</v>
      </c>
      <c r="Q120" s="107" t="s">
        <v>536</v>
      </c>
      <c r="R120" s="107" t="s">
        <v>27</v>
      </c>
      <c r="S120" s="107" t="s">
        <v>28</v>
      </c>
      <c r="T120" s="179" t="s">
        <v>537</v>
      </c>
      <c r="U120" s="179" t="s">
        <v>538</v>
      </c>
      <c r="V120" s="107" t="s">
        <v>539</v>
      </c>
      <c r="W120" s="179"/>
      <c r="X120" s="179"/>
      <c r="Y120" s="179"/>
      <c r="Z120" s="179"/>
      <c r="AA120" s="179" t="s">
        <v>540</v>
      </c>
      <c r="AB120" s="179" t="s">
        <v>541</v>
      </c>
      <c r="AC120" s="104" t="s">
        <v>38</v>
      </c>
      <c r="AD120" s="105" t="s">
        <v>39</v>
      </c>
      <c r="AE120" s="107" t="s">
        <v>40</v>
      </c>
      <c r="AF120" s="108" t="s">
        <v>41</v>
      </c>
      <c r="AG120" s="179" t="s">
        <v>537</v>
      </c>
      <c r="AH120" s="107" t="s">
        <v>542</v>
      </c>
      <c r="AI120" s="214" t="s">
        <v>44</v>
      </c>
      <c r="AJ120" s="179" t="s">
        <v>45</v>
      </c>
      <c r="AK120" s="126" t="s">
        <v>46</v>
      </c>
      <c r="AL120" s="179"/>
      <c r="AM120" s="179" t="s">
        <v>48</v>
      </c>
      <c r="AN120" s="179" t="s">
        <v>49</v>
      </c>
      <c r="AO120" s="179" t="s">
        <v>50</v>
      </c>
      <c r="AP120" s="179" t="s">
        <v>543</v>
      </c>
      <c r="AY120" s="126" t="s">
        <v>54</v>
      </c>
    </row>
    <row r="121" customHeight="1" spans="1:53">
      <c r="A121" s="160">
        <v>1</v>
      </c>
      <c r="B121" s="160">
        <v>154</v>
      </c>
      <c r="C121" s="161" t="s">
        <v>544</v>
      </c>
      <c r="D121" s="124">
        <v>242510239</v>
      </c>
      <c r="E121" s="124" t="s">
        <v>545</v>
      </c>
      <c r="F121" s="161" t="s">
        <v>546</v>
      </c>
      <c r="G121" s="161" t="s">
        <v>547</v>
      </c>
      <c r="H121" s="166" t="s">
        <v>548</v>
      </c>
      <c r="I121" s="161" t="s">
        <v>549</v>
      </c>
      <c r="J121" s="172" t="s">
        <v>76</v>
      </c>
      <c r="K121" s="86" t="s">
        <v>548</v>
      </c>
      <c r="L121" s="173">
        <v>39860</v>
      </c>
      <c r="M121" s="181" t="s">
        <v>53</v>
      </c>
      <c r="N121" s="179" t="s">
        <v>550</v>
      </c>
      <c r="O121" s="180">
        <v>100</v>
      </c>
      <c r="P121" s="161">
        <v>100</v>
      </c>
      <c r="Q121" s="160"/>
      <c r="R121" s="160">
        <v>100</v>
      </c>
      <c r="S121" s="160">
        <v>100</v>
      </c>
      <c r="T121" s="160"/>
      <c r="U121" s="160">
        <v>25</v>
      </c>
      <c r="V121" s="180"/>
      <c r="W121" s="160"/>
      <c r="X121" s="161"/>
      <c r="Y121" s="160"/>
      <c r="Z121" s="160"/>
      <c r="AA121" s="160"/>
      <c r="AB121" s="160">
        <v>90</v>
      </c>
      <c r="AC121" s="78">
        <f t="shared" ref="AC121:AC159" si="24">O121+P121+R121+S121+AB121</f>
        <v>490</v>
      </c>
      <c r="AD121" s="160">
        <f t="shared" ref="AD121:AD159" si="25">(Q121+T121+Y121+AA121)*100</f>
        <v>0</v>
      </c>
      <c r="AE121" s="196">
        <f t="shared" ref="AE121:AE159" si="26">(0.8*AC121)+(0.2*AD121)</f>
        <v>392</v>
      </c>
      <c r="AF121" s="201">
        <f t="shared" ref="AF121:AF161" si="27">84+((AE121-$AE$161)/($AE$160-$AE$161)*(92-84))</f>
        <v>86.88</v>
      </c>
      <c r="AG121" s="160"/>
      <c r="AH121" s="160">
        <v>100</v>
      </c>
      <c r="AI121" s="160"/>
      <c r="AJ121" s="160">
        <f t="shared" ref="AJ121:AJ159" si="28">AQ121</f>
        <v>94</v>
      </c>
      <c r="AK121" s="160"/>
      <c r="AL121" s="161"/>
      <c r="AM121" s="161"/>
      <c r="AN121" s="161"/>
      <c r="AO121" s="161">
        <f t="shared" ref="AO121:AO159" si="29">AG121+AH121+AM121+AN121</f>
        <v>100</v>
      </c>
      <c r="AP121" s="160">
        <f t="shared" ref="AP121:AP159" si="30">AI121+AK121+AL121</f>
        <v>0</v>
      </c>
      <c r="AQ121" s="126">
        <v>94</v>
      </c>
      <c r="AR121" s="128" t="s">
        <v>551</v>
      </c>
      <c r="AT121" s="128">
        <f t="shared" ref="AT121:AT159" si="31">(90%*AO121)+(10%*AP121*100)</f>
        <v>90</v>
      </c>
      <c r="AU121" s="204">
        <f t="shared" ref="AU121:AU159" si="32">(AT121/$AT$161)*100</f>
        <v>56.25</v>
      </c>
      <c r="AV121" s="205">
        <f t="shared" ref="AV121:AV159" si="33">(50%*AU121)+(50%*AQ121)</f>
        <v>75.125</v>
      </c>
      <c r="AW121" s="206">
        <f t="shared" ref="AW121:AW159" si="34">(50%*AV121)+(50%*AF121)</f>
        <v>81.0025</v>
      </c>
      <c r="AX121" s="206">
        <f t="shared" ref="AX121:AX159" si="35">84+((AW121-$AW$162)/($AW$161-$AW$162)*(92-84))</f>
        <v>88.5884133755332</v>
      </c>
      <c r="AY121" s="207">
        <v>88.5884133755332</v>
      </c>
      <c r="AZ121" s="166" t="s">
        <v>548</v>
      </c>
      <c r="BA121" s="128" t="s">
        <v>548</v>
      </c>
    </row>
    <row r="122" customHeight="1" spans="1:53">
      <c r="A122" s="160">
        <v>2</v>
      </c>
      <c r="B122" s="160">
        <v>155</v>
      </c>
      <c r="C122" s="161" t="s">
        <v>552</v>
      </c>
      <c r="D122" s="124">
        <v>242510082</v>
      </c>
      <c r="E122" s="124" t="s">
        <v>553</v>
      </c>
      <c r="F122" s="161" t="s">
        <v>554</v>
      </c>
      <c r="G122" s="161" t="s">
        <v>555</v>
      </c>
      <c r="H122" s="166" t="s">
        <v>556</v>
      </c>
      <c r="I122" s="161" t="s">
        <v>557</v>
      </c>
      <c r="J122" s="172" t="s">
        <v>61</v>
      </c>
      <c r="K122" s="86" t="s">
        <v>556</v>
      </c>
      <c r="L122" s="173">
        <v>39395</v>
      </c>
      <c r="M122" s="183" t="s">
        <v>90</v>
      </c>
      <c r="N122" s="179" t="s">
        <v>550</v>
      </c>
      <c r="O122" s="180">
        <v>100</v>
      </c>
      <c r="P122" s="161">
        <v>100</v>
      </c>
      <c r="Q122" s="160"/>
      <c r="R122" s="160">
        <v>100</v>
      </c>
      <c r="S122" s="160">
        <v>100</v>
      </c>
      <c r="T122" s="160">
        <v>1</v>
      </c>
      <c r="U122" s="160">
        <v>16</v>
      </c>
      <c r="V122" s="180"/>
      <c r="W122" s="160"/>
      <c r="X122" s="161"/>
      <c r="Y122" s="160"/>
      <c r="Z122" s="160"/>
      <c r="AA122" s="160"/>
      <c r="AB122" s="160">
        <v>100</v>
      </c>
      <c r="AC122" s="78">
        <f t="shared" si="24"/>
        <v>500</v>
      </c>
      <c r="AD122" s="160">
        <f t="shared" si="25"/>
        <v>100</v>
      </c>
      <c r="AE122" s="196">
        <f t="shared" si="26"/>
        <v>420</v>
      </c>
      <c r="AF122" s="201">
        <f t="shared" si="27"/>
        <v>88</v>
      </c>
      <c r="AG122" s="160"/>
      <c r="AH122" s="160">
        <v>100</v>
      </c>
      <c r="AI122" s="160"/>
      <c r="AJ122" s="160">
        <f t="shared" si="28"/>
        <v>91</v>
      </c>
      <c r="AK122" s="160"/>
      <c r="AL122" s="161"/>
      <c r="AM122" s="161"/>
      <c r="AN122" s="161"/>
      <c r="AO122" s="161">
        <f t="shared" si="29"/>
        <v>100</v>
      </c>
      <c r="AP122" s="160">
        <f t="shared" si="30"/>
        <v>0</v>
      </c>
      <c r="AQ122" s="126">
        <v>91</v>
      </c>
      <c r="AR122" s="128" t="s">
        <v>558</v>
      </c>
      <c r="AT122" s="128">
        <f t="shared" si="31"/>
        <v>90</v>
      </c>
      <c r="AU122" s="204">
        <f t="shared" si="32"/>
        <v>56.25</v>
      </c>
      <c r="AV122" s="205">
        <f t="shared" si="33"/>
        <v>73.625</v>
      </c>
      <c r="AW122" s="206">
        <f t="shared" si="34"/>
        <v>80.8125</v>
      </c>
      <c r="AX122" s="206">
        <f t="shared" si="35"/>
        <v>88.5047474886473</v>
      </c>
      <c r="AY122" s="207">
        <v>88.5047474886473</v>
      </c>
      <c r="AZ122" s="166" t="s">
        <v>556</v>
      </c>
      <c r="BA122" s="128" t="s">
        <v>556</v>
      </c>
    </row>
    <row r="123" customHeight="1" spans="1:53">
      <c r="A123" s="160">
        <v>3</v>
      </c>
      <c r="B123" s="160">
        <v>156</v>
      </c>
      <c r="C123" s="161" t="s">
        <v>559</v>
      </c>
      <c r="D123" s="124">
        <v>242510161</v>
      </c>
      <c r="E123" s="124" t="s">
        <v>560</v>
      </c>
      <c r="F123" s="161" t="s">
        <v>561</v>
      </c>
      <c r="G123" s="161" t="s">
        <v>562</v>
      </c>
      <c r="H123" s="166" t="s">
        <v>563</v>
      </c>
      <c r="I123" s="161" t="s">
        <v>564</v>
      </c>
      <c r="J123" s="172" t="s">
        <v>61</v>
      </c>
      <c r="K123" s="86" t="s">
        <v>563</v>
      </c>
      <c r="L123" s="173">
        <v>39754</v>
      </c>
      <c r="M123" s="183" t="s">
        <v>90</v>
      </c>
      <c r="N123" s="179" t="s">
        <v>550</v>
      </c>
      <c r="O123" s="180">
        <v>100</v>
      </c>
      <c r="P123" s="161">
        <v>100</v>
      </c>
      <c r="Q123" s="160"/>
      <c r="R123" s="160">
        <v>100</v>
      </c>
      <c r="S123" s="160">
        <v>100</v>
      </c>
      <c r="T123" s="160"/>
      <c r="U123" s="160">
        <v>35</v>
      </c>
      <c r="V123" s="180"/>
      <c r="W123" s="160"/>
      <c r="X123" s="161"/>
      <c r="Y123" s="160"/>
      <c r="Z123" s="160"/>
      <c r="AA123" s="160"/>
      <c r="AB123" s="160">
        <v>90</v>
      </c>
      <c r="AC123" s="78">
        <f t="shared" si="24"/>
        <v>490</v>
      </c>
      <c r="AD123" s="160">
        <f t="shared" si="25"/>
        <v>0</v>
      </c>
      <c r="AE123" s="196">
        <f t="shared" si="26"/>
        <v>392</v>
      </c>
      <c r="AF123" s="201">
        <f t="shared" si="27"/>
        <v>86.88</v>
      </c>
      <c r="AG123" s="160"/>
      <c r="AH123" s="160">
        <v>100</v>
      </c>
      <c r="AI123" s="160"/>
      <c r="AJ123" s="160">
        <f t="shared" si="28"/>
        <v>94</v>
      </c>
      <c r="AK123" s="160"/>
      <c r="AL123" s="161"/>
      <c r="AM123" s="161"/>
      <c r="AN123" s="161"/>
      <c r="AO123" s="161">
        <f t="shared" si="29"/>
        <v>100</v>
      </c>
      <c r="AP123" s="160">
        <f t="shared" si="30"/>
        <v>0</v>
      </c>
      <c r="AQ123" s="126">
        <v>94</v>
      </c>
      <c r="AR123" s="128" t="s">
        <v>563</v>
      </c>
      <c r="AT123" s="128">
        <f t="shared" si="31"/>
        <v>90</v>
      </c>
      <c r="AU123" s="204">
        <f t="shared" si="32"/>
        <v>56.25</v>
      </c>
      <c r="AV123" s="205">
        <f t="shared" si="33"/>
        <v>75.125</v>
      </c>
      <c r="AW123" s="206">
        <f t="shared" si="34"/>
        <v>81.0025</v>
      </c>
      <c r="AX123" s="206">
        <f t="shared" si="35"/>
        <v>88.5884133755332</v>
      </c>
      <c r="AY123" s="207">
        <v>88.5884133755332</v>
      </c>
      <c r="AZ123" s="166" t="s">
        <v>563</v>
      </c>
      <c r="BA123" s="128" t="s">
        <v>563</v>
      </c>
    </row>
    <row r="124" customHeight="1" spans="1:53">
      <c r="A124" s="160">
        <v>4</v>
      </c>
      <c r="B124" s="160">
        <v>157</v>
      </c>
      <c r="C124" s="161" t="s">
        <v>565</v>
      </c>
      <c r="D124" s="124">
        <v>242510242</v>
      </c>
      <c r="E124" s="124" t="s">
        <v>566</v>
      </c>
      <c r="F124" s="161" t="s">
        <v>567</v>
      </c>
      <c r="G124" s="161" t="s">
        <v>568</v>
      </c>
      <c r="H124" s="166" t="s">
        <v>569</v>
      </c>
      <c r="I124" s="161" t="s">
        <v>397</v>
      </c>
      <c r="J124" s="172" t="s">
        <v>76</v>
      </c>
      <c r="K124" s="86" t="s">
        <v>569</v>
      </c>
      <c r="L124" s="173">
        <v>39971</v>
      </c>
      <c r="M124" s="181" t="s">
        <v>53</v>
      </c>
      <c r="N124" s="179" t="s">
        <v>550</v>
      </c>
      <c r="O124" s="180">
        <v>100</v>
      </c>
      <c r="P124" s="161">
        <v>100</v>
      </c>
      <c r="Q124" s="160"/>
      <c r="R124" s="160">
        <v>100</v>
      </c>
      <c r="S124" s="160">
        <v>100</v>
      </c>
      <c r="T124" s="160"/>
      <c r="U124" s="160">
        <v>20</v>
      </c>
      <c r="V124" s="180"/>
      <c r="W124" s="160"/>
      <c r="X124" s="161"/>
      <c r="Y124" s="160"/>
      <c r="Z124" s="160"/>
      <c r="AA124" s="160"/>
      <c r="AB124" s="160">
        <v>100</v>
      </c>
      <c r="AC124" s="78">
        <f t="shared" si="24"/>
        <v>500</v>
      </c>
      <c r="AD124" s="160">
        <f t="shared" si="25"/>
        <v>0</v>
      </c>
      <c r="AE124" s="196">
        <f t="shared" si="26"/>
        <v>400</v>
      </c>
      <c r="AF124" s="201">
        <f t="shared" si="27"/>
        <v>87.2</v>
      </c>
      <c r="AG124" s="160"/>
      <c r="AH124" s="160">
        <v>100</v>
      </c>
      <c r="AI124" s="160">
        <v>1</v>
      </c>
      <c r="AJ124" s="160">
        <f t="shared" si="28"/>
        <v>94</v>
      </c>
      <c r="AK124" s="160"/>
      <c r="AL124" s="161"/>
      <c r="AM124" s="161"/>
      <c r="AN124" s="161"/>
      <c r="AO124" s="161">
        <f t="shared" si="29"/>
        <v>100</v>
      </c>
      <c r="AP124" s="160">
        <f t="shared" si="30"/>
        <v>1</v>
      </c>
      <c r="AQ124" s="126">
        <v>94</v>
      </c>
      <c r="AR124" s="128" t="s">
        <v>570</v>
      </c>
      <c r="AT124" s="128">
        <f t="shared" si="31"/>
        <v>100</v>
      </c>
      <c r="AU124" s="204">
        <f t="shared" si="32"/>
        <v>62.5</v>
      </c>
      <c r="AV124" s="205">
        <f t="shared" si="33"/>
        <v>78.25</v>
      </c>
      <c r="AW124" s="206">
        <f t="shared" si="34"/>
        <v>82.725</v>
      </c>
      <c r="AX124" s="206">
        <f t="shared" si="35"/>
        <v>89.3469106921701</v>
      </c>
      <c r="AY124" s="207">
        <v>89.3469106921701</v>
      </c>
      <c r="AZ124" s="166" t="s">
        <v>569</v>
      </c>
      <c r="BA124" s="128" t="s">
        <v>569</v>
      </c>
    </row>
    <row r="125" customHeight="1" spans="1:53">
      <c r="A125" s="160">
        <v>5</v>
      </c>
      <c r="B125" s="160"/>
      <c r="C125" s="161"/>
      <c r="D125" s="124">
        <v>242510206</v>
      </c>
      <c r="E125" s="124" t="s">
        <v>571</v>
      </c>
      <c r="F125" s="161" t="s">
        <v>572</v>
      </c>
      <c r="G125" s="161" t="s">
        <v>573</v>
      </c>
      <c r="H125" s="166" t="s">
        <v>574</v>
      </c>
      <c r="I125" s="161" t="s">
        <v>60</v>
      </c>
      <c r="J125" s="172" t="s">
        <v>61</v>
      </c>
      <c r="K125" s="86" t="s">
        <v>574</v>
      </c>
      <c r="L125" s="173"/>
      <c r="M125" s="184"/>
      <c r="N125" s="179"/>
      <c r="O125" s="180">
        <v>100</v>
      </c>
      <c r="P125" s="161">
        <v>100</v>
      </c>
      <c r="Q125" s="160"/>
      <c r="R125" s="160">
        <v>100</v>
      </c>
      <c r="S125" s="160">
        <v>100</v>
      </c>
      <c r="T125" s="160"/>
      <c r="U125" s="160">
        <v>19</v>
      </c>
      <c r="V125" s="180"/>
      <c r="W125" s="160"/>
      <c r="X125" s="161"/>
      <c r="Y125" s="160"/>
      <c r="Z125" s="160"/>
      <c r="AA125" s="160"/>
      <c r="AB125" s="160">
        <v>90</v>
      </c>
      <c r="AC125" s="78">
        <f t="shared" si="24"/>
        <v>490</v>
      </c>
      <c r="AD125" s="160">
        <f t="shared" si="25"/>
        <v>0</v>
      </c>
      <c r="AE125" s="196">
        <f t="shared" si="26"/>
        <v>392</v>
      </c>
      <c r="AF125" s="201">
        <f t="shared" si="27"/>
        <v>86.88</v>
      </c>
      <c r="AG125" s="160"/>
      <c r="AH125" s="160">
        <v>100</v>
      </c>
      <c r="AI125" s="160"/>
      <c r="AJ125" s="160">
        <f t="shared" si="28"/>
        <v>94</v>
      </c>
      <c r="AK125" s="160"/>
      <c r="AL125" s="161"/>
      <c r="AM125" s="161"/>
      <c r="AN125" s="161"/>
      <c r="AO125" s="161">
        <f t="shared" si="29"/>
        <v>100</v>
      </c>
      <c r="AP125" s="160">
        <f t="shared" si="30"/>
        <v>0</v>
      </c>
      <c r="AQ125" s="126">
        <v>94</v>
      </c>
      <c r="AR125" s="128" t="s">
        <v>575</v>
      </c>
      <c r="AT125" s="128">
        <f t="shared" si="31"/>
        <v>90</v>
      </c>
      <c r="AU125" s="204">
        <f t="shared" si="32"/>
        <v>56.25</v>
      </c>
      <c r="AV125" s="205">
        <f t="shared" si="33"/>
        <v>75.125</v>
      </c>
      <c r="AW125" s="206">
        <f t="shared" si="34"/>
        <v>81.0025</v>
      </c>
      <c r="AX125" s="206">
        <f t="shared" si="35"/>
        <v>88.5884133755332</v>
      </c>
      <c r="AY125" s="207">
        <v>88.5884133755332</v>
      </c>
      <c r="AZ125" s="166" t="s">
        <v>574</v>
      </c>
      <c r="BA125" s="128" t="s">
        <v>574</v>
      </c>
    </row>
    <row r="126" customHeight="1" spans="1:53">
      <c r="A126" s="160">
        <v>6</v>
      </c>
      <c r="B126" s="160">
        <v>158</v>
      </c>
      <c r="C126" s="161" t="s">
        <v>576</v>
      </c>
      <c r="D126" s="124">
        <v>242510244</v>
      </c>
      <c r="E126" s="124" t="s">
        <v>577</v>
      </c>
      <c r="F126" s="161" t="s">
        <v>578</v>
      </c>
      <c r="G126" s="161"/>
      <c r="H126" s="166" t="s">
        <v>579</v>
      </c>
      <c r="I126" s="161" t="s">
        <v>218</v>
      </c>
      <c r="J126" s="172" t="s">
        <v>61</v>
      </c>
      <c r="K126" s="86" t="s">
        <v>579</v>
      </c>
      <c r="L126" s="173">
        <v>39842</v>
      </c>
      <c r="M126" s="184" t="s">
        <v>130</v>
      </c>
      <c r="N126" s="179" t="s">
        <v>550</v>
      </c>
      <c r="O126" s="180">
        <v>100</v>
      </c>
      <c r="P126" s="161">
        <v>100</v>
      </c>
      <c r="Q126" s="160"/>
      <c r="R126" s="160">
        <v>100</v>
      </c>
      <c r="S126" s="160">
        <v>100</v>
      </c>
      <c r="T126" s="160">
        <v>1</v>
      </c>
      <c r="U126" s="160">
        <v>26</v>
      </c>
      <c r="V126" s="180"/>
      <c r="W126" s="160"/>
      <c r="X126" s="161"/>
      <c r="Y126" s="160"/>
      <c r="Z126" s="160"/>
      <c r="AA126" s="160"/>
      <c r="AB126" s="160">
        <v>90</v>
      </c>
      <c r="AC126" s="78">
        <f t="shared" si="24"/>
        <v>490</v>
      </c>
      <c r="AD126" s="160">
        <f t="shared" si="25"/>
        <v>100</v>
      </c>
      <c r="AE126" s="196">
        <f t="shared" si="26"/>
        <v>412</v>
      </c>
      <c r="AF126" s="201">
        <f t="shared" si="27"/>
        <v>87.68</v>
      </c>
      <c r="AG126" s="160"/>
      <c r="AH126" s="160">
        <v>100</v>
      </c>
      <c r="AI126" s="160"/>
      <c r="AJ126" s="160">
        <f t="shared" si="28"/>
        <v>88</v>
      </c>
      <c r="AK126" s="160"/>
      <c r="AL126" s="161"/>
      <c r="AM126" s="161"/>
      <c r="AN126" s="161"/>
      <c r="AO126" s="161">
        <f t="shared" si="29"/>
        <v>100</v>
      </c>
      <c r="AP126" s="160">
        <f t="shared" si="30"/>
        <v>0</v>
      </c>
      <c r="AQ126" s="126">
        <v>88</v>
      </c>
      <c r="AR126" s="128" t="s">
        <v>580</v>
      </c>
      <c r="AT126" s="128">
        <f t="shared" si="31"/>
        <v>90</v>
      </c>
      <c r="AU126" s="204">
        <f t="shared" si="32"/>
        <v>56.25</v>
      </c>
      <c r="AV126" s="205">
        <f t="shared" si="33"/>
        <v>72.125</v>
      </c>
      <c r="AW126" s="206">
        <f t="shared" si="34"/>
        <v>79.9025</v>
      </c>
      <c r="AX126" s="206">
        <f t="shared" si="35"/>
        <v>88.104031925141</v>
      </c>
      <c r="AY126" s="207">
        <v>88.104031925141</v>
      </c>
      <c r="AZ126" s="166" t="s">
        <v>579</v>
      </c>
      <c r="BA126" s="128" t="s">
        <v>579</v>
      </c>
    </row>
    <row r="127" customHeight="1" spans="1:53">
      <c r="A127" s="160">
        <v>7</v>
      </c>
      <c r="B127" s="160">
        <v>159</v>
      </c>
      <c r="C127" s="161" t="s">
        <v>581</v>
      </c>
      <c r="D127" s="124">
        <v>242510278</v>
      </c>
      <c r="E127" s="124" t="s">
        <v>582</v>
      </c>
      <c r="F127" s="161" t="s">
        <v>583</v>
      </c>
      <c r="G127" s="161" t="s">
        <v>584</v>
      </c>
      <c r="H127" s="166" t="s">
        <v>585</v>
      </c>
      <c r="I127" s="161" t="s">
        <v>60</v>
      </c>
      <c r="J127" s="172" t="s">
        <v>61</v>
      </c>
      <c r="K127" s="86" t="s">
        <v>585</v>
      </c>
      <c r="L127" s="173">
        <v>40032</v>
      </c>
      <c r="M127" s="183" t="s">
        <v>90</v>
      </c>
      <c r="N127" s="179" t="s">
        <v>550</v>
      </c>
      <c r="O127" s="180">
        <v>100</v>
      </c>
      <c r="P127" s="161">
        <v>100</v>
      </c>
      <c r="Q127" s="160"/>
      <c r="R127" s="160">
        <v>100</v>
      </c>
      <c r="S127" s="160">
        <v>100</v>
      </c>
      <c r="T127" s="160"/>
      <c r="U127" s="160">
        <v>21</v>
      </c>
      <c r="V127" s="180"/>
      <c r="W127" s="160"/>
      <c r="X127" s="161"/>
      <c r="Y127" s="160"/>
      <c r="Z127" s="160"/>
      <c r="AA127" s="160"/>
      <c r="AB127" s="160">
        <v>100</v>
      </c>
      <c r="AC127" s="78">
        <f t="shared" si="24"/>
        <v>500</v>
      </c>
      <c r="AD127" s="160">
        <f t="shared" si="25"/>
        <v>0</v>
      </c>
      <c r="AE127" s="196">
        <f t="shared" si="26"/>
        <v>400</v>
      </c>
      <c r="AF127" s="201">
        <f t="shared" si="27"/>
        <v>87.2</v>
      </c>
      <c r="AG127" s="160"/>
      <c r="AH127" s="160">
        <v>100</v>
      </c>
      <c r="AI127" s="160"/>
      <c r="AJ127" s="160">
        <f t="shared" si="28"/>
        <v>79</v>
      </c>
      <c r="AK127" s="160"/>
      <c r="AL127" s="161"/>
      <c r="AM127" s="161"/>
      <c r="AN127" s="161"/>
      <c r="AO127" s="161">
        <f t="shared" si="29"/>
        <v>100</v>
      </c>
      <c r="AP127" s="160">
        <f t="shared" si="30"/>
        <v>0</v>
      </c>
      <c r="AQ127" s="126">
        <v>79</v>
      </c>
      <c r="AR127" s="128" t="s">
        <v>586</v>
      </c>
      <c r="AT127" s="128">
        <f t="shared" si="31"/>
        <v>90</v>
      </c>
      <c r="AU127" s="204">
        <f t="shared" si="32"/>
        <v>56.25</v>
      </c>
      <c r="AV127" s="205">
        <f t="shared" si="33"/>
        <v>67.625</v>
      </c>
      <c r="AW127" s="206">
        <f t="shared" si="34"/>
        <v>77.4125</v>
      </c>
      <c r="AX127" s="206">
        <f t="shared" si="35"/>
        <v>87.0075684601624</v>
      </c>
      <c r="AY127" s="207">
        <v>87.0075684601624</v>
      </c>
      <c r="AZ127" s="166" t="s">
        <v>585</v>
      </c>
      <c r="BA127" s="128" t="s">
        <v>585</v>
      </c>
    </row>
    <row r="128" customHeight="1" spans="1:53">
      <c r="A128" s="160">
        <v>8</v>
      </c>
      <c r="B128" s="160">
        <v>160</v>
      </c>
      <c r="C128" s="161" t="s">
        <v>587</v>
      </c>
      <c r="D128" s="124">
        <v>242510282</v>
      </c>
      <c r="E128" s="124" t="s">
        <v>588</v>
      </c>
      <c r="F128" s="161" t="s">
        <v>589</v>
      </c>
      <c r="G128" s="161" t="s">
        <v>590</v>
      </c>
      <c r="H128" s="166" t="s">
        <v>591</v>
      </c>
      <c r="I128" s="161" t="s">
        <v>592</v>
      </c>
      <c r="J128" s="172" t="s">
        <v>76</v>
      </c>
      <c r="K128" s="86" t="s">
        <v>591</v>
      </c>
      <c r="L128" s="173">
        <v>39939</v>
      </c>
      <c r="M128" s="183" t="s">
        <v>90</v>
      </c>
      <c r="N128" s="179" t="s">
        <v>550</v>
      </c>
      <c r="O128" s="180">
        <v>100</v>
      </c>
      <c r="P128" s="161">
        <v>100</v>
      </c>
      <c r="Q128" s="160"/>
      <c r="R128" s="160">
        <v>100</v>
      </c>
      <c r="S128" s="160">
        <v>100</v>
      </c>
      <c r="T128" s="160"/>
      <c r="U128" s="160">
        <v>8</v>
      </c>
      <c r="V128" s="180"/>
      <c r="W128" s="160"/>
      <c r="X128" s="161"/>
      <c r="Y128" s="160"/>
      <c r="Z128" s="160"/>
      <c r="AA128" s="160">
        <v>1</v>
      </c>
      <c r="AB128" s="160">
        <v>90</v>
      </c>
      <c r="AC128" s="78">
        <f t="shared" si="24"/>
        <v>490</v>
      </c>
      <c r="AD128" s="160">
        <f t="shared" si="25"/>
        <v>100</v>
      </c>
      <c r="AE128" s="196">
        <f t="shared" si="26"/>
        <v>412</v>
      </c>
      <c r="AF128" s="201">
        <f t="shared" si="27"/>
        <v>87.68</v>
      </c>
      <c r="AG128" s="160">
        <v>2</v>
      </c>
      <c r="AH128" s="160">
        <v>100</v>
      </c>
      <c r="AI128" s="160"/>
      <c r="AJ128" s="160">
        <f t="shared" si="28"/>
        <v>91</v>
      </c>
      <c r="AK128" s="160"/>
      <c r="AL128" s="161"/>
      <c r="AM128" s="161"/>
      <c r="AN128" s="161"/>
      <c r="AO128" s="161">
        <f t="shared" si="29"/>
        <v>102</v>
      </c>
      <c r="AP128" s="160">
        <f t="shared" si="30"/>
        <v>0</v>
      </c>
      <c r="AQ128" s="126">
        <v>91</v>
      </c>
      <c r="AR128" s="128" t="s">
        <v>593</v>
      </c>
      <c r="AT128" s="128">
        <f t="shared" si="31"/>
        <v>91.8</v>
      </c>
      <c r="AU128" s="204">
        <f t="shared" si="32"/>
        <v>57.375</v>
      </c>
      <c r="AV128" s="205">
        <f t="shared" si="33"/>
        <v>74.1875</v>
      </c>
      <c r="AW128" s="206">
        <f t="shared" si="34"/>
        <v>80.93375</v>
      </c>
      <c r="AX128" s="206">
        <f t="shared" si="35"/>
        <v>88.5581395348837</v>
      </c>
      <c r="AY128" s="207">
        <v>88.5581395348837</v>
      </c>
      <c r="AZ128" s="166" t="s">
        <v>591</v>
      </c>
      <c r="BA128" s="128" t="s">
        <v>591</v>
      </c>
    </row>
    <row r="129" customHeight="1" spans="1:53">
      <c r="A129" s="160">
        <v>9</v>
      </c>
      <c r="B129" s="160">
        <v>161</v>
      </c>
      <c r="C129" s="161" t="s">
        <v>594</v>
      </c>
      <c r="D129" s="124">
        <v>242510123</v>
      </c>
      <c r="E129" s="124" t="s">
        <v>595</v>
      </c>
      <c r="F129" s="161" t="s">
        <v>596</v>
      </c>
      <c r="G129" s="161" t="s">
        <v>597</v>
      </c>
      <c r="H129" s="166" t="s">
        <v>598</v>
      </c>
      <c r="I129" s="161" t="s">
        <v>158</v>
      </c>
      <c r="J129" s="172" t="s">
        <v>61</v>
      </c>
      <c r="K129" s="86" t="s">
        <v>598</v>
      </c>
      <c r="L129" s="173">
        <v>39838</v>
      </c>
      <c r="M129" s="181" t="s">
        <v>53</v>
      </c>
      <c r="N129" s="179" t="s">
        <v>550</v>
      </c>
      <c r="O129" s="180">
        <v>100</v>
      </c>
      <c r="P129" s="161">
        <v>100</v>
      </c>
      <c r="Q129" s="160"/>
      <c r="R129" s="160">
        <v>100</v>
      </c>
      <c r="S129" s="160">
        <v>100</v>
      </c>
      <c r="T129" s="160"/>
      <c r="U129" s="160">
        <v>29</v>
      </c>
      <c r="V129" s="180"/>
      <c r="W129" s="160"/>
      <c r="X129" s="161"/>
      <c r="Y129" s="160"/>
      <c r="Z129" s="160"/>
      <c r="AA129" s="160"/>
      <c r="AB129" s="160">
        <v>100</v>
      </c>
      <c r="AC129" s="78">
        <f t="shared" si="24"/>
        <v>500</v>
      </c>
      <c r="AD129" s="160">
        <f t="shared" si="25"/>
        <v>0</v>
      </c>
      <c r="AE129" s="196">
        <f t="shared" si="26"/>
        <v>400</v>
      </c>
      <c r="AF129" s="201">
        <f t="shared" si="27"/>
        <v>87.2</v>
      </c>
      <c r="AG129" s="160"/>
      <c r="AH129" s="160">
        <v>100</v>
      </c>
      <c r="AI129" s="160"/>
      <c r="AJ129" s="160">
        <f t="shared" si="28"/>
        <v>79</v>
      </c>
      <c r="AK129" s="160"/>
      <c r="AL129" s="161"/>
      <c r="AM129" s="161"/>
      <c r="AN129" s="161"/>
      <c r="AO129" s="161">
        <f t="shared" si="29"/>
        <v>100</v>
      </c>
      <c r="AP129" s="160">
        <f t="shared" si="30"/>
        <v>0</v>
      </c>
      <c r="AQ129" s="126">
        <v>79</v>
      </c>
      <c r="AR129" s="128" t="s">
        <v>598</v>
      </c>
      <c r="AT129" s="128">
        <f t="shared" si="31"/>
        <v>90</v>
      </c>
      <c r="AU129" s="204">
        <f t="shared" si="32"/>
        <v>56.25</v>
      </c>
      <c r="AV129" s="205">
        <f t="shared" si="33"/>
        <v>67.625</v>
      </c>
      <c r="AW129" s="206">
        <f t="shared" si="34"/>
        <v>77.4125</v>
      </c>
      <c r="AX129" s="206">
        <f t="shared" si="35"/>
        <v>87.0075684601624</v>
      </c>
      <c r="AY129" s="207">
        <v>87.0075684601624</v>
      </c>
      <c r="AZ129" s="166" t="s">
        <v>598</v>
      </c>
      <c r="BA129" s="128" t="s">
        <v>598</v>
      </c>
    </row>
    <row r="130" customHeight="1" spans="1:53">
      <c r="A130" s="160">
        <v>10</v>
      </c>
      <c r="B130" s="160">
        <v>162</v>
      </c>
      <c r="C130" s="161" t="s">
        <v>599</v>
      </c>
      <c r="D130" s="124">
        <v>242510007</v>
      </c>
      <c r="E130" s="124" t="s">
        <v>600</v>
      </c>
      <c r="F130" s="161" t="s">
        <v>601</v>
      </c>
      <c r="G130" s="161" t="s">
        <v>602</v>
      </c>
      <c r="H130" s="215" t="s">
        <v>603</v>
      </c>
      <c r="I130" s="161" t="s">
        <v>604</v>
      </c>
      <c r="J130" s="172" t="s">
        <v>61</v>
      </c>
      <c r="K130" s="86" t="s">
        <v>603</v>
      </c>
      <c r="L130" s="173">
        <v>39800</v>
      </c>
      <c r="M130" s="184" t="s">
        <v>130</v>
      </c>
      <c r="N130" s="179" t="s">
        <v>550</v>
      </c>
      <c r="O130" s="180">
        <v>100</v>
      </c>
      <c r="P130" s="161">
        <v>100</v>
      </c>
      <c r="Q130" s="160"/>
      <c r="R130" s="160">
        <v>100</v>
      </c>
      <c r="S130" s="160">
        <v>100</v>
      </c>
      <c r="T130" s="160"/>
      <c r="U130" s="160">
        <v>3</v>
      </c>
      <c r="V130" s="180">
        <v>100</v>
      </c>
      <c r="W130" s="160"/>
      <c r="X130" s="161"/>
      <c r="Y130" s="160"/>
      <c r="Z130" s="160"/>
      <c r="AA130" s="160">
        <v>6</v>
      </c>
      <c r="AB130" s="160">
        <v>100</v>
      </c>
      <c r="AC130" s="78">
        <f t="shared" si="24"/>
        <v>500</v>
      </c>
      <c r="AD130" s="160">
        <f t="shared" si="25"/>
        <v>600</v>
      </c>
      <c r="AE130" s="196">
        <f t="shared" si="26"/>
        <v>520</v>
      </c>
      <c r="AF130" s="201">
        <f t="shared" si="27"/>
        <v>92</v>
      </c>
      <c r="AG130" s="160"/>
      <c r="AH130" s="160">
        <v>100</v>
      </c>
      <c r="AI130" s="160"/>
      <c r="AJ130" s="160">
        <f t="shared" si="28"/>
        <v>94</v>
      </c>
      <c r="AK130" s="160"/>
      <c r="AL130" s="161"/>
      <c r="AM130" s="161"/>
      <c r="AN130" s="161"/>
      <c r="AO130" s="161">
        <f t="shared" si="29"/>
        <v>100</v>
      </c>
      <c r="AP130" s="160">
        <f t="shared" si="30"/>
        <v>0</v>
      </c>
      <c r="AQ130" s="126">
        <v>94</v>
      </c>
      <c r="AR130" s="128" t="s">
        <v>603</v>
      </c>
      <c r="AT130" s="128">
        <f t="shared" si="31"/>
        <v>90</v>
      </c>
      <c r="AU130" s="204">
        <f t="shared" si="32"/>
        <v>56.25</v>
      </c>
      <c r="AV130" s="205">
        <f t="shared" si="33"/>
        <v>75.125</v>
      </c>
      <c r="AW130" s="206">
        <f t="shared" si="34"/>
        <v>83.5625</v>
      </c>
      <c r="AX130" s="206">
        <f t="shared" si="35"/>
        <v>89.7157011146278</v>
      </c>
      <c r="AY130" s="207">
        <v>89.7157011146278</v>
      </c>
      <c r="AZ130" s="215" t="s">
        <v>603</v>
      </c>
      <c r="BA130" s="128" t="s">
        <v>603</v>
      </c>
    </row>
    <row r="131" customHeight="1" spans="1:53">
      <c r="A131" s="160">
        <v>11</v>
      </c>
      <c r="B131" s="160">
        <v>163</v>
      </c>
      <c r="C131" s="161" t="s">
        <v>605</v>
      </c>
      <c r="D131" s="124">
        <v>242510167</v>
      </c>
      <c r="E131" s="124" t="s">
        <v>606</v>
      </c>
      <c r="F131" s="161" t="s">
        <v>607</v>
      </c>
      <c r="G131" s="161" t="s">
        <v>608</v>
      </c>
      <c r="H131" s="215" t="s">
        <v>609</v>
      </c>
      <c r="I131" s="161" t="s">
        <v>610</v>
      </c>
      <c r="J131" s="172" t="s">
        <v>61</v>
      </c>
      <c r="K131" s="86" t="s">
        <v>609</v>
      </c>
      <c r="L131" s="173">
        <v>39940</v>
      </c>
      <c r="M131" s="181" t="s">
        <v>53</v>
      </c>
      <c r="N131" s="179" t="s">
        <v>550</v>
      </c>
      <c r="O131" s="180">
        <v>100</v>
      </c>
      <c r="P131" s="161">
        <v>100</v>
      </c>
      <c r="Q131" s="160">
        <v>1</v>
      </c>
      <c r="R131" s="160">
        <v>100</v>
      </c>
      <c r="S131" s="160">
        <v>100</v>
      </c>
      <c r="T131" s="160">
        <v>2</v>
      </c>
      <c r="U131" s="160">
        <v>10</v>
      </c>
      <c r="V131" s="180"/>
      <c r="W131" s="160"/>
      <c r="X131" s="161"/>
      <c r="Y131" s="160"/>
      <c r="Z131" s="160"/>
      <c r="AA131" s="160"/>
      <c r="AB131" s="160">
        <v>100</v>
      </c>
      <c r="AC131" s="78">
        <f t="shared" si="24"/>
        <v>500</v>
      </c>
      <c r="AD131" s="160">
        <f t="shared" si="25"/>
        <v>300</v>
      </c>
      <c r="AE131" s="196">
        <f t="shared" si="26"/>
        <v>460</v>
      </c>
      <c r="AF131" s="201">
        <f t="shared" si="27"/>
        <v>89.6</v>
      </c>
      <c r="AG131" s="160"/>
      <c r="AH131" s="160">
        <v>100</v>
      </c>
      <c r="AI131" s="160">
        <v>2</v>
      </c>
      <c r="AJ131" s="160">
        <f t="shared" si="28"/>
        <v>94</v>
      </c>
      <c r="AK131" s="160">
        <v>1</v>
      </c>
      <c r="AL131" s="161"/>
      <c r="AM131" s="161"/>
      <c r="AN131" s="161"/>
      <c r="AO131" s="161">
        <f t="shared" si="29"/>
        <v>100</v>
      </c>
      <c r="AP131" s="160">
        <f t="shared" si="30"/>
        <v>3</v>
      </c>
      <c r="AQ131" s="126">
        <v>94</v>
      </c>
      <c r="AR131" s="128" t="s">
        <v>609</v>
      </c>
      <c r="AT131" s="128">
        <f t="shared" si="31"/>
        <v>120</v>
      </c>
      <c r="AU131" s="204">
        <f t="shared" si="32"/>
        <v>75</v>
      </c>
      <c r="AV131" s="205">
        <f t="shared" si="33"/>
        <v>84.5</v>
      </c>
      <c r="AW131" s="206">
        <f t="shared" si="34"/>
        <v>87.05</v>
      </c>
      <c r="AX131" s="206">
        <f t="shared" si="35"/>
        <v>91.2514104857575</v>
      </c>
      <c r="AY131" s="207">
        <v>91.2514104857575</v>
      </c>
      <c r="AZ131" s="215" t="s">
        <v>609</v>
      </c>
      <c r="BA131" s="128" t="s">
        <v>609</v>
      </c>
    </row>
    <row r="132" customHeight="1" spans="1:53">
      <c r="A132" s="160">
        <v>12</v>
      </c>
      <c r="B132" s="160">
        <v>164</v>
      </c>
      <c r="C132" s="161" t="s">
        <v>611</v>
      </c>
      <c r="D132" s="124">
        <v>242510210</v>
      </c>
      <c r="E132" s="124" t="s">
        <v>612</v>
      </c>
      <c r="F132" s="161" t="s">
        <v>613</v>
      </c>
      <c r="G132" s="161" t="s">
        <v>614</v>
      </c>
      <c r="H132" s="166" t="s">
        <v>615</v>
      </c>
      <c r="I132" s="161" t="s">
        <v>564</v>
      </c>
      <c r="J132" s="172" t="s">
        <v>61</v>
      </c>
      <c r="K132" s="86" t="s">
        <v>615</v>
      </c>
      <c r="L132" s="173">
        <v>39618</v>
      </c>
      <c r="M132" s="182" t="s">
        <v>77</v>
      </c>
      <c r="N132" s="179" t="s">
        <v>550</v>
      </c>
      <c r="O132" s="180">
        <v>100</v>
      </c>
      <c r="P132" s="161">
        <v>100</v>
      </c>
      <c r="Q132" s="160"/>
      <c r="R132" s="160">
        <v>100</v>
      </c>
      <c r="S132" s="160">
        <v>100</v>
      </c>
      <c r="T132" s="160"/>
      <c r="U132" s="160">
        <v>32</v>
      </c>
      <c r="V132" s="180"/>
      <c r="W132" s="160"/>
      <c r="X132" s="161"/>
      <c r="Y132" s="160"/>
      <c r="Z132" s="160"/>
      <c r="AA132" s="160"/>
      <c r="AB132" s="160">
        <v>100</v>
      </c>
      <c r="AC132" s="78">
        <f t="shared" si="24"/>
        <v>500</v>
      </c>
      <c r="AD132" s="160">
        <f t="shared" si="25"/>
        <v>0</v>
      </c>
      <c r="AE132" s="196">
        <f t="shared" si="26"/>
        <v>400</v>
      </c>
      <c r="AF132" s="201">
        <f t="shared" si="27"/>
        <v>87.2</v>
      </c>
      <c r="AG132" s="160"/>
      <c r="AH132" s="160">
        <v>100</v>
      </c>
      <c r="AI132" s="160"/>
      <c r="AJ132" s="160">
        <f t="shared" si="28"/>
        <v>88</v>
      </c>
      <c r="AK132" s="160"/>
      <c r="AL132" s="161"/>
      <c r="AM132" s="161"/>
      <c r="AN132" s="161"/>
      <c r="AO132" s="161">
        <f t="shared" si="29"/>
        <v>100</v>
      </c>
      <c r="AP132" s="160">
        <f t="shared" si="30"/>
        <v>0</v>
      </c>
      <c r="AQ132" s="126">
        <v>88</v>
      </c>
      <c r="AR132" s="128" t="s">
        <v>616</v>
      </c>
      <c r="AT132" s="128">
        <f t="shared" si="31"/>
        <v>90</v>
      </c>
      <c r="AU132" s="204">
        <f t="shared" si="32"/>
        <v>56.25</v>
      </c>
      <c r="AV132" s="205">
        <f t="shared" si="33"/>
        <v>72.125</v>
      </c>
      <c r="AW132" s="206">
        <f t="shared" si="34"/>
        <v>79.6625</v>
      </c>
      <c r="AX132" s="206">
        <f t="shared" si="35"/>
        <v>87.9983486996009</v>
      </c>
      <c r="AY132" s="207">
        <v>87.9983486996009</v>
      </c>
      <c r="AZ132" s="166" t="s">
        <v>615</v>
      </c>
      <c r="BA132" s="128" t="s">
        <v>615</v>
      </c>
    </row>
    <row r="133" customHeight="1" spans="1:53">
      <c r="A133" s="160">
        <v>13</v>
      </c>
      <c r="B133" s="160">
        <v>165</v>
      </c>
      <c r="C133" s="161" t="s">
        <v>617</v>
      </c>
      <c r="D133" s="124">
        <v>242510289</v>
      </c>
      <c r="E133" s="124" t="s">
        <v>618</v>
      </c>
      <c r="F133" s="161" t="s">
        <v>363</v>
      </c>
      <c r="G133" s="161" t="s">
        <v>364</v>
      </c>
      <c r="H133" s="215" t="s">
        <v>619</v>
      </c>
      <c r="I133" s="161" t="s">
        <v>60</v>
      </c>
      <c r="J133" s="172" t="s">
        <v>61</v>
      </c>
      <c r="K133" s="86" t="s">
        <v>619</v>
      </c>
      <c r="L133" s="173">
        <v>39759</v>
      </c>
      <c r="M133" s="183" t="s">
        <v>90</v>
      </c>
      <c r="N133" s="179" t="s">
        <v>550</v>
      </c>
      <c r="O133" s="180">
        <v>100</v>
      </c>
      <c r="P133" s="161">
        <v>100</v>
      </c>
      <c r="Q133" s="160">
        <v>1</v>
      </c>
      <c r="R133" s="160">
        <v>100</v>
      </c>
      <c r="S133" s="160">
        <v>100</v>
      </c>
      <c r="T133" s="160"/>
      <c r="U133" s="160">
        <v>6</v>
      </c>
      <c r="V133" s="180"/>
      <c r="W133" s="160"/>
      <c r="X133" s="161"/>
      <c r="Y133" s="160"/>
      <c r="Z133" s="160"/>
      <c r="AA133" s="160"/>
      <c r="AB133" s="160">
        <v>100</v>
      </c>
      <c r="AC133" s="78">
        <f t="shared" si="24"/>
        <v>500</v>
      </c>
      <c r="AD133" s="160">
        <f t="shared" si="25"/>
        <v>100</v>
      </c>
      <c r="AE133" s="196">
        <f t="shared" si="26"/>
        <v>420</v>
      </c>
      <c r="AF133" s="201">
        <f t="shared" si="27"/>
        <v>88</v>
      </c>
      <c r="AG133" s="160"/>
      <c r="AH133" s="160">
        <v>100</v>
      </c>
      <c r="AI133" s="160"/>
      <c r="AJ133" s="160">
        <f t="shared" si="28"/>
        <v>88</v>
      </c>
      <c r="AK133" s="160"/>
      <c r="AL133" s="161"/>
      <c r="AM133" s="161"/>
      <c r="AN133" s="161"/>
      <c r="AO133" s="161">
        <f t="shared" si="29"/>
        <v>100</v>
      </c>
      <c r="AP133" s="160">
        <f t="shared" si="30"/>
        <v>0</v>
      </c>
      <c r="AQ133" s="126">
        <v>88</v>
      </c>
      <c r="AR133" s="128" t="s">
        <v>620</v>
      </c>
      <c r="AT133" s="128">
        <f t="shared" si="31"/>
        <v>90</v>
      </c>
      <c r="AU133" s="204">
        <f t="shared" si="32"/>
        <v>56.25</v>
      </c>
      <c r="AV133" s="205">
        <f t="shared" si="33"/>
        <v>72.125</v>
      </c>
      <c r="AW133" s="206">
        <f t="shared" si="34"/>
        <v>80.0625</v>
      </c>
      <c r="AX133" s="206">
        <f t="shared" si="35"/>
        <v>88.1744874088345</v>
      </c>
      <c r="AY133" s="207">
        <v>88.1744874088345</v>
      </c>
      <c r="AZ133" s="215" t="s">
        <v>619</v>
      </c>
      <c r="BA133" s="128" t="s">
        <v>619</v>
      </c>
    </row>
    <row r="134" customHeight="1" spans="1:53">
      <c r="A134" s="160">
        <v>14</v>
      </c>
      <c r="B134" s="160">
        <v>166</v>
      </c>
      <c r="C134" s="161" t="s">
        <v>621</v>
      </c>
      <c r="D134" s="124">
        <v>242510252</v>
      </c>
      <c r="E134" s="124" t="s">
        <v>622</v>
      </c>
      <c r="F134" s="161" t="s">
        <v>623</v>
      </c>
      <c r="G134" s="161" t="s">
        <v>624</v>
      </c>
      <c r="H134" s="166" t="s">
        <v>625</v>
      </c>
      <c r="I134" s="161" t="s">
        <v>143</v>
      </c>
      <c r="J134" s="172" t="s">
        <v>61</v>
      </c>
      <c r="K134" s="86" t="s">
        <v>625</v>
      </c>
      <c r="L134" s="173">
        <v>39725</v>
      </c>
      <c r="M134" s="181" t="s">
        <v>53</v>
      </c>
      <c r="N134" s="179" t="s">
        <v>550</v>
      </c>
      <c r="O134" s="180">
        <v>100</v>
      </c>
      <c r="P134" s="161">
        <v>100</v>
      </c>
      <c r="Q134" s="160"/>
      <c r="R134" s="160">
        <v>100</v>
      </c>
      <c r="S134" s="160">
        <v>100</v>
      </c>
      <c r="T134" s="160"/>
      <c r="U134" s="160">
        <v>14</v>
      </c>
      <c r="V134" s="180"/>
      <c r="W134" s="160"/>
      <c r="X134" s="161"/>
      <c r="Y134" s="160"/>
      <c r="Z134" s="160"/>
      <c r="AA134" s="160"/>
      <c r="AB134" s="160">
        <v>95</v>
      </c>
      <c r="AC134" s="78">
        <f t="shared" si="24"/>
        <v>495</v>
      </c>
      <c r="AD134" s="160">
        <f t="shared" si="25"/>
        <v>0</v>
      </c>
      <c r="AE134" s="196">
        <f t="shared" si="26"/>
        <v>396</v>
      </c>
      <c r="AF134" s="201">
        <f t="shared" si="27"/>
        <v>87.04</v>
      </c>
      <c r="AG134" s="160"/>
      <c r="AH134" s="160">
        <v>100</v>
      </c>
      <c r="AI134" s="160"/>
      <c r="AJ134" s="160">
        <f t="shared" si="28"/>
        <v>91</v>
      </c>
      <c r="AK134" s="160"/>
      <c r="AL134" s="161"/>
      <c r="AM134" s="161"/>
      <c r="AN134" s="161"/>
      <c r="AO134" s="161">
        <f t="shared" si="29"/>
        <v>100</v>
      </c>
      <c r="AP134" s="160">
        <f t="shared" si="30"/>
        <v>0</v>
      </c>
      <c r="AQ134" s="126">
        <v>91</v>
      </c>
      <c r="AR134" s="128" t="s">
        <v>626</v>
      </c>
      <c r="AT134" s="128">
        <f t="shared" si="31"/>
        <v>90</v>
      </c>
      <c r="AU134" s="204">
        <f t="shared" si="32"/>
        <v>56.25</v>
      </c>
      <c r="AV134" s="205">
        <f t="shared" si="33"/>
        <v>73.625</v>
      </c>
      <c r="AW134" s="206">
        <f t="shared" si="34"/>
        <v>80.3325</v>
      </c>
      <c r="AX134" s="206">
        <f t="shared" si="35"/>
        <v>88.2933810375671</v>
      </c>
      <c r="AY134" s="207">
        <v>88.2933810375671</v>
      </c>
      <c r="AZ134" s="166" t="s">
        <v>625</v>
      </c>
      <c r="BA134" s="128" t="s">
        <v>625</v>
      </c>
    </row>
    <row r="135" customHeight="1" spans="1:53">
      <c r="A135" s="160">
        <v>15</v>
      </c>
      <c r="B135" s="160">
        <v>167</v>
      </c>
      <c r="C135" s="161" t="s">
        <v>627</v>
      </c>
      <c r="D135" s="124">
        <v>242510329</v>
      </c>
      <c r="E135" s="124" t="s">
        <v>628</v>
      </c>
      <c r="F135" s="161" t="s">
        <v>629</v>
      </c>
      <c r="G135" s="161" t="s">
        <v>630</v>
      </c>
      <c r="H135" s="215" t="s">
        <v>631</v>
      </c>
      <c r="I135" s="161" t="s">
        <v>632</v>
      </c>
      <c r="J135" s="172" t="s">
        <v>61</v>
      </c>
      <c r="K135" s="86" t="s">
        <v>631</v>
      </c>
      <c r="L135" s="173">
        <v>39940</v>
      </c>
      <c r="M135" s="183" t="s">
        <v>90</v>
      </c>
      <c r="N135" s="179" t="s">
        <v>550</v>
      </c>
      <c r="O135" s="180">
        <v>100</v>
      </c>
      <c r="P135" s="161">
        <v>100</v>
      </c>
      <c r="Q135" s="160"/>
      <c r="R135" s="160">
        <v>100</v>
      </c>
      <c r="S135" s="160">
        <v>100</v>
      </c>
      <c r="T135" s="160">
        <v>2</v>
      </c>
      <c r="U135" s="160">
        <v>1</v>
      </c>
      <c r="V135" s="180">
        <v>100</v>
      </c>
      <c r="W135" s="160"/>
      <c r="X135" s="161"/>
      <c r="Y135" s="160">
        <v>1</v>
      </c>
      <c r="Z135" s="160"/>
      <c r="AA135" s="160">
        <v>2</v>
      </c>
      <c r="AB135" s="160">
        <v>100</v>
      </c>
      <c r="AC135" s="78">
        <f t="shared" si="24"/>
        <v>500</v>
      </c>
      <c r="AD135" s="160">
        <f t="shared" si="25"/>
        <v>500</v>
      </c>
      <c r="AE135" s="196">
        <f t="shared" si="26"/>
        <v>500</v>
      </c>
      <c r="AF135" s="201">
        <f t="shared" si="27"/>
        <v>91.2</v>
      </c>
      <c r="AG135" s="160"/>
      <c r="AH135" s="160">
        <v>100</v>
      </c>
      <c r="AI135" s="160">
        <v>2</v>
      </c>
      <c r="AJ135" s="160">
        <f t="shared" si="28"/>
        <v>91</v>
      </c>
      <c r="AK135" s="160"/>
      <c r="AL135" s="161"/>
      <c r="AM135" s="161"/>
      <c r="AN135" s="161"/>
      <c r="AO135" s="161">
        <f t="shared" si="29"/>
        <v>100</v>
      </c>
      <c r="AP135" s="160">
        <f t="shared" si="30"/>
        <v>2</v>
      </c>
      <c r="AQ135" s="126">
        <v>91</v>
      </c>
      <c r="AR135" s="128" t="s">
        <v>633</v>
      </c>
      <c r="AT135" s="128">
        <f t="shared" si="31"/>
        <v>110</v>
      </c>
      <c r="AU135" s="204">
        <f t="shared" si="32"/>
        <v>68.75</v>
      </c>
      <c r="AV135" s="205">
        <f t="shared" si="33"/>
        <v>79.875</v>
      </c>
      <c r="AW135" s="206">
        <f t="shared" si="34"/>
        <v>85.5375</v>
      </c>
      <c r="AX135" s="206">
        <f t="shared" si="35"/>
        <v>90.5853859914683</v>
      </c>
      <c r="AY135" s="207">
        <v>90.5853859914683</v>
      </c>
      <c r="AZ135" s="215" t="s">
        <v>631</v>
      </c>
      <c r="BA135" s="128" t="s">
        <v>631</v>
      </c>
    </row>
    <row r="136" customHeight="1" spans="1:53">
      <c r="A136" s="160">
        <v>16</v>
      </c>
      <c r="B136" s="160">
        <v>168</v>
      </c>
      <c r="C136" s="161" t="s">
        <v>634</v>
      </c>
      <c r="D136" s="124">
        <v>242510292</v>
      </c>
      <c r="E136" s="124" t="s">
        <v>635</v>
      </c>
      <c r="F136" s="161" t="s">
        <v>376</v>
      </c>
      <c r="G136" s="161" t="s">
        <v>377</v>
      </c>
      <c r="H136" s="215" t="s">
        <v>636</v>
      </c>
      <c r="I136" s="161" t="s">
        <v>143</v>
      </c>
      <c r="J136" s="172" t="s">
        <v>76</v>
      </c>
      <c r="K136" s="86" t="s">
        <v>636</v>
      </c>
      <c r="L136" s="173">
        <v>39722</v>
      </c>
      <c r="M136" s="186" t="s">
        <v>171</v>
      </c>
      <c r="N136" s="179" t="s">
        <v>550</v>
      </c>
      <c r="O136" s="180">
        <v>100</v>
      </c>
      <c r="P136" s="161">
        <v>100</v>
      </c>
      <c r="Q136" s="160"/>
      <c r="R136" s="160">
        <v>100</v>
      </c>
      <c r="S136" s="160">
        <v>100</v>
      </c>
      <c r="T136" s="160"/>
      <c r="U136" s="160">
        <v>11</v>
      </c>
      <c r="V136" s="180"/>
      <c r="W136" s="160"/>
      <c r="X136" s="161"/>
      <c r="Y136" s="160"/>
      <c r="Z136" s="160"/>
      <c r="AA136" s="160">
        <v>1</v>
      </c>
      <c r="AB136" s="160">
        <v>92</v>
      </c>
      <c r="AC136" s="78">
        <f t="shared" si="24"/>
        <v>492</v>
      </c>
      <c r="AD136" s="160">
        <f t="shared" si="25"/>
        <v>100</v>
      </c>
      <c r="AE136" s="196">
        <f t="shared" si="26"/>
        <v>413.6</v>
      </c>
      <c r="AF136" s="201">
        <f t="shared" si="27"/>
        <v>87.744</v>
      </c>
      <c r="AG136" s="160"/>
      <c r="AH136" s="160">
        <v>100</v>
      </c>
      <c r="AI136" s="160"/>
      <c r="AJ136" s="160">
        <f t="shared" si="28"/>
        <v>91</v>
      </c>
      <c r="AK136" s="160"/>
      <c r="AL136" s="161"/>
      <c r="AM136" s="161"/>
      <c r="AN136" s="161"/>
      <c r="AO136" s="161">
        <f t="shared" si="29"/>
        <v>100</v>
      </c>
      <c r="AP136" s="160">
        <f t="shared" si="30"/>
        <v>0</v>
      </c>
      <c r="AQ136" s="126">
        <v>91</v>
      </c>
      <c r="AR136" s="128" t="s">
        <v>637</v>
      </c>
      <c r="AT136" s="128">
        <f t="shared" si="31"/>
        <v>90</v>
      </c>
      <c r="AU136" s="204">
        <f t="shared" si="32"/>
        <v>56.25</v>
      </c>
      <c r="AV136" s="205">
        <f t="shared" si="33"/>
        <v>73.625</v>
      </c>
      <c r="AW136" s="206">
        <f t="shared" si="34"/>
        <v>80.6845</v>
      </c>
      <c r="AX136" s="206">
        <f t="shared" si="35"/>
        <v>88.4483831016926</v>
      </c>
      <c r="AY136" s="207">
        <v>88.4483831016926</v>
      </c>
      <c r="AZ136" s="215" t="s">
        <v>636</v>
      </c>
      <c r="BA136" s="128" t="s">
        <v>636</v>
      </c>
    </row>
    <row r="137" customHeight="1" spans="1:53">
      <c r="A137" s="160">
        <v>17</v>
      </c>
      <c r="B137" s="160">
        <v>169</v>
      </c>
      <c r="C137" s="161" t="s">
        <v>638</v>
      </c>
      <c r="D137" s="124">
        <v>242510132</v>
      </c>
      <c r="E137" s="124" t="s">
        <v>639</v>
      </c>
      <c r="F137" s="161" t="s">
        <v>640</v>
      </c>
      <c r="G137" s="161" t="s">
        <v>641</v>
      </c>
      <c r="H137" s="166" t="s">
        <v>642</v>
      </c>
      <c r="I137" s="161" t="s">
        <v>60</v>
      </c>
      <c r="J137" s="172" t="s">
        <v>61</v>
      </c>
      <c r="K137" s="86" t="s">
        <v>642</v>
      </c>
      <c r="L137" s="173">
        <v>40261</v>
      </c>
      <c r="M137" s="186" t="s">
        <v>171</v>
      </c>
      <c r="N137" s="179" t="s">
        <v>550</v>
      </c>
      <c r="O137" s="180">
        <v>100</v>
      </c>
      <c r="P137" s="161">
        <v>100</v>
      </c>
      <c r="Q137" s="160"/>
      <c r="R137" s="160">
        <v>100</v>
      </c>
      <c r="S137" s="160">
        <v>100</v>
      </c>
      <c r="T137" s="160"/>
      <c r="U137" s="160">
        <v>24</v>
      </c>
      <c r="V137" s="180"/>
      <c r="W137" s="160"/>
      <c r="X137" s="161"/>
      <c r="Y137" s="160"/>
      <c r="Z137" s="160"/>
      <c r="AA137" s="160">
        <v>6</v>
      </c>
      <c r="AB137" s="160">
        <v>90</v>
      </c>
      <c r="AC137" s="78">
        <f t="shared" si="24"/>
        <v>490</v>
      </c>
      <c r="AD137" s="160">
        <f t="shared" si="25"/>
        <v>600</v>
      </c>
      <c r="AE137" s="196">
        <f t="shared" si="26"/>
        <v>512</v>
      </c>
      <c r="AF137" s="201">
        <f t="shared" si="27"/>
        <v>91.68</v>
      </c>
      <c r="AG137" s="160"/>
      <c r="AH137" s="160">
        <v>100</v>
      </c>
      <c r="AI137" s="160"/>
      <c r="AJ137" s="160">
        <f t="shared" si="28"/>
        <v>85</v>
      </c>
      <c r="AK137" s="160"/>
      <c r="AL137" s="161"/>
      <c r="AM137" s="161"/>
      <c r="AN137" s="161"/>
      <c r="AO137" s="161">
        <f t="shared" si="29"/>
        <v>100</v>
      </c>
      <c r="AP137" s="160">
        <f t="shared" si="30"/>
        <v>0</v>
      </c>
      <c r="AQ137" s="126">
        <v>85</v>
      </c>
      <c r="AR137" s="128" t="s">
        <v>643</v>
      </c>
      <c r="AT137" s="128">
        <f t="shared" si="31"/>
        <v>90</v>
      </c>
      <c r="AU137" s="204">
        <f t="shared" si="32"/>
        <v>56.25</v>
      </c>
      <c r="AV137" s="205">
        <f t="shared" si="33"/>
        <v>70.625</v>
      </c>
      <c r="AW137" s="206">
        <f t="shared" si="34"/>
        <v>81.1525</v>
      </c>
      <c r="AX137" s="206">
        <f t="shared" si="35"/>
        <v>88.6544653914958</v>
      </c>
      <c r="AY137" s="207">
        <v>88.6544653914958</v>
      </c>
      <c r="AZ137" s="166" t="s">
        <v>642</v>
      </c>
      <c r="BA137" s="128" t="s">
        <v>642</v>
      </c>
    </row>
    <row r="138" customHeight="1" spans="1:53">
      <c r="A138" s="160">
        <v>18</v>
      </c>
      <c r="B138" s="160">
        <v>170</v>
      </c>
      <c r="C138" s="161" t="s">
        <v>644</v>
      </c>
      <c r="D138" s="124">
        <v>242510134</v>
      </c>
      <c r="E138" s="124" t="s">
        <v>645</v>
      </c>
      <c r="F138" s="161" t="s">
        <v>646</v>
      </c>
      <c r="G138" s="161" t="s">
        <v>647</v>
      </c>
      <c r="H138" s="166" t="s">
        <v>648</v>
      </c>
      <c r="I138" s="161" t="s">
        <v>60</v>
      </c>
      <c r="J138" s="172" t="s">
        <v>61</v>
      </c>
      <c r="K138" s="86" t="s">
        <v>648</v>
      </c>
      <c r="L138" s="173">
        <v>39893</v>
      </c>
      <c r="M138" s="182" t="s">
        <v>77</v>
      </c>
      <c r="N138" s="179" t="s">
        <v>550</v>
      </c>
      <c r="O138" s="180">
        <v>100</v>
      </c>
      <c r="P138" s="161">
        <v>100</v>
      </c>
      <c r="Q138" s="160">
        <v>1</v>
      </c>
      <c r="R138" s="160">
        <v>100</v>
      </c>
      <c r="S138" s="160">
        <v>100</v>
      </c>
      <c r="T138" s="160">
        <v>1</v>
      </c>
      <c r="U138" s="160">
        <v>27</v>
      </c>
      <c r="V138" s="180"/>
      <c r="W138" s="160"/>
      <c r="X138" s="161"/>
      <c r="Y138" s="160">
        <v>1</v>
      </c>
      <c r="Z138" s="160"/>
      <c r="AA138" s="160"/>
      <c r="AB138" s="160">
        <v>100</v>
      </c>
      <c r="AC138" s="78">
        <f t="shared" si="24"/>
        <v>500</v>
      </c>
      <c r="AD138" s="160">
        <f t="shared" si="25"/>
        <v>300</v>
      </c>
      <c r="AE138" s="196">
        <f t="shared" si="26"/>
        <v>460</v>
      </c>
      <c r="AF138" s="201">
        <f t="shared" si="27"/>
        <v>89.6</v>
      </c>
      <c r="AG138" s="160"/>
      <c r="AH138" s="160">
        <v>100</v>
      </c>
      <c r="AI138" s="160"/>
      <c r="AJ138" s="160">
        <f t="shared" si="28"/>
        <v>94</v>
      </c>
      <c r="AK138" s="160"/>
      <c r="AL138" s="161"/>
      <c r="AM138" s="161"/>
      <c r="AN138" s="161"/>
      <c r="AO138" s="161">
        <f t="shared" si="29"/>
        <v>100</v>
      </c>
      <c r="AP138" s="160">
        <f t="shared" si="30"/>
        <v>0</v>
      </c>
      <c r="AQ138" s="126">
        <v>94</v>
      </c>
      <c r="AR138" s="128" t="s">
        <v>649</v>
      </c>
      <c r="AT138" s="128">
        <f t="shared" si="31"/>
        <v>90</v>
      </c>
      <c r="AU138" s="204">
        <f t="shared" si="32"/>
        <v>56.25</v>
      </c>
      <c r="AV138" s="205">
        <f t="shared" si="33"/>
        <v>75.125</v>
      </c>
      <c r="AW138" s="206">
        <f t="shared" si="34"/>
        <v>82.3625</v>
      </c>
      <c r="AX138" s="206">
        <f t="shared" si="35"/>
        <v>89.1872849869272</v>
      </c>
      <c r="AY138" s="207">
        <v>89.1872849869272</v>
      </c>
      <c r="AZ138" s="166" t="s">
        <v>648</v>
      </c>
      <c r="BA138" s="128" t="s">
        <v>648</v>
      </c>
    </row>
    <row r="139" customHeight="1" spans="1:53">
      <c r="A139" s="160">
        <v>19</v>
      </c>
      <c r="B139" s="160">
        <v>171</v>
      </c>
      <c r="C139" s="161" t="s">
        <v>650</v>
      </c>
      <c r="D139" s="124">
        <v>242510020</v>
      </c>
      <c r="E139" s="124" t="s">
        <v>651</v>
      </c>
      <c r="F139" s="161" t="s">
        <v>652</v>
      </c>
      <c r="G139" s="161" t="s">
        <v>653</v>
      </c>
      <c r="H139" s="215" t="s">
        <v>654</v>
      </c>
      <c r="I139" s="161" t="s">
        <v>60</v>
      </c>
      <c r="J139" s="172" t="s">
        <v>76</v>
      </c>
      <c r="K139" s="86" t="s">
        <v>654</v>
      </c>
      <c r="L139" s="173">
        <v>39811</v>
      </c>
      <c r="M139" s="182" t="s">
        <v>77</v>
      </c>
      <c r="N139" s="179" t="s">
        <v>550</v>
      </c>
      <c r="O139" s="180">
        <v>100</v>
      </c>
      <c r="P139" s="161">
        <v>100</v>
      </c>
      <c r="Q139" s="160"/>
      <c r="R139" s="160">
        <v>100</v>
      </c>
      <c r="S139" s="160">
        <v>100</v>
      </c>
      <c r="T139" s="160"/>
      <c r="U139" s="160">
        <v>34</v>
      </c>
      <c r="V139" s="180"/>
      <c r="W139" s="160"/>
      <c r="X139" s="161"/>
      <c r="Y139" s="160"/>
      <c r="Z139" s="160"/>
      <c r="AA139" s="160"/>
      <c r="AB139" s="160">
        <v>94</v>
      </c>
      <c r="AC139" s="78">
        <f t="shared" si="24"/>
        <v>494</v>
      </c>
      <c r="AD139" s="160">
        <f t="shared" si="25"/>
        <v>0</v>
      </c>
      <c r="AE139" s="196">
        <f t="shared" si="26"/>
        <v>395.2</v>
      </c>
      <c r="AF139" s="201">
        <f t="shared" si="27"/>
        <v>87.008</v>
      </c>
      <c r="AG139" s="160"/>
      <c r="AH139" s="160">
        <v>100</v>
      </c>
      <c r="AI139" s="160"/>
      <c r="AJ139" s="160">
        <f t="shared" si="28"/>
        <v>91</v>
      </c>
      <c r="AK139" s="160"/>
      <c r="AL139" s="161"/>
      <c r="AM139" s="161"/>
      <c r="AN139" s="161"/>
      <c r="AO139" s="161">
        <f t="shared" si="29"/>
        <v>100</v>
      </c>
      <c r="AP139" s="160">
        <f t="shared" si="30"/>
        <v>0</v>
      </c>
      <c r="AQ139" s="126">
        <v>91</v>
      </c>
      <c r="AR139" s="128" t="s">
        <v>655</v>
      </c>
      <c r="AT139" s="128">
        <f t="shared" si="31"/>
        <v>90</v>
      </c>
      <c r="AU139" s="204">
        <f t="shared" si="32"/>
        <v>56.25</v>
      </c>
      <c r="AV139" s="205">
        <f t="shared" si="33"/>
        <v>73.625</v>
      </c>
      <c r="AW139" s="206">
        <f t="shared" si="34"/>
        <v>80.3165</v>
      </c>
      <c r="AX139" s="206">
        <f t="shared" si="35"/>
        <v>88.2863354891977</v>
      </c>
      <c r="AY139" s="207">
        <v>88.2863354891977</v>
      </c>
      <c r="AZ139" s="215" t="s">
        <v>654</v>
      </c>
      <c r="BA139" s="128" t="s">
        <v>654</v>
      </c>
    </row>
    <row r="140" customHeight="1" spans="1:53">
      <c r="A140" s="160">
        <v>20</v>
      </c>
      <c r="B140" s="160">
        <v>172</v>
      </c>
      <c r="C140" s="161" t="s">
        <v>656</v>
      </c>
      <c r="D140" s="124">
        <v>242510258</v>
      </c>
      <c r="E140" s="124" t="s">
        <v>657</v>
      </c>
      <c r="F140" s="161" t="s">
        <v>658</v>
      </c>
      <c r="G140" s="161" t="s">
        <v>659</v>
      </c>
      <c r="H140" s="166" t="s">
        <v>660</v>
      </c>
      <c r="I140" s="161" t="s">
        <v>60</v>
      </c>
      <c r="J140" s="172" t="s">
        <v>61</v>
      </c>
      <c r="K140" s="86" t="s">
        <v>661</v>
      </c>
      <c r="L140" s="173">
        <v>39963</v>
      </c>
      <c r="M140" s="183" t="s">
        <v>90</v>
      </c>
      <c r="N140" s="179" t="s">
        <v>550</v>
      </c>
      <c r="O140" s="180">
        <v>100</v>
      </c>
      <c r="P140" s="161">
        <v>100</v>
      </c>
      <c r="Q140" s="160"/>
      <c r="R140" s="160">
        <v>100</v>
      </c>
      <c r="S140" s="160">
        <v>100</v>
      </c>
      <c r="T140" s="160"/>
      <c r="U140" s="160">
        <v>30</v>
      </c>
      <c r="V140" s="180"/>
      <c r="W140" s="160"/>
      <c r="X140" s="161"/>
      <c r="Y140" s="160"/>
      <c r="Z140" s="160"/>
      <c r="AA140" s="160"/>
      <c r="AB140" s="160">
        <v>95</v>
      </c>
      <c r="AC140" s="78">
        <f t="shared" si="24"/>
        <v>495</v>
      </c>
      <c r="AD140" s="160">
        <f t="shared" si="25"/>
        <v>0</v>
      </c>
      <c r="AE140" s="196">
        <f t="shared" si="26"/>
        <v>396</v>
      </c>
      <c r="AF140" s="201">
        <f t="shared" si="27"/>
        <v>87.04</v>
      </c>
      <c r="AG140" s="160"/>
      <c r="AH140" s="160">
        <v>100</v>
      </c>
      <c r="AI140" s="160"/>
      <c r="AJ140" s="160">
        <f t="shared" si="28"/>
        <v>94</v>
      </c>
      <c r="AK140" s="160"/>
      <c r="AL140" s="161"/>
      <c r="AM140" s="161"/>
      <c r="AN140" s="161"/>
      <c r="AO140" s="161">
        <f t="shared" si="29"/>
        <v>100</v>
      </c>
      <c r="AP140" s="160">
        <f t="shared" si="30"/>
        <v>0</v>
      </c>
      <c r="AQ140" s="126">
        <v>94</v>
      </c>
      <c r="AR140" s="128" t="s">
        <v>662</v>
      </c>
      <c r="AT140" s="128">
        <f t="shared" si="31"/>
        <v>90</v>
      </c>
      <c r="AU140" s="204">
        <f t="shared" si="32"/>
        <v>56.25</v>
      </c>
      <c r="AV140" s="205">
        <f t="shared" si="33"/>
        <v>75.125</v>
      </c>
      <c r="AW140" s="206">
        <f t="shared" si="34"/>
        <v>81.0825</v>
      </c>
      <c r="AX140" s="206">
        <f t="shared" si="35"/>
        <v>88.6236411173799</v>
      </c>
      <c r="AY140" s="207">
        <v>88.6236411173799</v>
      </c>
      <c r="AZ140" s="166" t="s">
        <v>660</v>
      </c>
      <c r="BA140" s="128" t="s">
        <v>661</v>
      </c>
    </row>
    <row r="141" customHeight="1" spans="1:53">
      <c r="A141" s="160">
        <v>21</v>
      </c>
      <c r="B141" s="160">
        <v>173</v>
      </c>
      <c r="C141" s="161" t="s">
        <v>663</v>
      </c>
      <c r="D141" s="124">
        <v>242510298</v>
      </c>
      <c r="E141" s="124" t="s">
        <v>664</v>
      </c>
      <c r="F141" s="161" t="s">
        <v>665</v>
      </c>
      <c r="G141" s="161" t="s">
        <v>666</v>
      </c>
      <c r="H141" s="215" t="s">
        <v>667</v>
      </c>
      <c r="I141" s="161" t="s">
        <v>668</v>
      </c>
      <c r="J141" s="89" t="s">
        <v>61</v>
      </c>
      <c r="K141" s="86" t="s">
        <v>667</v>
      </c>
      <c r="L141" s="173">
        <v>40075</v>
      </c>
      <c r="M141" s="185" t="s">
        <v>144</v>
      </c>
      <c r="N141" s="179" t="s">
        <v>550</v>
      </c>
      <c r="O141" s="180">
        <v>100</v>
      </c>
      <c r="P141" s="161">
        <v>100</v>
      </c>
      <c r="Q141" s="160"/>
      <c r="R141" s="160">
        <v>100</v>
      </c>
      <c r="S141" s="160">
        <v>100</v>
      </c>
      <c r="T141" s="160"/>
      <c r="U141" s="160">
        <v>15</v>
      </c>
      <c r="V141" s="180"/>
      <c r="W141" s="160"/>
      <c r="X141" s="161"/>
      <c r="Y141" s="160"/>
      <c r="Z141" s="160"/>
      <c r="AA141" s="160"/>
      <c r="AB141" s="160">
        <v>100</v>
      </c>
      <c r="AC141" s="78">
        <f t="shared" si="24"/>
        <v>500</v>
      </c>
      <c r="AD141" s="160">
        <f t="shared" si="25"/>
        <v>0</v>
      </c>
      <c r="AE141" s="196">
        <f t="shared" si="26"/>
        <v>400</v>
      </c>
      <c r="AF141" s="201">
        <f t="shared" si="27"/>
        <v>87.2</v>
      </c>
      <c r="AG141" s="160"/>
      <c r="AH141" s="160">
        <v>100</v>
      </c>
      <c r="AI141" s="160"/>
      <c r="AJ141" s="160">
        <f t="shared" si="28"/>
        <v>94</v>
      </c>
      <c r="AK141" s="160"/>
      <c r="AL141" s="161"/>
      <c r="AM141" s="161"/>
      <c r="AN141" s="161"/>
      <c r="AO141" s="161">
        <f t="shared" si="29"/>
        <v>100</v>
      </c>
      <c r="AP141" s="160">
        <f t="shared" si="30"/>
        <v>0</v>
      </c>
      <c r="AQ141" s="126">
        <v>94</v>
      </c>
      <c r="AR141" s="128" t="s">
        <v>669</v>
      </c>
      <c r="AT141" s="128">
        <f t="shared" si="31"/>
        <v>90</v>
      </c>
      <c r="AU141" s="204">
        <f t="shared" si="32"/>
        <v>56.25</v>
      </c>
      <c r="AV141" s="205">
        <f t="shared" si="33"/>
        <v>75.125</v>
      </c>
      <c r="AW141" s="206">
        <f t="shared" si="34"/>
        <v>81.1625</v>
      </c>
      <c r="AX141" s="206">
        <f t="shared" si="35"/>
        <v>88.6588688592266</v>
      </c>
      <c r="AY141" s="207">
        <v>88.6588688592266</v>
      </c>
      <c r="AZ141" s="215" t="s">
        <v>667</v>
      </c>
      <c r="BA141" s="128" t="s">
        <v>667</v>
      </c>
    </row>
    <row r="142" customHeight="1" spans="1:53">
      <c r="A142" s="160">
        <v>22</v>
      </c>
      <c r="B142" s="160">
        <v>174</v>
      </c>
      <c r="C142" s="161" t="s">
        <v>670</v>
      </c>
      <c r="D142" s="124">
        <v>242510221</v>
      </c>
      <c r="E142" s="124" t="s">
        <v>671</v>
      </c>
      <c r="F142" s="161" t="s">
        <v>672</v>
      </c>
      <c r="G142" s="161" t="s">
        <v>673</v>
      </c>
      <c r="H142" s="166" t="s">
        <v>674</v>
      </c>
      <c r="I142" s="161" t="s">
        <v>60</v>
      </c>
      <c r="J142" s="172" t="s">
        <v>61</v>
      </c>
      <c r="K142" s="86" t="s">
        <v>674</v>
      </c>
      <c r="L142" s="173">
        <v>39637</v>
      </c>
      <c r="M142" s="183" t="s">
        <v>90</v>
      </c>
      <c r="N142" s="179" t="s">
        <v>550</v>
      </c>
      <c r="O142" s="180">
        <v>100</v>
      </c>
      <c r="P142" s="161">
        <v>100</v>
      </c>
      <c r="Q142" s="160"/>
      <c r="R142" s="160">
        <v>100</v>
      </c>
      <c r="S142" s="160">
        <v>100</v>
      </c>
      <c r="T142" s="160"/>
      <c r="U142" s="160">
        <v>28</v>
      </c>
      <c r="V142" s="180"/>
      <c r="W142" s="160"/>
      <c r="X142" s="161"/>
      <c r="Y142" s="160"/>
      <c r="Z142" s="160"/>
      <c r="AA142" s="160"/>
      <c r="AB142" s="160">
        <v>98</v>
      </c>
      <c r="AC142" s="78">
        <f t="shared" si="24"/>
        <v>498</v>
      </c>
      <c r="AD142" s="160">
        <f t="shared" si="25"/>
        <v>0</v>
      </c>
      <c r="AE142" s="196">
        <f t="shared" si="26"/>
        <v>398.4</v>
      </c>
      <c r="AF142" s="201">
        <f t="shared" si="27"/>
        <v>87.136</v>
      </c>
      <c r="AG142" s="160"/>
      <c r="AH142" s="160">
        <v>100</v>
      </c>
      <c r="AI142" s="160"/>
      <c r="AJ142" s="160">
        <f t="shared" si="28"/>
        <v>82</v>
      </c>
      <c r="AK142" s="160"/>
      <c r="AL142" s="161"/>
      <c r="AM142" s="161"/>
      <c r="AN142" s="161"/>
      <c r="AO142" s="161">
        <f t="shared" si="29"/>
        <v>100</v>
      </c>
      <c r="AP142" s="160">
        <f t="shared" si="30"/>
        <v>0</v>
      </c>
      <c r="AQ142" s="126">
        <v>82</v>
      </c>
      <c r="AR142" s="128" t="s">
        <v>675</v>
      </c>
      <c r="AT142" s="128">
        <f t="shared" si="31"/>
        <v>90</v>
      </c>
      <c r="AU142" s="204">
        <f t="shared" si="32"/>
        <v>56.25</v>
      </c>
      <c r="AV142" s="205">
        <f t="shared" si="33"/>
        <v>69.125</v>
      </c>
      <c r="AW142" s="206">
        <f t="shared" si="34"/>
        <v>78.1305</v>
      </c>
      <c r="AX142" s="206">
        <f t="shared" si="35"/>
        <v>87.3237374432365</v>
      </c>
      <c r="AY142" s="207">
        <v>87.3237374432365</v>
      </c>
      <c r="AZ142" s="166" t="s">
        <v>674</v>
      </c>
      <c r="BA142" s="128" t="s">
        <v>674</v>
      </c>
    </row>
    <row r="143" customHeight="1" spans="1:53">
      <c r="A143" s="160">
        <v>23</v>
      </c>
      <c r="B143" s="160">
        <v>176</v>
      </c>
      <c r="C143" s="161" t="s">
        <v>676</v>
      </c>
      <c r="D143" s="124">
        <v>242510024</v>
      </c>
      <c r="E143" s="124" t="s">
        <v>677</v>
      </c>
      <c r="F143" s="161" t="s">
        <v>678</v>
      </c>
      <c r="G143" s="161" t="s">
        <v>679</v>
      </c>
      <c r="H143" s="215" t="s">
        <v>680</v>
      </c>
      <c r="I143" s="161" t="s">
        <v>604</v>
      </c>
      <c r="J143" s="172" t="s">
        <v>76</v>
      </c>
      <c r="K143" s="86" t="s">
        <v>680</v>
      </c>
      <c r="L143" s="173">
        <v>39587</v>
      </c>
      <c r="M143" s="183" t="s">
        <v>90</v>
      </c>
      <c r="N143" s="179" t="s">
        <v>550</v>
      </c>
      <c r="O143" s="180">
        <v>100</v>
      </c>
      <c r="P143" s="161">
        <v>100</v>
      </c>
      <c r="Q143" s="160"/>
      <c r="R143" s="160">
        <v>100</v>
      </c>
      <c r="S143" s="160">
        <v>100</v>
      </c>
      <c r="T143" s="160"/>
      <c r="U143" s="160">
        <v>5</v>
      </c>
      <c r="V143" s="180">
        <v>100</v>
      </c>
      <c r="W143" s="160"/>
      <c r="X143" s="161"/>
      <c r="Y143" s="160"/>
      <c r="Z143" s="160"/>
      <c r="AA143" s="160">
        <v>6</v>
      </c>
      <c r="AB143" s="160">
        <v>100</v>
      </c>
      <c r="AC143" s="78">
        <f t="shared" si="24"/>
        <v>500</v>
      </c>
      <c r="AD143" s="160">
        <f t="shared" si="25"/>
        <v>600</v>
      </c>
      <c r="AE143" s="196">
        <f t="shared" si="26"/>
        <v>520</v>
      </c>
      <c r="AF143" s="201">
        <f t="shared" si="27"/>
        <v>92</v>
      </c>
      <c r="AG143" s="160"/>
      <c r="AH143" s="160">
        <v>100</v>
      </c>
      <c r="AI143" s="160"/>
      <c r="AJ143" s="160">
        <f t="shared" si="28"/>
        <v>94</v>
      </c>
      <c r="AK143" s="160"/>
      <c r="AL143" s="161"/>
      <c r="AM143" s="161"/>
      <c r="AN143" s="161"/>
      <c r="AO143" s="161">
        <f t="shared" si="29"/>
        <v>100</v>
      </c>
      <c r="AP143" s="160">
        <f t="shared" si="30"/>
        <v>0</v>
      </c>
      <c r="AQ143" s="126">
        <v>94</v>
      </c>
      <c r="AR143" s="128" t="s">
        <v>681</v>
      </c>
      <c r="AT143" s="128">
        <f t="shared" si="31"/>
        <v>90</v>
      </c>
      <c r="AU143" s="204">
        <f t="shared" si="32"/>
        <v>56.25</v>
      </c>
      <c r="AV143" s="205">
        <f t="shared" si="33"/>
        <v>75.125</v>
      </c>
      <c r="AW143" s="206">
        <f t="shared" si="34"/>
        <v>83.5625</v>
      </c>
      <c r="AX143" s="206">
        <f t="shared" si="35"/>
        <v>89.7157011146278</v>
      </c>
      <c r="AY143" s="207">
        <v>89.7157011146278</v>
      </c>
      <c r="AZ143" s="215" t="s">
        <v>680</v>
      </c>
      <c r="BA143" s="128" t="s">
        <v>680</v>
      </c>
    </row>
    <row r="144" customHeight="1" spans="1:53">
      <c r="A144" s="160">
        <v>24</v>
      </c>
      <c r="B144" s="160">
        <v>177</v>
      </c>
      <c r="C144" s="161" t="s">
        <v>682</v>
      </c>
      <c r="D144" s="124">
        <v>242510182</v>
      </c>
      <c r="E144" s="124" t="s">
        <v>683</v>
      </c>
      <c r="F144" s="161" t="s">
        <v>684</v>
      </c>
      <c r="G144" s="161" t="s">
        <v>685</v>
      </c>
      <c r="H144" s="166" t="s">
        <v>686</v>
      </c>
      <c r="I144" s="161" t="s">
        <v>281</v>
      </c>
      <c r="J144" s="172" t="s">
        <v>61</v>
      </c>
      <c r="K144" s="86" t="s">
        <v>686</v>
      </c>
      <c r="L144" s="173">
        <v>39687</v>
      </c>
      <c r="M144" s="181" t="s">
        <v>53</v>
      </c>
      <c r="N144" s="179" t="s">
        <v>550</v>
      </c>
      <c r="O144" s="180">
        <v>100</v>
      </c>
      <c r="P144" s="161">
        <v>100</v>
      </c>
      <c r="Q144" s="160"/>
      <c r="R144" s="160">
        <v>100</v>
      </c>
      <c r="S144" s="160">
        <v>100</v>
      </c>
      <c r="T144" s="160"/>
      <c r="U144" s="160">
        <v>31</v>
      </c>
      <c r="V144" s="180"/>
      <c r="W144" s="160"/>
      <c r="X144" s="161"/>
      <c r="Y144" s="160"/>
      <c r="Z144" s="160"/>
      <c r="AA144" s="160"/>
      <c r="AB144" s="160">
        <v>90</v>
      </c>
      <c r="AC144" s="78">
        <f t="shared" si="24"/>
        <v>490</v>
      </c>
      <c r="AD144" s="160">
        <f t="shared" si="25"/>
        <v>0</v>
      </c>
      <c r="AE144" s="196">
        <f t="shared" si="26"/>
        <v>392</v>
      </c>
      <c r="AF144" s="201">
        <f t="shared" si="27"/>
        <v>86.88</v>
      </c>
      <c r="AG144" s="160"/>
      <c r="AH144" s="160">
        <v>100</v>
      </c>
      <c r="AI144" s="160"/>
      <c r="AJ144" s="160">
        <f t="shared" si="28"/>
        <v>94</v>
      </c>
      <c r="AK144" s="160"/>
      <c r="AL144" s="161"/>
      <c r="AM144" s="161"/>
      <c r="AN144" s="161"/>
      <c r="AO144" s="161">
        <f t="shared" si="29"/>
        <v>100</v>
      </c>
      <c r="AP144" s="160">
        <f t="shared" si="30"/>
        <v>0</v>
      </c>
      <c r="AQ144" s="126">
        <v>94</v>
      </c>
      <c r="AR144" s="128" t="s">
        <v>687</v>
      </c>
      <c r="AT144" s="128">
        <f t="shared" si="31"/>
        <v>90</v>
      </c>
      <c r="AU144" s="204">
        <f t="shared" si="32"/>
        <v>56.25</v>
      </c>
      <c r="AV144" s="205">
        <f t="shared" si="33"/>
        <v>75.125</v>
      </c>
      <c r="AW144" s="206">
        <f t="shared" si="34"/>
        <v>81.0025</v>
      </c>
      <c r="AX144" s="206">
        <f t="shared" si="35"/>
        <v>88.5884133755332</v>
      </c>
      <c r="AY144" s="207">
        <v>88.5884133755332</v>
      </c>
      <c r="AZ144" s="166" t="s">
        <v>686</v>
      </c>
      <c r="BA144" s="128" t="s">
        <v>686</v>
      </c>
    </row>
    <row r="145" customHeight="1" spans="1:53">
      <c r="A145" s="160">
        <v>25</v>
      </c>
      <c r="B145" s="160">
        <v>178</v>
      </c>
      <c r="C145" s="161" t="s">
        <v>688</v>
      </c>
      <c r="D145" s="124">
        <v>242510183</v>
      </c>
      <c r="E145" s="124" t="s">
        <v>689</v>
      </c>
      <c r="F145" s="161" t="s">
        <v>690</v>
      </c>
      <c r="G145" s="161" t="s">
        <v>691</v>
      </c>
      <c r="H145" s="215" t="s">
        <v>692</v>
      </c>
      <c r="I145" s="161" t="s">
        <v>60</v>
      </c>
      <c r="J145" s="172" t="s">
        <v>76</v>
      </c>
      <c r="K145" s="86" t="s">
        <v>692</v>
      </c>
      <c r="L145" s="173">
        <v>39784</v>
      </c>
      <c r="M145" s="183" t="s">
        <v>90</v>
      </c>
      <c r="N145" s="179" t="s">
        <v>550</v>
      </c>
      <c r="O145" s="180">
        <v>100</v>
      </c>
      <c r="P145" s="161">
        <v>100</v>
      </c>
      <c r="Q145" s="160"/>
      <c r="R145" s="160">
        <v>100</v>
      </c>
      <c r="S145" s="160">
        <v>100</v>
      </c>
      <c r="T145" s="160"/>
      <c r="U145" s="160">
        <v>7</v>
      </c>
      <c r="V145" s="180"/>
      <c r="W145" s="160"/>
      <c r="X145" s="161"/>
      <c r="Y145" s="160"/>
      <c r="Z145" s="160"/>
      <c r="AA145" s="160">
        <v>1</v>
      </c>
      <c r="AB145" s="160">
        <v>95</v>
      </c>
      <c r="AC145" s="78">
        <f t="shared" si="24"/>
        <v>495</v>
      </c>
      <c r="AD145" s="160">
        <f t="shared" si="25"/>
        <v>100</v>
      </c>
      <c r="AE145" s="196">
        <f t="shared" si="26"/>
        <v>416</v>
      </c>
      <c r="AF145" s="201">
        <f t="shared" si="27"/>
        <v>87.84</v>
      </c>
      <c r="AG145" s="160"/>
      <c r="AH145" s="160">
        <v>100</v>
      </c>
      <c r="AI145" s="160"/>
      <c r="AJ145" s="160">
        <f t="shared" si="28"/>
        <v>94</v>
      </c>
      <c r="AK145" s="160"/>
      <c r="AL145" s="161"/>
      <c r="AM145" s="161"/>
      <c r="AN145" s="161"/>
      <c r="AO145" s="161">
        <f t="shared" si="29"/>
        <v>100</v>
      </c>
      <c r="AP145" s="160">
        <f t="shared" si="30"/>
        <v>0</v>
      </c>
      <c r="AQ145" s="126">
        <v>94</v>
      </c>
      <c r="AR145" s="128" t="s">
        <v>693</v>
      </c>
      <c r="AT145" s="128">
        <f t="shared" si="31"/>
        <v>90</v>
      </c>
      <c r="AU145" s="204">
        <f t="shared" si="32"/>
        <v>56.25</v>
      </c>
      <c r="AV145" s="205">
        <f t="shared" si="33"/>
        <v>75.125</v>
      </c>
      <c r="AW145" s="206">
        <f t="shared" si="34"/>
        <v>81.4825</v>
      </c>
      <c r="AX145" s="206">
        <f t="shared" si="35"/>
        <v>88.7997798266135</v>
      </c>
      <c r="AY145" s="207">
        <v>88.7997798266135</v>
      </c>
      <c r="AZ145" s="215" t="s">
        <v>692</v>
      </c>
      <c r="BA145" s="128" t="s">
        <v>692</v>
      </c>
    </row>
    <row r="146" customHeight="1" spans="1:53">
      <c r="A146" s="160">
        <v>26</v>
      </c>
      <c r="B146" s="160">
        <v>180</v>
      </c>
      <c r="C146" s="161" t="s">
        <v>694</v>
      </c>
      <c r="D146" s="124">
        <v>242510262</v>
      </c>
      <c r="E146" s="124" t="s">
        <v>695</v>
      </c>
      <c r="F146" s="161" t="s">
        <v>696</v>
      </c>
      <c r="G146" s="161" t="s">
        <v>697</v>
      </c>
      <c r="H146" s="166" t="s">
        <v>698</v>
      </c>
      <c r="I146" s="161" t="s">
        <v>699</v>
      </c>
      <c r="J146" s="89" t="s">
        <v>76</v>
      </c>
      <c r="K146" s="86" t="s">
        <v>698</v>
      </c>
      <c r="L146" s="173">
        <v>39766</v>
      </c>
      <c r="M146" s="183" t="s">
        <v>90</v>
      </c>
      <c r="N146" s="179" t="s">
        <v>550</v>
      </c>
      <c r="O146" s="180">
        <v>100</v>
      </c>
      <c r="P146" s="161">
        <v>100</v>
      </c>
      <c r="Q146" s="160"/>
      <c r="R146" s="160">
        <v>100</v>
      </c>
      <c r="S146" s="160">
        <v>100</v>
      </c>
      <c r="T146" s="160"/>
      <c r="U146" s="160"/>
      <c r="V146" s="180"/>
      <c r="W146" s="160"/>
      <c r="X146" s="161"/>
      <c r="Y146" s="160"/>
      <c r="Z146" s="160"/>
      <c r="AA146" s="160"/>
      <c r="AB146" s="160">
        <v>100</v>
      </c>
      <c r="AC146" s="78">
        <f t="shared" si="24"/>
        <v>500</v>
      </c>
      <c r="AD146" s="160">
        <f t="shared" si="25"/>
        <v>0</v>
      </c>
      <c r="AE146" s="196">
        <f t="shared" si="26"/>
        <v>400</v>
      </c>
      <c r="AF146" s="201">
        <f t="shared" si="27"/>
        <v>87.2</v>
      </c>
      <c r="AG146" s="160"/>
      <c r="AH146" s="160">
        <v>100</v>
      </c>
      <c r="AI146" s="160"/>
      <c r="AJ146" s="160">
        <f t="shared" si="28"/>
        <v>76</v>
      </c>
      <c r="AK146" s="160"/>
      <c r="AL146" s="161"/>
      <c r="AM146" s="161"/>
      <c r="AN146" s="161"/>
      <c r="AO146" s="161">
        <f t="shared" si="29"/>
        <v>100</v>
      </c>
      <c r="AP146" s="160">
        <f t="shared" si="30"/>
        <v>0</v>
      </c>
      <c r="AQ146" s="126">
        <v>76</v>
      </c>
      <c r="AR146" s="128" t="s">
        <v>700</v>
      </c>
      <c r="AT146" s="128">
        <f t="shared" si="31"/>
        <v>90</v>
      </c>
      <c r="AU146" s="204">
        <f t="shared" si="32"/>
        <v>56.25</v>
      </c>
      <c r="AV146" s="205">
        <f t="shared" si="33"/>
        <v>66.125</v>
      </c>
      <c r="AW146" s="206">
        <f t="shared" si="34"/>
        <v>76.6625</v>
      </c>
      <c r="AX146" s="206">
        <f t="shared" si="35"/>
        <v>86.6773083803495</v>
      </c>
      <c r="AY146" s="207">
        <v>86.6773083803495</v>
      </c>
      <c r="AZ146" s="166" t="s">
        <v>698</v>
      </c>
      <c r="BA146" s="128" t="s">
        <v>698</v>
      </c>
    </row>
    <row r="147" customHeight="1" spans="1:53">
      <c r="A147" s="160">
        <v>27</v>
      </c>
      <c r="B147" s="160">
        <v>181</v>
      </c>
      <c r="C147" s="161" t="s">
        <v>701</v>
      </c>
      <c r="D147" s="124">
        <v>242510259</v>
      </c>
      <c r="E147" s="124" t="s">
        <v>702</v>
      </c>
      <c r="F147" s="161" t="s">
        <v>703</v>
      </c>
      <c r="G147" s="161" t="s">
        <v>704</v>
      </c>
      <c r="H147" s="166" t="s">
        <v>705</v>
      </c>
      <c r="I147" s="161" t="s">
        <v>143</v>
      </c>
      <c r="J147" s="172" t="s">
        <v>76</v>
      </c>
      <c r="K147" s="86" t="s">
        <v>705</v>
      </c>
      <c r="L147" s="173">
        <v>39722</v>
      </c>
      <c r="M147" s="183" t="s">
        <v>90</v>
      </c>
      <c r="N147" s="179" t="s">
        <v>550</v>
      </c>
      <c r="O147" s="180">
        <v>100</v>
      </c>
      <c r="P147" s="161">
        <v>100</v>
      </c>
      <c r="Q147" s="160"/>
      <c r="R147" s="160">
        <v>100</v>
      </c>
      <c r="S147" s="160">
        <v>100</v>
      </c>
      <c r="T147" s="160">
        <v>1</v>
      </c>
      <c r="U147" s="160">
        <v>4</v>
      </c>
      <c r="V147" s="180">
        <v>80</v>
      </c>
      <c r="W147" s="160"/>
      <c r="X147" s="161"/>
      <c r="Y147" s="160">
        <v>1</v>
      </c>
      <c r="Z147" s="160"/>
      <c r="AA147" s="160"/>
      <c r="AB147" s="160">
        <v>100</v>
      </c>
      <c r="AC147" s="78">
        <f t="shared" si="24"/>
        <v>500</v>
      </c>
      <c r="AD147" s="160">
        <f t="shared" si="25"/>
        <v>200</v>
      </c>
      <c r="AE147" s="196">
        <f t="shared" si="26"/>
        <v>440</v>
      </c>
      <c r="AF147" s="201">
        <f t="shared" si="27"/>
        <v>88.8</v>
      </c>
      <c r="AG147" s="160"/>
      <c r="AH147" s="160">
        <v>100</v>
      </c>
      <c r="AI147" s="160">
        <v>1</v>
      </c>
      <c r="AJ147" s="160">
        <f t="shared" si="28"/>
        <v>94</v>
      </c>
      <c r="AK147" s="160"/>
      <c r="AL147" s="161"/>
      <c r="AM147" s="161"/>
      <c r="AN147" s="161"/>
      <c r="AO147" s="161">
        <f t="shared" si="29"/>
        <v>100</v>
      </c>
      <c r="AP147" s="160">
        <f t="shared" si="30"/>
        <v>1</v>
      </c>
      <c r="AQ147" s="126">
        <v>94</v>
      </c>
      <c r="AR147" s="128" t="s">
        <v>706</v>
      </c>
      <c r="AT147" s="128">
        <f t="shared" si="31"/>
        <v>100</v>
      </c>
      <c r="AU147" s="204">
        <f t="shared" si="32"/>
        <v>62.5</v>
      </c>
      <c r="AV147" s="205">
        <f t="shared" si="33"/>
        <v>78.25</v>
      </c>
      <c r="AW147" s="206">
        <f t="shared" si="34"/>
        <v>83.525</v>
      </c>
      <c r="AX147" s="206">
        <f t="shared" si="35"/>
        <v>89.6991881106371</v>
      </c>
      <c r="AY147" s="207">
        <v>89.6991881106371</v>
      </c>
      <c r="AZ147" s="166" t="s">
        <v>705</v>
      </c>
      <c r="BA147" s="128" t="s">
        <v>705</v>
      </c>
    </row>
    <row r="148" customHeight="1" spans="1:53">
      <c r="A148" s="160">
        <v>28</v>
      </c>
      <c r="B148" s="160">
        <v>182</v>
      </c>
      <c r="C148" s="161" t="s">
        <v>707</v>
      </c>
      <c r="D148" s="124">
        <v>242510226</v>
      </c>
      <c r="E148" s="124" t="s">
        <v>708</v>
      </c>
      <c r="F148" s="161" t="s">
        <v>709</v>
      </c>
      <c r="G148" s="161" t="s">
        <v>710</v>
      </c>
      <c r="H148" s="166" t="s">
        <v>711</v>
      </c>
      <c r="I148" s="161" t="s">
        <v>60</v>
      </c>
      <c r="J148" s="172" t="s">
        <v>76</v>
      </c>
      <c r="K148" s="86" t="s">
        <v>711</v>
      </c>
      <c r="L148" s="173">
        <v>39875</v>
      </c>
      <c r="M148" s="183" t="s">
        <v>90</v>
      </c>
      <c r="N148" s="179" t="s">
        <v>550</v>
      </c>
      <c r="O148" s="180">
        <v>100</v>
      </c>
      <c r="P148" s="161">
        <v>100</v>
      </c>
      <c r="Q148" s="160">
        <v>1</v>
      </c>
      <c r="R148" s="160">
        <v>100</v>
      </c>
      <c r="S148" s="160">
        <v>100</v>
      </c>
      <c r="T148" s="160"/>
      <c r="U148" s="160">
        <v>17</v>
      </c>
      <c r="V148" s="180"/>
      <c r="W148" s="160"/>
      <c r="X148" s="161"/>
      <c r="Y148" s="160"/>
      <c r="Z148" s="160"/>
      <c r="AA148" s="160">
        <v>1</v>
      </c>
      <c r="AB148" s="160">
        <v>95</v>
      </c>
      <c r="AC148" s="78">
        <f t="shared" si="24"/>
        <v>495</v>
      </c>
      <c r="AD148" s="160">
        <f t="shared" si="25"/>
        <v>200</v>
      </c>
      <c r="AE148" s="196">
        <f t="shared" si="26"/>
        <v>436</v>
      </c>
      <c r="AF148" s="201">
        <f t="shared" si="27"/>
        <v>88.64</v>
      </c>
      <c r="AG148" s="160"/>
      <c r="AH148" s="160">
        <v>100</v>
      </c>
      <c r="AI148" s="160"/>
      <c r="AJ148" s="160">
        <f t="shared" si="28"/>
        <v>94</v>
      </c>
      <c r="AK148" s="160"/>
      <c r="AL148" s="161"/>
      <c r="AM148" s="161"/>
      <c r="AN148" s="161"/>
      <c r="AO148" s="161">
        <f t="shared" si="29"/>
        <v>100</v>
      </c>
      <c r="AP148" s="160">
        <f t="shared" si="30"/>
        <v>0</v>
      </c>
      <c r="AQ148" s="126">
        <v>94</v>
      </c>
      <c r="AR148" s="128" t="s">
        <v>712</v>
      </c>
      <c r="AT148" s="128">
        <f t="shared" si="31"/>
        <v>90</v>
      </c>
      <c r="AU148" s="204">
        <f t="shared" si="32"/>
        <v>56.25</v>
      </c>
      <c r="AV148" s="205">
        <f t="shared" si="33"/>
        <v>75.125</v>
      </c>
      <c r="AW148" s="206">
        <f t="shared" si="34"/>
        <v>81.8825</v>
      </c>
      <c r="AX148" s="206">
        <f t="shared" si="35"/>
        <v>88.975918535847</v>
      </c>
      <c r="AY148" s="207">
        <v>88.975918535847</v>
      </c>
      <c r="AZ148" s="166" t="s">
        <v>711</v>
      </c>
      <c r="BA148" s="128" t="s">
        <v>711</v>
      </c>
    </row>
    <row r="149" customHeight="1" spans="1:53">
      <c r="A149" s="160">
        <v>29</v>
      </c>
      <c r="B149" s="160">
        <v>183</v>
      </c>
      <c r="C149" s="161" t="s">
        <v>713</v>
      </c>
      <c r="D149" s="124">
        <v>242510303</v>
      </c>
      <c r="E149" s="124" t="s">
        <v>714</v>
      </c>
      <c r="F149" s="161" t="s">
        <v>242</v>
      </c>
      <c r="G149" s="161" t="s">
        <v>243</v>
      </c>
      <c r="H149" s="215" t="s">
        <v>715</v>
      </c>
      <c r="I149" s="161" t="s">
        <v>245</v>
      </c>
      <c r="J149" s="172" t="s">
        <v>61</v>
      </c>
      <c r="K149" s="86" t="s">
        <v>715</v>
      </c>
      <c r="L149" s="173">
        <v>39658</v>
      </c>
      <c r="M149" s="183" t="s">
        <v>90</v>
      </c>
      <c r="N149" s="179" t="s">
        <v>550</v>
      </c>
      <c r="O149" s="180">
        <v>100</v>
      </c>
      <c r="P149" s="161">
        <v>100</v>
      </c>
      <c r="Q149" s="160"/>
      <c r="R149" s="160">
        <v>100</v>
      </c>
      <c r="S149" s="160">
        <v>100</v>
      </c>
      <c r="T149" s="160">
        <v>1</v>
      </c>
      <c r="U149" s="160">
        <v>9</v>
      </c>
      <c r="V149" s="180"/>
      <c r="W149" s="160"/>
      <c r="X149" s="161"/>
      <c r="Y149" s="160"/>
      <c r="Z149" s="160"/>
      <c r="AA149" s="160"/>
      <c r="AB149" s="160">
        <v>100</v>
      </c>
      <c r="AC149" s="78">
        <f t="shared" si="24"/>
        <v>500</v>
      </c>
      <c r="AD149" s="160">
        <f t="shared" si="25"/>
        <v>100</v>
      </c>
      <c r="AE149" s="196">
        <f t="shared" si="26"/>
        <v>420</v>
      </c>
      <c r="AF149" s="201">
        <f t="shared" si="27"/>
        <v>88</v>
      </c>
      <c r="AG149" s="160"/>
      <c r="AH149" s="160">
        <v>100</v>
      </c>
      <c r="AI149" s="160">
        <v>7</v>
      </c>
      <c r="AJ149" s="160">
        <f t="shared" si="28"/>
        <v>79</v>
      </c>
      <c r="AK149" s="160"/>
      <c r="AL149" s="161"/>
      <c r="AM149" s="161"/>
      <c r="AN149" s="161"/>
      <c r="AO149" s="161">
        <f t="shared" si="29"/>
        <v>100</v>
      </c>
      <c r="AP149" s="160">
        <f t="shared" si="30"/>
        <v>7</v>
      </c>
      <c r="AQ149" s="126">
        <v>79</v>
      </c>
      <c r="AR149" s="128" t="s">
        <v>716</v>
      </c>
      <c r="AT149" s="128">
        <f t="shared" si="31"/>
        <v>160</v>
      </c>
      <c r="AU149" s="204">
        <f t="shared" si="32"/>
        <v>100</v>
      </c>
      <c r="AV149" s="205">
        <f t="shared" si="33"/>
        <v>89.5</v>
      </c>
      <c r="AW149" s="206">
        <f t="shared" si="34"/>
        <v>88.75</v>
      </c>
      <c r="AX149" s="206">
        <f t="shared" si="35"/>
        <v>92</v>
      </c>
      <c r="AY149" s="207">
        <v>92</v>
      </c>
      <c r="AZ149" s="215" t="s">
        <v>715</v>
      </c>
      <c r="BA149" s="128" t="s">
        <v>715</v>
      </c>
    </row>
    <row r="150" customHeight="1" spans="1:53">
      <c r="A150" s="160">
        <v>30</v>
      </c>
      <c r="B150" s="160">
        <v>184</v>
      </c>
      <c r="C150" s="161" t="s">
        <v>717</v>
      </c>
      <c r="D150" s="124">
        <v>242510107</v>
      </c>
      <c r="E150" s="124" t="s">
        <v>718</v>
      </c>
      <c r="F150" s="161" t="s">
        <v>719</v>
      </c>
      <c r="G150" s="161" t="s">
        <v>720</v>
      </c>
      <c r="H150" s="166" t="s">
        <v>721</v>
      </c>
      <c r="I150" s="161" t="s">
        <v>60</v>
      </c>
      <c r="J150" s="172" t="s">
        <v>61</v>
      </c>
      <c r="K150" s="86" t="s">
        <v>721</v>
      </c>
      <c r="L150" s="173">
        <v>39821</v>
      </c>
      <c r="M150" s="182" t="s">
        <v>77</v>
      </c>
      <c r="N150" s="179" t="s">
        <v>550</v>
      </c>
      <c r="O150" s="180">
        <v>100</v>
      </c>
      <c r="P150" s="161">
        <v>100</v>
      </c>
      <c r="Q150" s="160"/>
      <c r="R150" s="160">
        <v>100</v>
      </c>
      <c r="S150" s="160">
        <v>100</v>
      </c>
      <c r="T150" s="160"/>
      <c r="U150" s="160">
        <v>23</v>
      </c>
      <c r="V150" s="180"/>
      <c r="W150" s="160"/>
      <c r="X150" s="161"/>
      <c r="Y150" s="160"/>
      <c r="Z150" s="160"/>
      <c r="AA150" s="160"/>
      <c r="AB150" s="160">
        <v>100</v>
      </c>
      <c r="AC150" s="78">
        <f t="shared" si="24"/>
        <v>500</v>
      </c>
      <c r="AD150" s="160">
        <f t="shared" si="25"/>
        <v>0</v>
      </c>
      <c r="AE150" s="196">
        <f t="shared" si="26"/>
        <v>400</v>
      </c>
      <c r="AF150" s="201">
        <f t="shared" si="27"/>
        <v>87.2</v>
      </c>
      <c r="AG150" s="160"/>
      <c r="AH150" s="160">
        <v>100</v>
      </c>
      <c r="AI150" s="160"/>
      <c r="AJ150" s="160">
        <f t="shared" si="28"/>
        <v>94</v>
      </c>
      <c r="AK150" s="160"/>
      <c r="AL150" s="161"/>
      <c r="AM150" s="161"/>
      <c r="AN150" s="161"/>
      <c r="AO150" s="161">
        <f t="shared" si="29"/>
        <v>100</v>
      </c>
      <c r="AP150" s="160">
        <f t="shared" si="30"/>
        <v>0</v>
      </c>
      <c r="AQ150" s="126">
        <v>94</v>
      </c>
      <c r="AR150" s="128" t="s">
        <v>722</v>
      </c>
      <c r="AT150" s="128">
        <f t="shared" si="31"/>
        <v>90</v>
      </c>
      <c r="AU150" s="204">
        <f t="shared" si="32"/>
        <v>56.25</v>
      </c>
      <c r="AV150" s="205">
        <f t="shared" si="33"/>
        <v>75.125</v>
      </c>
      <c r="AW150" s="206">
        <f t="shared" si="34"/>
        <v>81.1625</v>
      </c>
      <c r="AX150" s="206">
        <f t="shared" si="35"/>
        <v>88.6588688592266</v>
      </c>
      <c r="AY150" s="207">
        <v>88.6588688592266</v>
      </c>
      <c r="AZ150" s="166" t="s">
        <v>721</v>
      </c>
      <c r="BA150" s="128" t="s">
        <v>721</v>
      </c>
    </row>
    <row r="151" customHeight="1" spans="1:53">
      <c r="A151" s="160">
        <v>31</v>
      </c>
      <c r="B151" s="160">
        <v>185</v>
      </c>
      <c r="C151" s="161" t="s">
        <v>723</v>
      </c>
      <c r="D151" s="124">
        <v>242510063</v>
      </c>
      <c r="E151" s="124" t="s">
        <v>724</v>
      </c>
      <c r="F151" s="161" t="s">
        <v>725</v>
      </c>
      <c r="G151" s="161" t="s">
        <v>726</v>
      </c>
      <c r="H151" s="166" t="s">
        <v>727</v>
      </c>
      <c r="I151" s="161" t="s">
        <v>197</v>
      </c>
      <c r="J151" s="172" t="s">
        <v>61</v>
      </c>
      <c r="K151" s="86" t="s">
        <v>727</v>
      </c>
      <c r="L151" s="173">
        <v>39537</v>
      </c>
      <c r="M151" s="185" t="s">
        <v>144</v>
      </c>
      <c r="N151" s="179" t="s">
        <v>550</v>
      </c>
      <c r="O151" s="180">
        <v>100</v>
      </c>
      <c r="P151" s="161">
        <v>100</v>
      </c>
      <c r="Q151" s="160"/>
      <c r="R151" s="160">
        <v>100</v>
      </c>
      <c r="S151" s="160">
        <v>100</v>
      </c>
      <c r="T151" s="160"/>
      <c r="U151" s="160">
        <v>33</v>
      </c>
      <c r="V151" s="180"/>
      <c r="W151" s="160"/>
      <c r="X151" s="161"/>
      <c r="Y151" s="160"/>
      <c r="Z151" s="160"/>
      <c r="AA151" s="160"/>
      <c r="AB151" s="160">
        <v>100</v>
      </c>
      <c r="AC151" s="78">
        <f t="shared" si="24"/>
        <v>500</v>
      </c>
      <c r="AD151" s="160">
        <f t="shared" si="25"/>
        <v>0</v>
      </c>
      <c r="AE151" s="196">
        <f t="shared" si="26"/>
        <v>400</v>
      </c>
      <c r="AF151" s="201">
        <f t="shared" si="27"/>
        <v>87.2</v>
      </c>
      <c r="AG151" s="160"/>
      <c r="AH151" s="160">
        <v>100</v>
      </c>
      <c r="AI151" s="160"/>
      <c r="AJ151" s="160">
        <f t="shared" si="28"/>
        <v>94</v>
      </c>
      <c r="AK151" s="160"/>
      <c r="AL151" s="161"/>
      <c r="AM151" s="161"/>
      <c r="AN151" s="161"/>
      <c r="AO151" s="161">
        <f t="shared" si="29"/>
        <v>100</v>
      </c>
      <c r="AP151" s="160">
        <f t="shared" si="30"/>
        <v>0</v>
      </c>
      <c r="AQ151" s="126">
        <v>94</v>
      </c>
      <c r="AR151" s="128" t="s">
        <v>728</v>
      </c>
      <c r="AT151" s="128">
        <f t="shared" si="31"/>
        <v>90</v>
      </c>
      <c r="AU151" s="204">
        <f t="shared" si="32"/>
        <v>56.25</v>
      </c>
      <c r="AV151" s="205">
        <f t="shared" si="33"/>
        <v>75.125</v>
      </c>
      <c r="AW151" s="206">
        <f t="shared" si="34"/>
        <v>81.1625</v>
      </c>
      <c r="AX151" s="206">
        <f t="shared" si="35"/>
        <v>88.6588688592266</v>
      </c>
      <c r="AY151" s="207">
        <v>88.6588688592266</v>
      </c>
      <c r="AZ151" s="166" t="s">
        <v>727</v>
      </c>
      <c r="BA151" s="128" t="s">
        <v>727</v>
      </c>
    </row>
    <row r="152" customHeight="1" spans="1:53">
      <c r="A152" s="160">
        <v>32</v>
      </c>
      <c r="B152" s="160">
        <v>186</v>
      </c>
      <c r="C152" s="161" t="s">
        <v>729</v>
      </c>
      <c r="D152" s="124">
        <v>242510108</v>
      </c>
      <c r="E152" s="124" t="s">
        <v>730</v>
      </c>
      <c r="F152" s="161" t="s">
        <v>731</v>
      </c>
      <c r="G152" s="161" t="s">
        <v>732</v>
      </c>
      <c r="H152" s="166" t="s">
        <v>733</v>
      </c>
      <c r="I152" s="161" t="s">
        <v>509</v>
      </c>
      <c r="J152" s="172" t="s">
        <v>61</v>
      </c>
      <c r="K152" s="86" t="s">
        <v>733</v>
      </c>
      <c r="L152" s="173">
        <v>39763</v>
      </c>
      <c r="M152" s="181" t="s">
        <v>53</v>
      </c>
      <c r="N152" s="179" t="s">
        <v>550</v>
      </c>
      <c r="O152" s="180">
        <v>100</v>
      </c>
      <c r="P152" s="161">
        <v>100</v>
      </c>
      <c r="Q152" s="160"/>
      <c r="R152" s="160">
        <v>100</v>
      </c>
      <c r="S152" s="160">
        <v>100</v>
      </c>
      <c r="T152" s="160">
        <v>1</v>
      </c>
      <c r="U152" s="160">
        <v>12</v>
      </c>
      <c r="V152" s="180"/>
      <c r="W152" s="160"/>
      <c r="X152" s="161"/>
      <c r="Y152" s="160"/>
      <c r="Z152" s="160"/>
      <c r="AA152" s="160"/>
      <c r="AB152" s="160">
        <v>100</v>
      </c>
      <c r="AC152" s="78">
        <f t="shared" si="24"/>
        <v>500</v>
      </c>
      <c r="AD152" s="160">
        <f t="shared" si="25"/>
        <v>100</v>
      </c>
      <c r="AE152" s="196">
        <f t="shared" si="26"/>
        <v>420</v>
      </c>
      <c r="AF152" s="201">
        <f t="shared" si="27"/>
        <v>88</v>
      </c>
      <c r="AG152" s="160"/>
      <c r="AH152" s="160">
        <v>100</v>
      </c>
      <c r="AI152" s="160"/>
      <c r="AJ152" s="160">
        <f t="shared" si="28"/>
        <v>88</v>
      </c>
      <c r="AK152" s="160"/>
      <c r="AL152" s="161"/>
      <c r="AM152" s="161"/>
      <c r="AN152" s="161"/>
      <c r="AO152" s="161">
        <f t="shared" si="29"/>
        <v>100</v>
      </c>
      <c r="AP152" s="160">
        <f t="shared" si="30"/>
        <v>0</v>
      </c>
      <c r="AQ152" s="126">
        <v>88</v>
      </c>
      <c r="AR152" s="128" t="s">
        <v>734</v>
      </c>
      <c r="AT152" s="128">
        <f t="shared" si="31"/>
        <v>90</v>
      </c>
      <c r="AU152" s="204">
        <f t="shared" si="32"/>
        <v>56.25</v>
      </c>
      <c r="AV152" s="205">
        <f t="shared" si="33"/>
        <v>72.125</v>
      </c>
      <c r="AW152" s="206">
        <f t="shared" si="34"/>
        <v>80.0625</v>
      </c>
      <c r="AX152" s="206">
        <f t="shared" si="35"/>
        <v>88.1744874088345</v>
      </c>
      <c r="AY152" s="207">
        <v>88.1744874088345</v>
      </c>
      <c r="AZ152" s="166" t="s">
        <v>733</v>
      </c>
      <c r="BA152" s="128" t="s">
        <v>733</v>
      </c>
    </row>
    <row r="153" customHeight="1" spans="1:53">
      <c r="A153" s="160">
        <v>33</v>
      </c>
      <c r="B153" s="160">
        <v>187</v>
      </c>
      <c r="C153" s="161" t="s">
        <v>735</v>
      </c>
      <c r="D153" s="124">
        <v>242510380</v>
      </c>
      <c r="E153" s="124" t="s">
        <v>736</v>
      </c>
      <c r="F153" s="161" t="s">
        <v>737</v>
      </c>
      <c r="G153" s="161" t="s">
        <v>738</v>
      </c>
      <c r="H153" s="166" t="s">
        <v>739</v>
      </c>
      <c r="I153" s="161" t="s">
        <v>740</v>
      </c>
      <c r="J153" s="172" t="s">
        <v>61</v>
      </c>
      <c r="K153" s="86" t="s">
        <v>739</v>
      </c>
      <c r="L153" s="173">
        <v>39507</v>
      </c>
      <c r="M153" s="182" t="s">
        <v>77</v>
      </c>
      <c r="N153" s="179" t="s">
        <v>550</v>
      </c>
      <c r="O153" s="180">
        <v>100</v>
      </c>
      <c r="P153" s="161">
        <v>100</v>
      </c>
      <c r="Q153" s="160"/>
      <c r="R153" s="160">
        <v>100</v>
      </c>
      <c r="S153" s="160">
        <v>100</v>
      </c>
      <c r="T153" s="160"/>
      <c r="U153" s="160"/>
      <c r="V153" s="180"/>
      <c r="W153" s="160"/>
      <c r="X153" s="161"/>
      <c r="Y153" s="160"/>
      <c r="Z153" s="160"/>
      <c r="AA153" s="160">
        <v>1</v>
      </c>
      <c r="AB153" s="160">
        <v>98</v>
      </c>
      <c r="AC153" s="78">
        <f t="shared" si="24"/>
        <v>498</v>
      </c>
      <c r="AD153" s="160">
        <f t="shared" si="25"/>
        <v>100</v>
      </c>
      <c r="AE153" s="196">
        <f t="shared" si="26"/>
        <v>418.4</v>
      </c>
      <c r="AF153" s="201">
        <f t="shared" si="27"/>
        <v>87.936</v>
      </c>
      <c r="AG153" s="160"/>
      <c r="AH153" s="160">
        <v>100</v>
      </c>
      <c r="AI153" s="160"/>
      <c r="AJ153" s="160">
        <f t="shared" si="28"/>
        <v>88</v>
      </c>
      <c r="AK153" s="160"/>
      <c r="AL153" s="161"/>
      <c r="AM153" s="161"/>
      <c r="AN153" s="161"/>
      <c r="AO153" s="161">
        <f t="shared" si="29"/>
        <v>100</v>
      </c>
      <c r="AP153" s="160">
        <f t="shared" si="30"/>
        <v>0</v>
      </c>
      <c r="AQ153" s="126">
        <v>88</v>
      </c>
      <c r="AR153" s="128" t="s">
        <v>741</v>
      </c>
      <c r="AT153" s="128">
        <f t="shared" si="31"/>
        <v>90</v>
      </c>
      <c r="AU153" s="204">
        <f t="shared" si="32"/>
        <v>56.25</v>
      </c>
      <c r="AV153" s="205">
        <f t="shared" si="33"/>
        <v>72.125</v>
      </c>
      <c r="AW153" s="206">
        <f t="shared" si="34"/>
        <v>80.0305</v>
      </c>
      <c r="AX153" s="206">
        <f t="shared" si="35"/>
        <v>88.1603963120958</v>
      </c>
      <c r="AY153" s="207">
        <v>88.1603963120958</v>
      </c>
      <c r="AZ153" s="166" t="s">
        <v>739</v>
      </c>
      <c r="BA153" s="128" t="s">
        <v>739</v>
      </c>
    </row>
    <row r="154" customHeight="1" spans="1:53">
      <c r="A154" s="160">
        <v>34</v>
      </c>
      <c r="B154" s="160">
        <v>188</v>
      </c>
      <c r="C154" s="161" t="s">
        <v>742</v>
      </c>
      <c r="D154" s="124">
        <v>242510066</v>
      </c>
      <c r="E154" s="124" t="s">
        <v>743</v>
      </c>
      <c r="F154" s="161" t="s">
        <v>744</v>
      </c>
      <c r="G154" s="161" t="s">
        <v>745</v>
      </c>
      <c r="H154" s="166" t="s">
        <v>746</v>
      </c>
      <c r="I154" s="161" t="s">
        <v>143</v>
      </c>
      <c r="J154" s="172" t="s">
        <v>61</v>
      </c>
      <c r="K154" s="86" t="s">
        <v>746</v>
      </c>
      <c r="L154" s="173">
        <v>39399</v>
      </c>
      <c r="M154" s="184" t="s">
        <v>130</v>
      </c>
      <c r="N154" s="179" t="s">
        <v>550</v>
      </c>
      <c r="O154" s="180">
        <v>100</v>
      </c>
      <c r="P154" s="161">
        <v>100</v>
      </c>
      <c r="Q154" s="160"/>
      <c r="R154" s="160">
        <v>100</v>
      </c>
      <c r="S154" s="160">
        <v>100</v>
      </c>
      <c r="T154" s="160"/>
      <c r="U154" s="160">
        <v>18</v>
      </c>
      <c r="V154" s="180"/>
      <c r="W154" s="160"/>
      <c r="X154" s="161"/>
      <c r="Y154" s="160"/>
      <c r="Z154" s="160"/>
      <c r="AA154" s="160"/>
      <c r="AB154" s="160"/>
      <c r="AC154" s="78">
        <f t="shared" si="24"/>
        <v>400</v>
      </c>
      <c r="AD154" s="160">
        <f t="shared" si="25"/>
        <v>0</v>
      </c>
      <c r="AE154" s="196">
        <f t="shared" si="26"/>
        <v>320</v>
      </c>
      <c r="AF154" s="201">
        <f t="shared" si="27"/>
        <v>84</v>
      </c>
      <c r="AG154" s="160"/>
      <c r="AH154" s="160">
        <v>100</v>
      </c>
      <c r="AI154" s="160"/>
      <c r="AJ154" s="160">
        <f t="shared" si="28"/>
        <v>94</v>
      </c>
      <c r="AK154" s="160"/>
      <c r="AL154" s="161"/>
      <c r="AM154" s="161"/>
      <c r="AN154" s="161"/>
      <c r="AO154" s="161">
        <f t="shared" si="29"/>
        <v>100</v>
      </c>
      <c r="AP154" s="160">
        <f t="shared" si="30"/>
        <v>0</v>
      </c>
      <c r="AQ154" s="126">
        <v>94</v>
      </c>
      <c r="AR154" s="128" t="s">
        <v>747</v>
      </c>
      <c r="AT154" s="128">
        <f t="shared" si="31"/>
        <v>90</v>
      </c>
      <c r="AU154" s="204">
        <f t="shared" si="32"/>
        <v>56.25</v>
      </c>
      <c r="AV154" s="205">
        <f t="shared" si="33"/>
        <v>75.125</v>
      </c>
      <c r="AW154" s="206">
        <f t="shared" si="34"/>
        <v>79.5625</v>
      </c>
      <c r="AX154" s="206">
        <f t="shared" si="35"/>
        <v>87.9543140222926</v>
      </c>
      <c r="AY154" s="207">
        <v>87.9543140222926</v>
      </c>
      <c r="AZ154" s="166" t="s">
        <v>746</v>
      </c>
      <c r="BA154" s="128" t="s">
        <v>746</v>
      </c>
    </row>
    <row r="155" customHeight="1" spans="1:53">
      <c r="A155" s="160">
        <v>35</v>
      </c>
      <c r="B155" s="160">
        <v>189</v>
      </c>
      <c r="C155" s="161" t="s">
        <v>748</v>
      </c>
      <c r="D155" s="124">
        <v>242510381</v>
      </c>
      <c r="E155" s="124" t="s">
        <v>749</v>
      </c>
      <c r="F155" s="161" t="s">
        <v>750</v>
      </c>
      <c r="G155" s="161" t="s">
        <v>751</v>
      </c>
      <c r="H155" s="166" t="s">
        <v>752</v>
      </c>
      <c r="I155" s="161" t="s">
        <v>60</v>
      </c>
      <c r="J155" s="172" t="s">
        <v>76</v>
      </c>
      <c r="K155" s="86" t="s">
        <v>752</v>
      </c>
      <c r="L155" s="173">
        <v>39921</v>
      </c>
      <c r="M155" s="183" t="s">
        <v>90</v>
      </c>
      <c r="N155" s="179" t="s">
        <v>550</v>
      </c>
      <c r="O155" s="180">
        <v>100</v>
      </c>
      <c r="P155" s="161">
        <v>100</v>
      </c>
      <c r="Q155" s="160"/>
      <c r="R155" s="160">
        <v>100</v>
      </c>
      <c r="S155" s="160">
        <v>100</v>
      </c>
      <c r="T155" s="160">
        <v>2</v>
      </c>
      <c r="U155" s="160">
        <v>13</v>
      </c>
      <c r="V155" s="180"/>
      <c r="W155" s="160"/>
      <c r="X155" s="161"/>
      <c r="Y155" s="160"/>
      <c r="Z155" s="160"/>
      <c r="AA155" s="160"/>
      <c r="AB155" s="160">
        <v>100</v>
      </c>
      <c r="AC155" s="78">
        <f t="shared" si="24"/>
        <v>500</v>
      </c>
      <c r="AD155" s="160">
        <f t="shared" si="25"/>
        <v>200</v>
      </c>
      <c r="AE155" s="196">
        <f t="shared" si="26"/>
        <v>440</v>
      </c>
      <c r="AF155" s="201">
        <f t="shared" si="27"/>
        <v>88.8</v>
      </c>
      <c r="AG155" s="160"/>
      <c r="AH155" s="160">
        <v>100</v>
      </c>
      <c r="AI155" s="160"/>
      <c r="AJ155" s="160">
        <f t="shared" si="28"/>
        <v>94</v>
      </c>
      <c r="AK155" s="160">
        <v>1</v>
      </c>
      <c r="AL155" s="161"/>
      <c r="AM155" s="161"/>
      <c r="AN155" s="161"/>
      <c r="AO155" s="161">
        <f t="shared" si="29"/>
        <v>100</v>
      </c>
      <c r="AP155" s="160">
        <f t="shared" si="30"/>
        <v>1</v>
      </c>
      <c r="AQ155" s="126">
        <v>94</v>
      </c>
      <c r="AR155" s="128" t="s">
        <v>753</v>
      </c>
      <c r="AT155" s="128">
        <f t="shared" si="31"/>
        <v>100</v>
      </c>
      <c r="AU155" s="204">
        <f t="shared" si="32"/>
        <v>62.5</v>
      </c>
      <c r="AV155" s="205">
        <f t="shared" si="33"/>
        <v>78.25</v>
      </c>
      <c r="AW155" s="206">
        <f t="shared" si="34"/>
        <v>83.525</v>
      </c>
      <c r="AX155" s="206">
        <f t="shared" si="35"/>
        <v>89.6991881106371</v>
      </c>
      <c r="AY155" s="207">
        <v>89.6991881106371</v>
      </c>
      <c r="AZ155" s="166" t="s">
        <v>752</v>
      </c>
      <c r="BA155" s="128" t="s">
        <v>752</v>
      </c>
    </row>
    <row r="156" customHeight="1" spans="1:53">
      <c r="A156" s="160">
        <v>36</v>
      </c>
      <c r="B156" s="160">
        <v>190</v>
      </c>
      <c r="C156" s="161" t="s">
        <v>754</v>
      </c>
      <c r="D156" s="124">
        <v>242510113</v>
      </c>
      <c r="E156" s="124" t="s">
        <v>755</v>
      </c>
      <c r="F156" s="161" t="s">
        <v>756</v>
      </c>
      <c r="G156" s="161" t="s">
        <v>757</v>
      </c>
      <c r="H156" s="166" t="s">
        <v>758</v>
      </c>
      <c r="I156" s="161" t="s">
        <v>759</v>
      </c>
      <c r="J156" s="172" t="s">
        <v>61</v>
      </c>
      <c r="K156" s="86" t="s">
        <v>758</v>
      </c>
      <c r="L156" s="173">
        <v>39760</v>
      </c>
      <c r="M156" s="184" t="s">
        <v>130</v>
      </c>
      <c r="N156" s="179" t="s">
        <v>550</v>
      </c>
      <c r="O156" s="180">
        <v>100</v>
      </c>
      <c r="P156" s="161">
        <v>100</v>
      </c>
      <c r="Q156" s="160"/>
      <c r="R156" s="160">
        <v>100</v>
      </c>
      <c r="S156" s="160">
        <v>100</v>
      </c>
      <c r="T156" s="160"/>
      <c r="U156" s="160">
        <v>22</v>
      </c>
      <c r="V156" s="180"/>
      <c r="W156" s="160"/>
      <c r="X156" s="161"/>
      <c r="Y156" s="160"/>
      <c r="Z156" s="160"/>
      <c r="AA156" s="160"/>
      <c r="AB156" s="160">
        <v>95</v>
      </c>
      <c r="AC156" s="78">
        <f t="shared" si="24"/>
        <v>495</v>
      </c>
      <c r="AD156" s="160">
        <f t="shared" si="25"/>
        <v>0</v>
      </c>
      <c r="AE156" s="196">
        <f t="shared" si="26"/>
        <v>396</v>
      </c>
      <c r="AF156" s="201">
        <f t="shared" si="27"/>
        <v>87.04</v>
      </c>
      <c r="AG156" s="160"/>
      <c r="AH156" s="160">
        <v>100</v>
      </c>
      <c r="AI156" s="160"/>
      <c r="AJ156" s="160">
        <f t="shared" si="28"/>
        <v>52</v>
      </c>
      <c r="AK156" s="160"/>
      <c r="AL156" s="161"/>
      <c r="AM156" s="161"/>
      <c r="AN156" s="161"/>
      <c r="AO156" s="161">
        <f t="shared" si="29"/>
        <v>100</v>
      </c>
      <c r="AP156" s="160">
        <f t="shared" si="30"/>
        <v>0</v>
      </c>
      <c r="AQ156" s="126">
        <v>52</v>
      </c>
      <c r="AR156" s="128" t="s">
        <v>760</v>
      </c>
      <c r="AT156" s="128">
        <f t="shared" si="31"/>
        <v>90</v>
      </c>
      <c r="AU156" s="204">
        <f t="shared" si="32"/>
        <v>56.25</v>
      </c>
      <c r="AV156" s="205">
        <f t="shared" si="33"/>
        <v>54.125</v>
      </c>
      <c r="AW156" s="206">
        <f t="shared" si="34"/>
        <v>70.5825</v>
      </c>
      <c r="AX156" s="206">
        <f t="shared" si="35"/>
        <v>84</v>
      </c>
      <c r="AY156" s="207">
        <v>86</v>
      </c>
      <c r="AZ156" s="166" t="s">
        <v>758</v>
      </c>
      <c r="BA156" s="128" t="s">
        <v>758</v>
      </c>
    </row>
    <row r="157" customHeight="1" spans="1:53">
      <c r="A157" s="160">
        <v>37</v>
      </c>
      <c r="B157" s="160">
        <v>191</v>
      </c>
      <c r="C157" s="161" t="s">
        <v>761</v>
      </c>
      <c r="D157" s="124">
        <v>242510385</v>
      </c>
      <c r="E157" s="124" t="s">
        <v>762</v>
      </c>
      <c r="F157" s="161" t="s">
        <v>763</v>
      </c>
      <c r="G157" s="161" t="s">
        <v>764</v>
      </c>
      <c r="H157" s="166" t="s">
        <v>765</v>
      </c>
      <c r="I157" s="161" t="s">
        <v>60</v>
      </c>
      <c r="J157" s="172" t="s">
        <v>76</v>
      </c>
      <c r="K157" s="86" t="s">
        <v>765</v>
      </c>
      <c r="L157" s="173">
        <v>39434</v>
      </c>
      <c r="M157" s="181" t="s">
        <v>53</v>
      </c>
      <c r="N157" s="179" t="s">
        <v>550</v>
      </c>
      <c r="O157" s="180">
        <v>100</v>
      </c>
      <c r="P157" s="161">
        <v>100</v>
      </c>
      <c r="Q157" s="160"/>
      <c r="R157" s="160">
        <v>100</v>
      </c>
      <c r="S157" s="160">
        <v>100</v>
      </c>
      <c r="T157" s="160"/>
      <c r="U157" s="160">
        <v>2</v>
      </c>
      <c r="V157" s="180">
        <v>80</v>
      </c>
      <c r="W157" s="160"/>
      <c r="X157" s="161"/>
      <c r="Y157" s="160">
        <v>1</v>
      </c>
      <c r="Z157" s="160"/>
      <c r="AA157" s="160">
        <v>1</v>
      </c>
      <c r="AB157" s="160">
        <v>100</v>
      </c>
      <c r="AC157" s="78">
        <f t="shared" si="24"/>
        <v>500</v>
      </c>
      <c r="AD157" s="160">
        <f t="shared" si="25"/>
        <v>200</v>
      </c>
      <c r="AE157" s="196">
        <f t="shared" si="26"/>
        <v>440</v>
      </c>
      <c r="AF157" s="201">
        <f t="shared" si="27"/>
        <v>88.8</v>
      </c>
      <c r="AG157" s="160"/>
      <c r="AH157" s="160">
        <v>100</v>
      </c>
      <c r="AI157" s="160"/>
      <c r="AJ157" s="160">
        <f t="shared" si="28"/>
        <v>85</v>
      </c>
      <c r="AK157" s="160"/>
      <c r="AL157" s="161"/>
      <c r="AM157" s="161"/>
      <c r="AN157" s="161"/>
      <c r="AO157" s="161">
        <f t="shared" si="29"/>
        <v>100</v>
      </c>
      <c r="AP157" s="160">
        <f t="shared" si="30"/>
        <v>0</v>
      </c>
      <c r="AQ157" s="126">
        <v>85</v>
      </c>
      <c r="AR157" s="128" t="s">
        <v>766</v>
      </c>
      <c r="AT157" s="128">
        <f t="shared" si="31"/>
        <v>90</v>
      </c>
      <c r="AU157" s="204">
        <f t="shared" si="32"/>
        <v>56.25</v>
      </c>
      <c r="AV157" s="205">
        <f t="shared" si="33"/>
        <v>70.625</v>
      </c>
      <c r="AW157" s="206">
        <f t="shared" si="34"/>
        <v>79.7125</v>
      </c>
      <c r="AX157" s="206">
        <f t="shared" si="35"/>
        <v>88.0203660382551</v>
      </c>
      <c r="AY157" s="207">
        <v>88.0203660382551</v>
      </c>
      <c r="AZ157" s="166" t="s">
        <v>765</v>
      </c>
      <c r="BA157" s="128" t="s">
        <v>765</v>
      </c>
    </row>
    <row r="158" customHeight="1" spans="1:53">
      <c r="A158" s="160">
        <v>38</v>
      </c>
      <c r="B158" s="160">
        <v>192</v>
      </c>
      <c r="C158" s="161" t="s">
        <v>767</v>
      </c>
      <c r="D158" s="124">
        <v>242510078</v>
      </c>
      <c r="E158" s="124" t="s">
        <v>768</v>
      </c>
      <c r="F158" s="161" t="s">
        <v>769</v>
      </c>
      <c r="G158" s="161" t="s">
        <v>770</v>
      </c>
      <c r="H158" s="215" t="s">
        <v>771</v>
      </c>
      <c r="I158" s="161" t="s">
        <v>772</v>
      </c>
      <c r="J158" s="172" t="s">
        <v>61</v>
      </c>
      <c r="K158" s="86" t="s">
        <v>771</v>
      </c>
      <c r="L158" s="173">
        <v>39839</v>
      </c>
      <c r="M158" s="182" t="s">
        <v>77</v>
      </c>
      <c r="N158" s="179" t="s">
        <v>550</v>
      </c>
      <c r="O158" s="180">
        <v>100</v>
      </c>
      <c r="P158" s="161">
        <v>100</v>
      </c>
      <c r="Q158" s="160"/>
      <c r="R158" s="160">
        <v>100</v>
      </c>
      <c r="S158" s="160">
        <v>100</v>
      </c>
      <c r="T158" s="160">
        <v>1</v>
      </c>
      <c r="U158" s="160">
        <v>9</v>
      </c>
      <c r="V158" s="180"/>
      <c r="W158" s="160"/>
      <c r="X158" s="161"/>
      <c r="Y158" s="160"/>
      <c r="Z158" s="160"/>
      <c r="AA158" s="160"/>
      <c r="AB158" s="160">
        <v>100</v>
      </c>
      <c r="AC158" s="78">
        <f t="shared" si="24"/>
        <v>500</v>
      </c>
      <c r="AD158" s="160">
        <f t="shared" si="25"/>
        <v>100</v>
      </c>
      <c r="AE158" s="196">
        <f t="shared" si="26"/>
        <v>420</v>
      </c>
      <c r="AF158" s="201">
        <f t="shared" si="27"/>
        <v>88</v>
      </c>
      <c r="AG158" s="160"/>
      <c r="AH158" s="160">
        <v>100</v>
      </c>
      <c r="AI158" s="160"/>
      <c r="AJ158" s="160">
        <f t="shared" si="28"/>
        <v>94</v>
      </c>
      <c r="AK158" s="160"/>
      <c r="AL158" s="161"/>
      <c r="AM158" s="161"/>
      <c r="AN158" s="161"/>
      <c r="AO158" s="161">
        <f t="shared" si="29"/>
        <v>100</v>
      </c>
      <c r="AP158" s="160">
        <f t="shared" si="30"/>
        <v>0</v>
      </c>
      <c r="AQ158" s="126">
        <v>94</v>
      </c>
      <c r="AR158" s="128" t="s">
        <v>773</v>
      </c>
      <c r="AT158" s="128">
        <f t="shared" si="31"/>
        <v>90</v>
      </c>
      <c r="AU158" s="204">
        <f t="shared" si="32"/>
        <v>56.25</v>
      </c>
      <c r="AV158" s="205">
        <f t="shared" si="33"/>
        <v>75.125</v>
      </c>
      <c r="AW158" s="206">
        <f t="shared" si="34"/>
        <v>81.5625</v>
      </c>
      <c r="AX158" s="206">
        <f t="shared" si="35"/>
        <v>88.8350075684602</v>
      </c>
      <c r="AY158" s="207">
        <v>88.8350075684602</v>
      </c>
      <c r="AZ158" s="215" t="s">
        <v>771</v>
      </c>
      <c r="BA158" s="128" t="s">
        <v>771</v>
      </c>
    </row>
    <row r="159" customHeight="1" spans="1:53">
      <c r="A159" s="160">
        <v>39</v>
      </c>
      <c r="B159" s="160">
        <v>193</v>
      </c>
      <c r="C159" s="161" t="s">
        <v>774</v>
      </c>
      <c r="D159" s="124">
        <v>242510276</v>
      </c>
      <c r="E159" s="124" t="s">
        <v>775</v>
      </c>
      <c r="F159" s="161" t="s">
        <v>776</v>
      </c>
      <c r="G159" s="161" t="s">
        <v>777</v>
      </c>
      <c r="H159" s="166" t="s">
        <v>778</v>
      </c>
      <c r="I159" s="161" t="s">
        <v>60</v>
      </c>
      <c r="J159" s="89" t="s">
        <v>76</v>
      </c>
      <c r="K159" s="86" t="s">
        <v>778</v>
      </c>
      <c r="L159" s="173">
        <v>39646</v>
      </c>
      <c r="M159" s="181" t="s">
        <v>53</v>
      </c>
      <c r="N159" s="179" t="s">
        <v>550</v>
      </c>
      <c r="O159" s="180">
        <v>100</v>
      </c>
      <c r="P159" s="161">
        <v>100</v>
      </c>
      <c r="Q159" s="160">
        <v>1</v>
      </c>
      <c r="R159" s="160">
        <v>100</v>
      </c>
      <c r="S159" s="160">
        <v>100</v>
      </c>
      <c r="T159" s="160"/>
      <c r="U159" s="160"/>
      <c r="V159" s="180"/>
      <c r="W159" s="160"/>
      <c r="X159" s="161"/>
      <c r="Y159" s="160"/>
      <c r="Z159" s="160"/>
      <c r="AA159" s="160"/>
      <c r="AB159" s="160">
        <v>95</v>
      </c>
      <c r="AC159" s="78">
        <f t="shared" si="24"/>
        <v>495</v>
      </c>
      <c r="AD159" s="160">
        <f t="shared" si="25"/>
        <v>100</v>
      </c>
      <c r="AE159" s="196">
        <f t="shared" si="26"/>
        <v>416</v>
      </c>
      <c r="AF159" s="201">
        <f t="shared" si="27"/>
        <v>87.84</v>
      </c>
      <c r="AG159" s="160"/>
      <c r="AH159" s="160">
        <v>100</v>
      </c>
      <c r="AI159" s="160"/>
      <c r="AJ159" s="160">
        <f t="shared" si="28"/>
        <v>94</v>
      </c>
      <c r="AK159" s="160"/>
      <c r="AL159" s="161"/>
      <c r="AM159" s="161"/>
      <c r="AN159" s="161"/>
      <c r="AO159" s="161">
        <f t="shared" si="29"/>
        <v>100</v>
      </c>
      <c r="AP159" s="160">
        <f t="shared" si="30"/>
        <v>0</v>
      </c>
      <c r="AQ159" s="126">
        <v>94</v>
      </c>
      <c r="AR159" s="128" t="s">
        <v>779</v>
      </c>
      <c r="AT159" s="128">
        <f t="shared" si="31"/>
        <v>90</v>
      </c>
      <c r="AU159" s="204">
        <f t="shared" si="32"/>
        <v>56.25</v>
      </c>
      <c r="AV159" s="205">
        <f t="shared" si="33"/>
        <v>75.125</v>
      </c>
      <c r="AW159" s="206">
        <f t="shared" si="34"/>
        <v>81.4825</v>
      </c>
      <c r="AX159" s="206">
        <f t="shared" si="35"/>
        <v>88.7997798266135</v>
      </c>
      <c r="AY159" s="207">
        <v>88.7997798266135</v>
      </c>
      <c r="AZ159" s="166" t="s">
        <v>778</v>
      </c>
      <c r="BA159" s="128" t="s">
        <v>778</v>
      </c>
    </row>
    <row r="160" customHeight="1" spans="8:32">
      <c r="H160" s="165" t="s">
        <v>283</v>
      </c>
      <c r="I160" s="174"/>
      <c r="J160" s="129">
        <f>COUNTIF(J121:J159,"L")</f>
        <v>13</v>
      </c>
      <c r="L160" s="175"/>
      <c r="AD160" s="129">
        <f>Q160+T160+Y160+AA160</f>
        <v>0</v>
      </c>
      <c r="AE160" s="128">
        <f>MAX(AE121:AE159)</f>
        <v>520</v>
      </c>
      <c r="AF160" s="216">
        <f t="shared" si="27"/>
        <v>92</v>
      </c>
    </row>
    <row r="161" customHeight="1" spans="1:51">
      <c r="A161" s="163"/>
      <c r="E161" s="128"/>
      <c r="H161" s="165" t="s">
        <v>285</v>
      </c>
      <c r="I161" s="129"/>
      <c r="J161" s="129">
        <f>COUNTIF(J121:J160,"P")</f>
        <v>26</v>
      </c>
      <c r="K161" s="175"/>
      <c r="M161" s="126"/>
      <c r="N161" s="128"/>
      <c r="AD161" s="129">
        <f>Q161+T161+Y161+AA161</f>
        <v>0</v>
      </c>
      <c r="AE161" s="128">
        <f>MIN(AE121:AE159)</f>
        <v>320</v>
      </c>
      <c r="AF161" s="216">
        <f t="shared" si="27"/>
        <v>84</v>
      </c>
      <c r="AT161" s="128">
        <f>MAX(AT121:AT159)</f>
        <v>160</v>
      </c>
      <c r="AV161" s="128">
        <f>MAX(AV121:AV159)</f>
        <v>89.5</v>
      </c>
      <c r="AW161" s="128">
        <f>MAX(AW121:AW159)</f>
        <v>88.75</v>
      </c>
      <c r="AX161" s="129">
        <f>MAX(AX121:AX159)</f>
        <v>92</v>
      </c>
      <c r="AY161" s="129">
        <f>MAX(AY121:AY159)</f>
        <v>92</v>
      </c>
    </row>
    <row r="162" customHeight="1" spans="1:51">
      <c r="A162" s="163" t="s">
        <v>525</v>
      </c>
      <c r="E162" s="128"/>
      <c r="H162" s="174"/>
      <c r="I162" s="129"/>
      <c r="J162" s="128"/>
      <c r="K162" s="175"/>
      <c r="M162" s="126"/>
      <c r="N162" s="128" t="s">
        <v>526</v>
      </c>
      <c r="O162" s="151" t="s">
        <v>780</v>
      </c>
      <c r="AV162" s="128">
        <f>MIN(AV121:AV159)</f>
        <v>54.125</v>
      </c>
      <c r="AW162" s="128">
        <f>MIN(AW121:AW159)</f>
        <v>70.5825</v>
      </c>
      <c r="AX162" s="129">
        <f>MIN(AX121:AX159)</f>
        <v>84</v>
      </c>
      <c r="AY162" s="129">
        <f>MIN(AY121:AY159)</f>
        <v>86</v>
      </c>
    </row>
    <row r="163" customHeight="1" spans="1:14">
      <c r="A163" s="163"/>
      <c r="E163" s="128"/>
      <c r="H163" s="174"/>
      <c r="I163" s="129"/>
      <c r="J163" s="128"/>
      <c r="K163" s="175"/>
      <c r="M163" s="126"/>
      <c r="N163" s="128"/>
    </row>
    <row r="164" customHeight="1" spans="1:14">
      <c r="A164" s="163"/>
      <c r="E164" s="128"/>
      <c r="H164" s="174"/>
      <c r="I164" s="129"/>
      <c r="J164" s="128"/>
      <c r="K164" s="175"/>
      <c r="M164" s="126"/>
      <c r="N164" s="128"/>
    </row>
    <row r="165" customHeight="1" spans="1:14">
      <c r="A165" s="163"/>
      <c r="E165" s="128"/>
      <c r="H165" s="174"/>
      <c r="I165" s="129"/>
      <c r="J165" s="128"/>
      <c r="K165" s="175"/>
      <c r="M165" s="126"/>
      <c r="N165" s="128"/>
    </row>
    <row r="166" customHeight="1" spans="1:15">
      <c r="A166" s="209" t="s">
        <v>527</v>
      </c>
      <c r="E166" s="128"/>
      <c r="H166" s="174"/>
      <c r="I166" s="129"/>
      <c r="J166" s="128"/>
      <c r="K166" s="175"/>
      <c r="M166" s="126"/>
      <c r="N166" s="128" t="s">
        <v>528</v>
      </c>
      <c r="O166" s="151" t="s">
        <v>529</v>
      </c>
    </row>
    <row r="167" customHeight="1" spans="1:14">
      <c r="A167" s="132" t="s">
        <v>530</v>
      </c>
      <c r="E167" s="128"/>
      <c r="I167" s="129"/>
      <c r="J167" s="128"/>
      <c r="K167" s="175"/>
      <c r="M167" s="126"/>
      <c r="N167" s="128"/>
    </row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</sheetData>
  <mergeCells count="18">
    <mergeCell ref="A1:R1"/>
    <mergeCell ref="A2:R2"/>
    <mergeCell ref="A3:R3"/>
    <mergeCell ref="A4:R4"/>
    <mergeCell ref="A50:R50"/>
    <mergeCell ref="A51:R51"/>
    <mergeCell ref="A52:R52"/>
    <mergeCell ref="A53:R53"/>
    <mergeCell ref="A109:R109"/>
    <mergeCell ref="A110:R110"/>
    <mergeCell ref="A111:R111"/>
    <mergeCell ref="A112:R112"/>
    <mergeCell ref="A5:R7"/>
    <mergeCell ref="A8:R9"/>
    <mergeCell ref="A54:R56"/>
    <mergeCell ref="A57:R58"/>
    <mergeCell ref="A113:R115"/>
    <mergeCell ref="A116:R117"/>
  </mergeCells>
  <conditionalFormatting sqref="O13:S46">
    <cfRule type="expression" dxfId="0" priority="2">
      <formula>LEN(TRIM(O13))=0</formula>
    </cfRule>
  </conditionalFormatting>
  <conditionalFormatting sqref="O62:S97">
    <cfRule type="expression" dxfId="1" priority="3">
      <formula>LEN(TRIM(O62))=0</formula>
    </cfRule>
  </conditionalFormatting>
  <conditionalFormatting sqref="O121:R159">
    <cfRule type="expression" dxfId="2" priority="4">
      <formula>LEN(TRIM(O121))=0</formula>
    </cfRule>
  </conditionalFormatting>
  <pageMargins left="0.472222222222222" right="0.472222222222222" top="0.75" bottom="0.75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201"/>
  <sheetViews>
    <sheetView showGridLines="0" tabSelected="1" zoomScale="110" zoomScaleNormal="110" topLeftCell="AN145" workbookViewId="0">
      <selection activeCell="AQ193" sqref="AQ146:AQ193"/>
    </sheetView>
  </sheetViews>
  <sheetFormatPr defaultColWidth="11.5083333333333" defaultRowHeight="15" customHeight="1"/>
  <cols>
    <col min="1" max="1" width="4.51666666666667" style="67" customWidth="1"/>
    <col min="2" max="2" width="11.5083333333333" style="67" hidden="1"/>
    <col min="3" max="3" width="20.35" style="68" hidden="1" customWidth="1"/>
    <col min="4" max="4" width="13.15" style="65" hidden="1" customWidth="1"/>
    <col min="5" max="5" width="13.3" style="65" hidden="1" customWidth="1"/>
    <col min="6" max="6" width="36.15" style="68" customWidth="1"/>
    <col min="7" max="7" width="25.7333333333333" style="68" hidden="1" customWidth="1"/>
    <col min="8" max="8" width="5.70833333333333" style="67" hidden="1" customWidth="1"/>
    <col min="9" max="9" width="24.3916666666667" style="68" hidden="1" customWidth="1"/>
    <col min="10" max="10" width="14.5166666666667" style="68" hidden="1" customWidth="1"/>
    <col min="11" max="11" width="11.5083333333333" style="68" hidden="1"/>
    <col min="12" max="12" width="6.3" style="65" hidden="1" customWidth="1"/>
    <col min="13" max="13" width="11.7" style="67" hidden="1" customWidth="1"/>
    <col min="14" max="14" width="7.18333333333333" style="67" hidden="1" customWidth="1"/>
    <col min="15" max="15" width="11.7" style="67" hidden="1" customWidth="1"/>
    <col min="16" max="16" width="7.18333333333333" style="67" hidden="1" customWidth="1"/>
    <col min="17" max="18" width="11.7" style="67" hidden="1" customWidth="1"/>
    <col min="19" max="19" width="11.7" style="68" hidden="1" customWidth="1"/>
    <col min="20" max="20" width="7.18333333333333" style="67" hidden="1" customWidth="1"/>
    <col min="21" max="22" width="11.7" style="67" hidden="1" customWidth="1"/>
    <col min="23" max="23" width="7.18333333333333" style="67" hidden="1" customWidth="1"/>
    <col min="24" max="24" width="17.7416666666667" style="67" hidden="1" customWidth="1"/>
    <col min="25" max="25" width="7.18333333333333" style="67" hidden="1" customWidth="1"/>
    <col min="26" max="26" width="11.7" style="67" hidden="1" customWidth="1"/>
    <col min="27" max="27" width="7.18333333333333" style="68" hidden="1" customWidth="1"/>
    <col min="28" max="28" width="11.7" style="68" hidden="1" customWidth="1"/>
    <col min="29" max="29" width="10.0833333333333" style="68" hidden="1" customWidth="1"/>
    <col min="30" max="30" width="6.95833333333333" style="65" hidden="1" customWidth="1"/>
    <col min="31" max="31" width="8.58333333333333" style="68" hidden="1" customWidth="1"/>
    <col min="32" max="32" width="9.85" style="68" customWidth="1"/>
    <col min="33" max="34" width="11.5083333333333" style="67"/>
    <col min="35" max="35" width="11.5083333333333" style="65"/>
    <col min="36" max="36" width="11.5083333333333" style="67"/>
    <col min="37" max="38" width="11.5083333333333" style="68"/>
    <col min="39" max="39" width="30.6166666666667" style="68" customWidth="1"/>
    <col min="40" max="40" width="11.5083333333333" style="67"/>
    <col min="41" max="43" width="11.5083333333333" style="68"/>
    <col min="44" max="44" width="33.7583333333333" style="68" customWidth="1"/>
    <col min="45" max="16384" width="11.5083333333333" style="68"/>
  </cols>
  <sheetData>
    <row r="1" ht="12.75" customHeight="1" spans="1:17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2" ht="12.75" customHeight="1" spans="1:17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</row>
    <row r="3" ht="12.75" customHeight="1" spans="1:17">
      <c r="A3" s="69" t="s">
        <v>2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</row>
    <row r="4" ht="16.5" customHeight="1" spans="1:17">
      <c r="A4" s="70" t="s">
        <v>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</row>
    <row r="5" ht="12.75" customHeight="1" spans="1:17">
      <c r="A5" s="71" t="s">
        <v>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</row>
    <row r="6" customHeight="1" spans="1:17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</row>
    <row r="7" ht="12.75" customHeight="1" spans="1:1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</row>
    <row r="8" ht="12.75" customHeight="1" spans="1:17">
      <c r="A8" s="72" t="s">
        <v>5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</row>
    <row r="9" ht="12.75" customHeight="1" spans="1:17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</row>
    <row r="10" ht="12.75" customHeight="1" spans="1:13">
      <c r="A10" s="68"/>
      <c r="B10" s="73"/>
      <c r="D10" s="74" t="s">
        <v>781</v>
      </c>
      <c r="E10" s="82"/>
      <c r="G10" s="73" t="s">
        <v>7</v>
      </c>
      <c r="H10" s="83" t="s">
        <v>8</v>
      </c>
      <c r="M10" s="99" t="s">
        <v>782</v>
      </c>
    </row>
    <row r="11" s="65" customFormat="1" ht="24.75" customHeight="1" spans="1:43">
      <c r="A11" s="75" t="s">
        <v>10</v>
      </c>
      <c r="B11" s="75" t="s">
        <v>11</v>
      </c>
      <c r="C11" s="76" t="s">
        <v>12</v>
      </c>
      <c r="D11" s="76" t="s">
        <v>13</v>
      </c>
      <c r="E11" s="76" t="s">
        <v>14</v>
      </c>
      <c r="F11" s="76" t="s">
        <v>17</v>
      </c>
      <c r="G11" s="76" t="s">
        <v>18</v>
      </c>
      <c r="H11" s="76" t="s">
        <v>19</v>
      </c>
      <c r="I11" s="76" t="s">
        <v>20</v>
      </c>
      <c r="J11" s="76" t="s">
        <v>21</v>
      </c>
      <c r="K11" s="75" t="s">
        <v>22</v>
      </c>
      <c r="L11" s="75" t="s">
        <v>23</v>
      </c>
      <c r="M11" s="100" t="s">
        <v>783</v>
      </c>
      <c r="N11" s="101" t="s">
        <v>784</v>
      </c>
      <c r="O11" s="101" t="s">
        <v>785</v>
      </c>
      <c r="P11" s="101" t="s">
        <v>784</v>
      </c>
      <c r="Q11" s="101" t="s">
        <v>786</v>
      </c>
      <c r="R11" s="101" t="s">
        <v>787</v>
      </c>
      <c r="T11" s="65" t="s">
        <v>788</v>
      </c>
      <c r="U11" s="65" t="s">
        <v>789</v>
      </c>
      <c r="V11" s="65" t="s">
        <v>790</v>
      </c>
      <c r="W11" s="104" t="s">
        <v>38</v>
      </c>
      <c r="X11" s="105" t="s">
        <v>39</v>
      </c>
      <c r="Y11" s="107" t="s">
        <v>40</v>
      </c>
      <c r="Z11" s="108" t="s">
        <v>791</v>
      </c>
      <c r="AF11" s="108" t="s">
        <v>791</v>
      </c>
      <c r="AG11" s="96" t="s">
        <v>792</v>
      </c>
      <c r="AH11" s="101" t="s">
        <v>793</v>
      </c>
      <c r="AI11" s="101" t="s">
        <v>794</v>
      </c>
      <c r="AJ11" s="101" t="s">
        <v>795</v>
      </c>
      <c r="AK11" s="65" t="s">
        <v>796</v>
      </c>
      <c r="AL11" s="65" t="s">
        <v>45</v>
      </c>
      <c r="AP11" s="65" t="s">
        <v>797</v>
      </c>
      <c r="AQ11" s="65" t="s">
        <v>798</v>
      </c>
    </row>
    <row r="12" ht="12.75" customHeight="1" spans="1:45">
      <c r="A12" s="77">
        <v>1</v>
      </c>
      <c r="B12" s="77">
        <v>1</v>
      </c>
      <c r="C12" s="78" t="s">
        <v>55</v>
      </c>
      <c r="D12" s="79">
        <v>252610001</v>
      </c>
      <c r="E12" s="84" t="s">
        <v>799</v>
      </c>
      <c r="F12" s="85" t="s">
        <v>800</v>
      </c>
      <c r="G12" s="86" t="s">
        <v>800</v>
      </c>
      <c r="H12" s="87" t="s">
        <v>61</v>
      </c>
      <c r="I12" s="78" t="s">
        <v>801</v>
      </c>
      <c r="J12" s="95">
        <v>39691</v>
      </c>
      <c r="K12" s="78" t="s">
        <v>62</v>
      </c>
      <c r="L12" s="96" t="s">
        <v>63</v>
      </c>
      <c r="M12" s="102">
        <v>100</v>
      </c>
      <c r="N12" s="102"/>
      <c r="O12" s="77">
        <v>100</v>
      </c>
      <c r="P12" s="77"/>
      <c r="Q12" s="77">
        <v>100</v>
      </c>
      <c r="R12" s="77"/>
      <c r="U12" s="67">
        <v>100</v>
      </c>
      <c r="W12" s="77">
        <f t="shared" ref="W12:W59" si="0">M12+O12+R12+U12</f>
        <v>300</v>
      </c>
      <c r="X12" s="77">
        <f t="shared" ref="X12:X59" si="1">N12*100</f>
        <v>0</v>
      </c>
      <c r="Y12" s="109">
        <f t="shared" ref="Y12:Y59" si="2">(0.8*W12)+(0.2*X12)</f>
        <v>240</v>
      </c>
      <c r="Z12" s="110">
        <f>75+((Y12-$Y$61)/($Y$60-$Y$61)*(92-75))</f>
        <v>87</v>
      </c>
      <c r="AE12" s="67"/>
      <c r="AF12" s="111">
        <v>87</v>
      </c>
      <c r="AG12" s="77">
        <v>100</v>
      </c>
      <c r="AH12" s="77">
        <v>100</v>
      </c>
      <c r="AI12" s="96">
        <v>100</v>
      </c>
      <c r="AJ12" s="77">
        <v>100</v>
      </c>
      <c r="AK12" s="67">
        <f t="shared" ref="AK12:AK59" si="3">SUM(AG12:AJ12)</f>
        <v>400</v>
      </c>
      <c r="AL12" s="68">
        <v>28</v>
      </c>
      <c r="AM12" s="68" t="s">
        <v>802</v>
      </c>
      <c r="AN12" s="67">
        <f t="shared" ref="AN12:AN59" si="4">((70%*AK12)/4)+(30%*AL12)</f>
        <v>78.4</v>
      </c>
      <c r="AO12" s="114">
        <f t="shared" ref="AO12:AO59" si="5">((50%*AF12)+(50%*AN12))</f>
        <v>82.7</v>
      </c>
      <c r="AP12" s="115">
        <f t="shared" ref="AP12:AP59" si="6">77+((AO12-$AO$62)/($AO$61-$AO$62)*(90-77))</f>
        <v>87.2984375</v>
      </c>
      <c r="AQ12" s="116">
        <v>87.2984375</v>
      </c>
      <c r="AR12" s="85" t="s">
        <v>800</v>
      </c>
      <c r="AS12" s="68" t="s">
        <v>800</v>
      </c>
    </row>
    <row r="13" ht="12.75" customHeight="1" spans="1:45">
      <c r="A13" s="77">
        <v>2</v>
      </c>
      <c r="B13" s="77">
        <v>2</v>
      </c>
      <c r="C13" s="78" t="s">
        <v>65</v>
      </c>
      <c r="D13" s="79">
        <v>252610002</v>
      </c>
      <c r="E13" s="84" t="s">
        <v>803</v>
      </c>
      <c r="F13" s="85" t="s">
        <v>804</v>
      </c>
      <c r="G13" s="86" t="s">
        <v>804</v>
      </c>
      <c r="H13" s="87" t="s">
        <v>61</v>
      </c>
      <c r="I13" s="78" t="s">
        <v>805</v>
      </c>
      <c r="J13" s="95">
        <v>39698</v>
      </c>
      <c r="K13" s="78" t="s">
        <v>53</v>
      </c>
      <c r="L13" s="96" t="s">
        <v>63</v>
      </c>
      <c r="M13" s="102">
        <v>100</v>
      </c>
      <c r="N13" s="102"/>
      <c r="O13" s="77"/>
      <c r="P13" s="77"/>
      <c r="Q13" s="77"/>
      <c r="R13" s="77"/>
      <c r="W13" s="77">
        <f t="shared" si="0"/>
        <v>100</v>
      </c>
      <c r="X13" s="77">
        <f t="shared" si="1"/>
        <v>0</v>
      </c>
      <c r="Y13" s="109">
        <f t="shared" si="2"/>
        <v>80</v>
      </c>
      <c r="Z13" s="110">
        <f>75+((Y13-$Y$61)/($Y$60-$Y$61)*(92-75))</f>
        <v>79</v>
      </c>
      <c r="AE13" s="67"/>
      <c r="AF13" s="111">
        <v>79</v>
      </c>
      <c r="AG13" s="77"/>
      <c r="AH13" s="77"/>
      <c r="AI13" s="96"/>
      <c r="AJ13" s="77"/>
      <c r="AK13" s="67">
        <f t="shared" si="3"/>
        <v>0</v>
      </c>
      <c r="AL13" s="68">
        <v>36</v>
      </c>
      <c r="AM13" s="68" t="s">
        <v>806</v>
      </c>
      <c r="AN13" s="67">
        <f t="shared" si="4"/>
        <v>10.8</v>
      </c>
      <c r="AO13" s="114">
        <f t="shared" si="5"/>
        <v>44.9</v>
      </c>
      <c r="AP13" s="115">
        <f t="shared" si="6"/>
        <v>79.6203125</v>
      </c>
      <c r="AQ13" s="116">
        <v>79.6203125</v>
      </c>
      <c r="AR13" s="85" t="s">
        <v>804</v>
      </c>
      <c r="AS13" s="68" t="s">
        <v>804</v>
      </c>
    </row>
    <row r="14" ht="12.75" customHeight="1" spans="1:45">
      <c r="A14" s="77">
        <v>3</v>
      </c>
      <c r="B14" s="77">
        <v>4</v>
      </c>
      <c r="C14" s="78" t="s">
        <v>71</v>
      </c>
      <c r="D14" s="79">
        <v>252610003</v>
      </c>
      <c r="E14" s="84" t="s">
        <v>807</v>
      </c>
      <c r="F14" s="85" t="s">
        <v>808</v>
      </c>
      <c r="G14" s="86" t="s">
        <v>808</v>
      </c>
      <c r="H14" s="87" t="s">
        <v>76</v>
      </c>
      <c r="I14" s="78" t="s">
        <v>809</v>
      </c>
      <c r="J14" s="95">
        <v>39684</v>
      </c>
      <c r="K14" s="78" t="s">
        <v>77</v>
      </c>
      <c r="L14" s="96" t="s">
        <v>63</v>
      </c>
      <c r="M14" s="102">
        <v>100</v>
      </c>
      <c r="N14" s="102"/>
      <c r="O14" s="77">
        <v>100</v>
      </c>
      <c r="P14" s="77"/>
      <c r="Q14" s="77">
        <v>100</v>
      </c>
      <c r="R14" s="77">
        <v>100</v>
      </c>
      <c r="U14" s="67">
        <v>100</v>
      </c>
      <c r="W14" s="77">
        <f t="shared" si="0"/>
        <v>400</v>
      </c>
      <c r="X14" s="77">
        <f t="shared" si="1"/>
        <v>0</v>
      </c>
      <c r="Y14" s="109">
        <f t="shared" si="2"/>
        <v>320</v>
      </c>
      <c r="Z14" s="110">
        <f>75+((Y14-$Y$61)/($Y$60-$Y$61)*(92-75))</f>
        <v>91</v>
      </c>
      <c r="AE14" s="67"/>
      <c r="AF14" s="111">
        <v>91</v>
      </c>
      <c r="AG14" s="77">
        <v>100</v>
      </c>
      <c r="AH14" s="77">
        <v>100</v>
      </c>
      <c r="AI14" s="96">
        <v>100</v>
      </c>
      <c r="AJ14" s="77">
        <v>100</v>
      </c>
      <c r="AK14" s="67">
        <f t="shared" si="3"/>
        <v>400</v>
      </c>
      <c r="AL14" s="68">
        <v>84</v>
      </c>
      <c r="AM14" s="68" t="s">
        <v>810</v>
      </c>
      <c r="AN14" s="67">
        <f t="shared" si="4"/>
        <v>95.2</v>
      </c>
      <c r="AO14" s="114">
        <f t="shared" si="5"/>
        <v>93.1</v>
      </c>
      <c r="AP14" s="115">
        <f t="shared" si="6"/>
        <v>89.4109375</v>
      </c>
      <c r="AQ14" s="116">
        <v>89.4109375</v>
      </c>
      <c r="AR14" s="85" t="s">
        <v>808</v>
      </c>
      <c r="AS14" s="68" t="s">
        <v>808</v>
      </c>
    </row>
    <row r="15" ht="12.75" customHeight="1" spans="1:45">
      <c r="A15" s="77">
        <v>4</v>
      </c>
      <c r="B15" s="77">
        <v>5</v>
      </c>
      <c r="C15" s="78" t="s">
        <v>79</v>
      </c>
      <c r="D15" s="79">
        <v>252610004</v>
      </c>
      <c r="E15" s="84" t="s">
        <v>811</v>
      </c>
      <c r="F15" s="85" t="s">
        <v>812</v>
      </c>
      <c r="G15" s="86" t="s">
        <v>812</v>
      </c>
      <c r="H15" s="87" t="s">
        <v>76</v>
      </c>
      <c r="I15" s="78" t="s">
        <v>801</v>
      </c>
      <c r="J15" s="95">
        <v>39616</v>
      </c>
      <c r="K15" s="78" t="s">
        <v>53</v>
      </c>
      <c r="L15" s="96" t="s">
        <v>63</v>
      </c>
      <c r="M15" s="102">
        <v>100</v>
      </c>
      <c r="N15" s="102"/>
      <c r="O15" s="77"/>
      <c r="P15" s="77"/>
      <c r="Q15" s="77"/>
      <c r="R15" s="77"/>
      <c r="W15" s="77">
        <f t="shared" si="0"/>
        <v>100</v>
      </c>
      <c r="X15" s="77">
        <f t="shared" si="1"/>
        <v>0</v>
      </c>
      <c r="Y15" s="109">
        <f t="shared" si="2"/>
        <v>80</v>
      </c>
      <c r="Z15" s="110">
        <f>75+((Y15-$Y$61)/($Y$60-$Y$61)*(92-75))</f>
        <v>79</v>
      </c>
      <c r="AE15" s="67" t="s">
        <v>813</v>
      </c>
      <c r="AF15" s="111">
        <v>79</v>
      </c>
      <c r="AG15" s="77">
        <v>100</v>
      </c>
      <c r="AH15" s="77">
        <v>100</v>
      </c>
      <c r="AI15" s="96">
        <v>100</v>
      </c>
      <c r="AJ15" s="77"/>
      <c r="AK15" s="67">
        <f t="shared" si="3"/>
        <v>300</v>
      </c>
      <c r="AL15" s="68">
        <v>88</v>
      </c>
      <c r="AM15" s="68" t="s">
        <v>814</v>
      </c>
      <c r="AN15" s="67">
        <f t="shared" si="4"/>
        <v>78.9</v>
      </c>
      <c r="AO15" s="114">
        <f t="shared" si="5"/>
        <v>78.95</v>
      </c>
      <c r="AP15" s="115">
        <f t="shared" si="6"/>
        <v>86.53671875</v>
      </c>
      <c r="AQ15" s="116">
        <v>86.53671875</v>
      </c>
      <c r="AR15" s="85" t="s">
        <v>812</v>
      </c>
      <c r="AS15" s="68" t="s">
        <v>812</v>
      </c>
    </row>
    <row r="16" ht="12.75" customHeight="1" spans="1:45">
      <c r="A16" s="77">
        <v>5</v>
      </c>
      <c r="B16" s="77">
        <v>6</v>
      </c>
      <c r="C16" s="78" t="s">
        <v>85</v>
      </c>
      <c r="D16" s="79">
        <v>252610005</v>
      </c>
      <c r="E16" s="84" t="s">
        <v>815</v>
      </c>
      <c r="F16" s="85" t="s">
        <v>816</v>
      </c>
      <c r="G16" s="86" t="s">
        <v>816</v>
      </c>
      <c r="H16" s="87" t="s">
        <v>76</v>
      </c>
      <c r="I16" s="78" t="s">
        <v>809</v>
      </c>
      <c r="J16" s="95">
        <v>39948</v>
      </c>
      <c r="K16" s="78" t="s">
        <v>90</v>
      </c>
      <c r="L16" s="96" t="s">
        <v>63</v>
      </c>
      <c r="M16" s="102"/>
      <c r="N16" s="102"/>
      <c r="O16" s="77"/>
      <c r="P16" s="77"/>
      <c r="Q16" s="77"/>
      <c r="R16" s="77"/>
      <c r="U16" s="106"/>
      <c r="W16" s="77">
        <f t="shared" si="0"/>
        <v>0</v>
      </c>
      <c r="X16" s="77">
        <f t="shared" si="1"/>
        <v>0</v>
      </c>
      <c r="Y16" s="109">
        <f t="shared" si="2"/>
        <v>0</v>
      </c>
      <c r="Z16" s="110">
        <v>0</v>
      </c>
      <c r="AE16" s="67"/>
      <c r="AF16" s="111">
        <v>40</v>
      </c>
      <c r="AG16" s="77"/>
      <c r="AH16" s="77"/>
      <c r="AI16" s="96"/>
      <c r="AJ16" s="77"/>
      <c r="AK16" s="67">
        <f t="shared" si="3"/>
        <v>0</v>
      </c>
      <c r="AL16" s="68">
        <v>80</v>
      </c>
      <c r="AM16" s="68" t="s">
        <v>817</v>
      </c>
      <c r="AN16" s="67">
        <f t="shared" si="4"/>
        <v>24</v>
      </c>
      <c r="AO16" s="114">
        <f t="shared" si="5"/>
        <v>32</v>
      </c>
      <c r="AP16" s="115">
        <f t="shared" si="6"/>
        <v>77</v>
      </c>
      <c r="AQ16" s="116">
        <v>77</v>
      </c>
      <c r="AR16" s="85" t="s">
        <v>816</v>
      </c>
      <c r="AS16" s="68" t="s">
        <v>816</v>
      </c>
    </row>
    <row r="17" ht="12.75" customHeight="1" spans="1:45">
      <c r="A17" s="77">
        <v>6</v>
      </c>
      <c r="B17" s="77">
        <v>7</v>
      </c>
      <c r="C17" s="78" t="s">
        <v>92</v>
      </c>
      <c r="D17" s="79">
        <v>252610006</v>
      </c>
      <c r="E17" s="84" t="s">
        <v>818</v>
      </c>
      <c r="F17" s="85" t="s">
        <v>819</v>
      </c>
      <c r="G17" s="86" t="s">
        <v>819</v>
      </c>
      <c r="H17" s="87" t="s">
        <v>76</v>
      </c>
      <c r="I17" s="78" t="s">
        <v>809</v>
      </c>
      <c r="J17" s="95">
        <v>39904</v>
      </c>
      <c r="K17" s="78" t="s">
        <v>90</v>
      </c>
      <c r="L17" s="96" t="s">
        <v>63</v>
      </c>
      <c r="M17" s="102"/>
      <c r="N17" s="102"/>
      <c r="O17" s="77"/>
      <c r="P17" s="77"/>
      <c r="Q17" s="77">
        <v>95</v>
      </c>
      <c r="R17" s="77"/>
      <c r="W17" s="77">
        <f t="shared" si="0"/>
        <v>0</v>
      </c>
      <c r="X17" s="77">
        <f t="shared" si="1"/>
        <v>0</v>
      </c>
      <c r="Y17" s="109">
        <f t="shared" si="2"/>
        <v>0</v>
      </c>
      <c r="Z17" s="110">
        <v>0</v>
      </c>
      <c r="AE17" s="67"/>
      <c r="AF17" s="111">
        <v>40</v>
      </c>
      <c r="AG17" s="77"/>
      <c r="AH17" s="77"/>
      <c r="AI17" s="96"/>
      <c r="AJ17" s="77">
        <v>100</v>
      </c>
      <c r="AK17" s="67">
        <f t="shared" si="3"/>
        <v>100</v>
      </c>
      <c r="AL17" s="68">
        <v>88</v>
      </c>
      <c r="AM17" s="68" t="s">
        <v>820</v>
      </c>
      <c r="AN17" s="67">
        <f t="shared" si="4"/>
        <v>43.9</v>
      </c>
      <c r="AO17" s="114">
        <f t="shared" si="5"/>
        <v>41.95</v>
      </c>
      <c r="AP17" s="115">
        <f t="shared" si="6"/>
        <v>79.02109375</v>
      </c>
      <c r="AQ17" s="116">
        <v>79.02109375</v>
      </c>
      <c r="AR17" s="85" t="s">
        <v>819</v>
      </c>
      <c r="AS17" s="68" t="s">
        <v>819</v>
      </c>
    </row>
    <row r="18" ht="12.75" customHeight="1" spans="1:45">
      <c r="A18" s="77">
        <v>7</v>
      </c>
      <c r="B18" s="77">
        <v>8</v>
      </c>
      <c r="C18" s="78" t="s">
        <v>98</v>
      </c>
      <c r="D18" s="79">
        <v>252610007</v>
      </c>
      <c r="E18" s="84" t="s">
        <v>821</v>
      </c>
      <c r="F18" s="85" t="s">
        <v>822</v>
      </c>
      <c r="G18" s="86" t="s">
        <v>822</v>
      </c>
      <c r="H18" s="87" t="s">
        <v>61</v>
      </c>
      <c r="I18" s="78" t="s">
        <v>801</v>
      </c>
      <c r="J18" s="95">
        <v>39710</v>
      </c>
      <c r="K18" s="78" t="s">
        <v>53</v>
      </c>
      <c r="L18" s="96" t="s">
        <v>63</v>
      </c>
      <c r="M18" s="102">
        <v>100</v>
      </c>
      <c r="N18" s="102"/>
      <c r="O18" s="77">
        <v>100</v>
      </c>
      <c r="P18" s="77"/>
      <c r="Q18" s="77"/>
      <c r="R18" s="77"/>
      <c r="W18" s="77">
        <f t="shared" si="0"/>
        <v>200</v>
      </c>
      <c r="X18" s="77">
        <f t="shared" si="1"/>
        <v>0</v>
      </c>
      <c r="Y18" s="109">
        <f t="shared" si="2"/>
        <v>160</v>
      </c>
      <c r="Z18" s="110">
        <f>75+((Y18-$Y$61)/($Y$60-$Y$61)*(92-75))</f>
        <v>83</v>
      </c>
      <c r="AE18" s="67"/>
      <c r="AF18" s="111">
        <v>83</v>
      </c>
      <c r="AG18" s="77"/>
      <c r="AH18" s="77">
        <v>100</v>
      </c>
      <c r="AI18" s="96">
        <v>100</v>
      </c>
      <c r="AJ18" s="77">
        <v>100</v>
      </c>
      <c r="AK18" s="67">
        <f t="shared" si="3"/>
        <v>300</v>
      </c>
      <c r="AL18" s="68">
        <v>68</v>
      </c>
      <c r="AM18" s="68" t="s">
        <v>823</v>
      </c>
      <c r="AN18" s="67">
        <f t="shared" si="4"/>
        <v>72.9</v>
      </c>
      <c r="AO18" s="114">
        <f t="shared" si="5"/>
        <v>77.95</v>
      </c>
      <c r="AP18" s="115">
        <f t="shared" si="6"/>
        <v>86.33359375</v>
      </c>
      <c r="AQ18" s="116">
        <v>86.33359375</v>
      </c>
      <c r="AR18" s="85" t="s">
        <v>822</v>
      </c>
      <c r="AS18" s="68" t="s">
        <v>822</v>
      </c>
    </row>
    <row r="19" ht="12.75" customHeight="1" spans="1:45">
      <c r="A19" s="77">
        <v>8</v>
      </c>
      <c r="B19" s="77">
        <v>9</v>
      </c>
      <c r="C19" s="78" t="s">
        <v>104</v>
      </c>
      <c r="D19" s="79">
        <v>252610008</v>
      </c>
      <c r="E19" s="84" t="s">
        <v>824</v>
      </c>
      <c r="F19" s="85" t="s">
        <v>825</v>
      </c>
      <c r="G19" s="86" t="s">
        <v>825</v>
      </c>
      <c r="H19" s="87" t="s">
        <v>61</v>
      </c>
      <c r="I19" s="78" t="s">
        <v>809</v>
      </c>
      <c r="J19" s="95">
        <v>39542</v>
      </c>
      <c r="K19" s="78" t="s">
        <v>77</v>
      </c>
      <c r="L19" s="96" t="s">
        <v>63</v>
      </c>
      <c r="M19" s="102">
        <v>100</v>
      </c>
      <c r="N19" s="102"/>
      <c r="O19" s="77">
        <v>100</v>
      </c>
      <c r="P19" s="77"/>
      <c r="Q19" s="77">
        <v>100</v>
      </c>
      <c r="R19" s="77"/>
      <c r="U19" s="67">
        <v>100</v>
      </c>
      <c r="W19" s="77">
        <f t="shared" si="0"/>
        <v>300</v>
      </c>
      <c r="X19" s="77">
        <f t="shared" si="1"/>
        <v>0</v>
      </c>
      <c r="Y19" s="109">
        <f t="shared" si="2"/>
        <v>240</v>
      </c>
      <c r="Z19" s="110">
        <f>75+((Y19-$Y$61)/($Y$60-$Y$61)*(92-75))</f>
        <v>87</v>
      </c>
      <c r="AE19" s="67"/>
      <c r="AF19" s="111">
        <v>87</v>
      </c>
      <c r="AG19" s="77">
        <v>100</v>
      </c>
      <c r="AH19" s="77">
        <v>100</v>
      </c>
      <c r="AI19" s="96">
        <v>100</v>
      </c>
      <c r="AJ19" s="77">
        <v>100</v>
      </c>
      <c r="AK19" s="67">
        <f t="shared" si="3"/>
        <v>400</v>
      </c>
      <c r="AL19" s="68">
        <v>64</v>
      </c>
      <c r="AM19" s="68" t="s">
        <v>826</v>
      </c>
      <c r="AN19" s="67">
        <f t="shared" si="4"/>
        <v>89.2</v>
      </c>
      <c r="AO19" s="114">
        <f t="shared" si="5"/>
        <v>88.1</v>
      </c>
      <c r="AP19" s="115">
        <f t="shared" si="6"/>
        <v>88.3953125</v>
      </c>
      <c r="AQ19" s="116">
        <v>88.3953125</v>
      </c>
      <c r="AR19" s="85" t="s">
        <v>825</v>
      </c>
      <c r="AS19" s="68" t="s">
        <v>825</v>
      </c>
    </row>
    <row r="20" ht="12.75" customHeight="1" spans="1:45">
      <c r="A20" s="77">
        <v>9</v>
      </c>
      <c r="B20" s="77">
        <v>10</v>
      </c>
      <c r="C20" s="78" t="s">
        <v>110</v>
      </c>
      <c r="D20" s="79">
        <v>252610009</v>
      </c>
      <c r="E20" s="84" t="s">
        <v>827</v>
      </c>
      <c r="F20" s="85" t="s">
        <v>828</v>
      </c>
      <c r="G20" s="86" t="s">
        <v>828</v>
      </c>
      <c r="H20" s="87" t="s">
        <v>61</v>
      </c>
      <c r="I20" s="78" t="s">
        <v>809</v>
      </c>
      <c r="J20" s="95">
        <v>39886</v>
      </c>
      <c r="K20" s="78" t="s">
        <v>90</v>
      </c>
      <c r="L20" s="96" t="s">
        <v>63</v>
      </c>
      <c r="M20" s="102"/>
      <c r="N20" s="102"/>
      <c r="O20" s="77"/>
      <c r="P20" s="77"/>
      <c r="Q20" s="77"/>
      <c r="R20" s="77"/>
      <c r="W20" s="77">
        <f t="shared" si="0"/>
        <v>0</v>
      </c>
      <c r="X20" s="77">
        <f t="shared" si="1"/>
        <v>0</v>
      </c>
      <c r="Y20" s="109">
        <f t="shared" si="2"/>
        <v>0</v>
      </c>
      <c r="Z20" s="110">
        <v>0</v>
      </c>
      <c r="AE20" s="67"/>
      <c r="AF20" s="111">
        <v>40</v>
      </c>
      <c r="AG20" s="77"/>
      <c r="AH20" s="77"/>
      <c r="AI20" s="96">
        <v>100</v>
      </c>
      <c r="AJ20" s="77">
        <v>100</v>
      </c>
      <c r="AK20" s="67">
        <f t="shared" si="3"/>
        <v>200</v>
      </c>
      <c r="AL20" s="68">
        <v>72</v>
      </c>
      <c r="AM20" s="68" t="s">
        <v>829</v>
      </c>
      <c r="AN20" s="67">
        <f t="shared" si="4"/>
        <v>56.6</v>
      </c>
      <c r="AO20" s="114">
        <f t="shared" si="5"/>
        <v>48.3</v>
      </c>
      <c r="AP20" s="115">
        <f t="shared" si="6"/>
        <v>80.3109375</v>
      </c>
      <c r="AQ20" s="116">
        <v>80.3109375</v>
      </c>
      <c r="AR20" s="85" t="s">
        <v>828</v>
      </c>
      <c r="AS20" s="68" t="s">
        <v>828</v>
      </c>
    </row>
    <row r="21" ht="12.75" customHeight="1" spans="1:45">
      <c r="A21" s="77">
        <v>10</v>
      </c>
      <c r="B21" s="77">
        <v>11</v>
      </c>
      <c r="C21" s="78" t="s">
        <v>117</v>
      </c>
      <c r="D21" s="79">
        <v>252610010</v>
      </c>
      <c r="E21" s="84" t="s">
        <v>830</v>
      </c>
      <c r="F21" s="85" t="s">
        <v>831</v>
      </c>
      <c r="G21" s="86" t="s">
        <v>831</v>
      </c>
      <c r="H21" s="87" t="s">
        <v>61</v>
      </c>
      <c r="I21" s="78" t="s">
        <v>832</v>
      </c>
      <c r="J21" s="95">
        <v>39944</v>
      </c>
      <c r="K21" s="78" t="s">
        <v>77</v>
      </c>
      <c r="L21" s="96" t="s">
        <v>63</v>
      </c>
      <c r="M21" s="102">
        <v>100</v>
      </c>
      <c r="N21" s="102"/>
      <c r="O21" s="77"/>
      <c r="P21" s="77"/>
      <c r="Q21" s="77">
        <v>100</v>
      </c>
      <c r="R21" s="77"/>
      <c r="U21" s="67">
        <v>100</v>
      </c>
      <c r="W21" s="77">
        <f t="shared" si="0"/>
        <v>200</v>
      </c>
      <c r="X21" s="77">
        <f t="shared" si="1"/>
        <v>0</v>
      </c>
      <c r="Y21" s="109">
        <f t="shared" si="2"/>
        <v>160</v>
      </c>
      <c r="Z21" s="110">
        <f t="shared" ref="Z21:Z58" si="7">75+((Y21-$Y$61)/($Y$60-$Y$61)*(92-75))</f>
        <v>83</v>
      </c>
      <c r="AE21" s="67"/>
      <c r="AF21" s="111">
        <v>83</v>
      </c>
      <c r="AG21" s="77"/>
      <c r="AH21" s="77">
        <v>100</v>
      </c>
      <c r="AI21" s="96">
        <v>100</v>
      </c>
      <c r="AJ21" s="77">
        <v>100</v>
      </c>
      <c r="AK21" s="67">
        <f t="shared" si="3"/>
        <v>300</v>
      </c>
      <c r="AL21" s="68">
        <v>88</v>
      </c>
      <c r="AM21" s="68" t="s">
        <v>833</v>
      </c>
      <c r="AN21" s="67">
        <f t="shared" si="4"/>
        <v>78.9</v>
      </c>
      <c r="AO21" s="114">
        <f t="shared" si="5"/>
        <v>80.95</v>
      </c>
      <c r="AP21" s="115">
        <f t="shared" si="6"/>
        <v>86.94296875</v>
      </c>
      <c r="AQ21" s="116">
        <v>86.94296875</v>
      </c>
      <c r="AR21" s="85" t="s">
        <v>831</v>
      </c>
      <c r="AS21" s="68" t="s">
        <v>831</v>
      </c>
    </row>
    <row r="22" ht="12.75" customHeight="1" spans="1:45">
      <c r="A22" s="77">
        <v>11</v>
      </c>
      <c r="B22" s="77">
        <v>12</v>
      </c>
      <c r="C22" s="78" t="s">
        <v>124</v>
      </c>
      <c r="D22" s="79">
        <v>252610011</v>
      </c>
      <c r="E22" s="84" t="s">
        <v>834</v>
      </c>
      <c r="F22" s="85" t="s">
        <v>835</v>
      </c>
      <c r="G22" s="86" t="s">
        <v>835</v>
      </c>
      <c r="H22" s="87" t="s">
        <v>76</v>
      </c>
      <c r="I22" s="78" t="s">
        <v>809</v>
      </c>
      <c r="J22" s="95">
        <v>39825</v>
      </c>
      <c r="K22" s="78" t="s">
        <v>130</v>
      </c>
      <c r="L22" s="96" t="s">
        <v>63</v>
      </c>
      <c r="M22" s="102"/>
      <c r="N22" s="102"/>
      <c r="O22" s="77">
        <v>100</v>
      </c>
      <c r="P22" s="103"/>
      <c r="Q22" s="77">
        <v>100</v>
      </c>
      <c r="R22" s="77"/>
      <c r="V22" s="67" t="s">
        <v>836</v>
      </c>
      <c r="W22" s="77">
        <f t="shared" si="0"/>
        <v>100</v>
      </c>
      <c r="X22" s="77">
        <f t="shared" si="1"/>
        <v>0</v>
      </c>
      <c r="Y22" s="109">
        <f t="shared" si="2"/>
        <v>80</v>
      </c>
      <c r="Z22" s="110">
        <f t="shared" si="7"/>
        <v>79</v>
      </c>
      <c r="AE22" s="67" t="s">
        <v>837</v>
      </c>
      <c r="AF22" s="111">
        <v>79</v>
      </c>
      <c r="AG22" s="77"/>
      <c r="AH22" s="77">
        <v>100</v>
      </c>
      <c r="AI22" s="96"/>
      <c r="AJ22" s="77"/>
      <c r="AK22" s="67">
        <f t="shared" si="3"/>
        <v>100</v>
      </c>
      <c r="AL22" s="68">
        <v>68</v>
      </c>
      <c r="AM22" s="68" t="s">
        <v>838</v>
      </c>
      <c r="AN22" s="67">
        <f t="shared" si="4"/>
        <v>37.9</v>
      </c>
      <c r="AO22" s="114">
        <f t="shared" si="5"/>
        <v>58.45</v>
      </c>
      <c r="AP22" s="115">
        <f t="shared" si="6"/>
        <v>82.37265625</v>
      </c>
      <c r="AQ22" s="116">
        <v>82.37265625</v>
      </c>
      <c r="AR22" s="85" t="s">
        <v>835</v>
      </c>
      <c r="AS22" s="68" t="s">
        <v>835</v>
      </c>
    </row>
    <row r="23" ht="12.75" customHeight="1" spans="1:45">
      <c r="A23" s="77">
        <v>12</v>
      </c>
      <c r="B23" s="77">
        <v>13</v>
      </c>
      <c r="C23" s="78" t="s">
        <v>132</v>
      </c>
      <c r="D23" s="79">
        <v>252610012</v>
      </c>
      <c r="E23" s="84" t="s">
        <v>839</v>
      </c>
      <c r="F23" s="85" t="s">
        <v>840</v>
      </c>
      <c r="G23" s="86" t="s">
        <v>840</v>
      </c>
      <c r="H23" s="87" t="s">
        <v>61</v>
      </c>
      <c r="I23" s="78" t="s">
        <v>809</v>
      </c>
      <c r="J23" s="95">
        <v>39925</v>
      </c>
      <c r="K23" s="78" t="s">
        <v>90</v>
      </c>
      <c r="L23" s="96" t="s">
        <v>63</v>
      </c>
      <c r="M23" s="102">
        <v>100</v>
      </c>
      <c r="N23" s="102"/>
      <c r="O23" s="77">
        <v>100</v>
      </c>
      <c r="P23" s="77"/>
      <c r="Q23" s="77">
        <v>100</v>
      </c>
      <c r="R23" s="77">
        <v>100</v>
      </c>
      <c r="U23" s="67">
        <v>100</v>
      </c>
      <c r="W23" s="77">
        <f t="shared" si="0"/>
        <v>400</v>
      </c>
      <c r="X23" s="77">
        <f t="shared" si="1"/>
        <v>0</v>
      </c>
      <c r="Y23" s="109">
        <f t="shared" si="2"/>
        <v>320</v>
      </c>
      <c r="Z23" s="110">
        <f t="shared" si="7"/>
        <v>91</v>
      </c>
      <c r="AE23" s="67"/>
      <c r="AF23" s="111">
        <v>91</v>
      </c>
      <c r="AG23" s="77">
        <v>100</v>
      </c>
      <c r="AH23" s="77">
        <v>100</v>
      </c>
      <c r="AI23" s="96">
        <v>100</v>
      </c>
      <c r="AJ23" s="77">
        <v>100</v>
      </c>
      <c r="AK23" s="67">
        <f t="shared" si="3"/>
        <v>400</v>
      </c>
      <c r="AL23" s="68">
        <v>44</v>
      </c>
      <c r="AM23" s="68" t="s">
        <v>841</v>
      </c>
      <c r="AN23" s="67">
        <f t="shared" si="4"/>
        <v>83.2</v>
      </c>
      <c r="AO23" s="114">
        <f t="shared" si="5"/>
        <v>87.1</v>
      </c>
      <c r="AP23" s="115">
        <f t="shared" si="6"/>
        <v>88.1921875</v>
      </c>
      <c r="AQ23" s="116">
        <v>88.1921875</v>
      </c>
      <c r="AR23" s="85" t="s">
        <v>840</v>
      </c>
      <c r="AS23" s="68" t="s">
        <v>840</v>
      </c>
    </row>
    <row r="24" ht="12.75" customHeight="1" spans="1:45">
      <c r="A24" s="77">
        <v>13</v>
      </c>
      <c r="B24" s="77">
        <v>14</v>
      </c>
      <c r="C24" s="78" t="s">
        <v>138</v>
      </c>
      <c r="D24" s="79">
        <v>252610013</v>
      </c>
      <c r="E24" s="84" t="s">
        <v>842</v>
      </c>
      <c r="F24" s="85" t="s">
        <v>843</v>
      </c>
      <c r="G24" s="86" t="s">
        <v>843</v>
      </c>
      <c r="H24" s="88" t="s">
        <v>61</v>
      </c>
      <c r="I24" s="97" t="s">
        <v>809</v>
      </c>
      <c r="J24" s="95">
        <v>39836</v>
      </c>
      <c r="K24" s="78" t="s">
        <v>144</v>
      </c>
      <c r="L24" s="96" t="s">
        <v>63</v>
      </c>
      <c r="M24" s="102">
        <v>100</v>
      </c>
      <c r="N24" s="102"/>
      <c r="O24" s="77">
        <v>100</v>
      </c>
      <c r="P24" s="77"/>
      <c r="Q24" s="77"/>
      <c r="R24" s="77"/>
      <c r="U24" s="67">
        <v>100</v>
      </c>
      <c r="W24" s="77">
        <f t="shared" si="0"/>
        <v>300</v>
      </c>
      <c r="X24" s="77">
        <f t="shared" si="1"/>
        <v>0</v>
      </c>
      <c r="Y24" s="109">
        <f t="shared" si="2"/>
        <v>240</v>
      </c>
      <c r="Z24" s="110">
        <f t="shared" si="7"/>
        <v>87</v>
      </c>
      <c r="AE24" s="67"/>
      <c r="AF24" s="111">
        <v>87</v>
      </c>
      <c r="AG24" s="77">
        <v>100</v>
      </c>
      <c r="AH24" s="77">
        <v>100</v>
      </c>
      <c r="AI24" s="96">
        <v>100</v>
      </c>
      <c r="AJ24" s="77">
        <v>100</v>
      </c>
      <c r="AK24" s="67">
        <f t="shared" si="3"/>
        <v>400</v>
      </c>
      <c r="AL24" s="68">
        <v>84</v>
      </c>
      <c r="AM24" s="68" t="s">
        <v>843</v>
      </c>
      <c r="AN24" s="67">
        <f t="shared" si="4"/>
        <v>95.2</v>
      </c>
      <c r="AO24" s="114">
        <f t="shared" si="5"/>
        <v>91.1</v>
      </c>
      <c r="AP24" s="115">
        <f t="shared" si="6"/>
        <v>89.0046875</v>
      </c>
      <c r="AQ24" s="116">
        <v>89.0046875</v>
      </c>
      <c r="AR24" s="85" t="s">
        <v>843</v>
      </c>
      <c r="AS24" s="68" t="s">
        <v>843</v>
      </c>
    </row>
    <row r="25" ht="12.75" customHeight="1" spans="1:45">
      <c r="A25" s="77">
        <v>14</v>
      </c>
      <c r="B25" s="77">
        <v>15</v>
      </c>
      <c r="C25" s="78" t="s">
        <v>146</v>
      </c>
      <c r="D25" s="79">
        <v>252610014</v>
      </c>
      <c r="E25" s="84" t="s">
        <v>844</v>
      </c>
      <c r="F25" s="85" t="s">
        <v>845</v>
      </c>
      <c r="G25" s="86" t="s">
        <v>845</v>
      </c>
      <c r="H25" s="87" t="s">
        <v>61</v>
      </c>
      <c r="I25" s="78" t="s">
        <v>801</v>
      </c>
      <c r="J25" s="95">
        <v>39668</v>
      </c>
      <c r="K25" s="78" t="s">
        <v>90</v>
      </c>
      <c r="L25" s="96" t="s">
        <v>63</v>
      </c>
      <c r="M25" s="102">
        <v>100</v>
      </c>
      <c r="N25" s="102">
        <v>1</v>
      </c>
      <c r="O25" s="77">
        <v>100</v>
      </c>
      <c r="P25" s="103"/>
      <c r="Q25" s="77">
        <v>100</v>
      </c>
      <c r="R25" s="77">
        <v>100</v>
      </c>
      <c r="U25" s="67">
        <v>100</v>
      </c>
      <c r="W25" s="77">
        <f t="shared" si="0"/>
        <v>400</v>
      </c>
      <c r="X25" s="77">
        <f t="shared" si="1"/>
        <v>100</v>
      </c>
      <c r="Y25" s="109">
        <f t="shared" si="2"/>
        <v>340</v>
      </c>
      <c r="Z25" s="110">
        <f t="shared" si="7"/>
        <v>92</v>
      </c>
      <c r="AE25" s="67"/>
      <c r="AF25" s="111">
        <v>92</v>
      </c>
      <c r="AG25" s="77">
        <v>100</v>
      </c>
      <c r="AH25" s="77">
        <v>100</v>
      </c>
      <c r="AI25" s="96">
        <v>100</v>
      </c>
      <c r="AJ25" s="77">
        <v>100</v>
      </c>
      <c r="AK25" s="67">
        <f t="shared" si="3"/>
        <v>400</v>
      </c>
      <c r="AL25" s="68">
        <v>92</v>
      </c>
      <c r="AM25" s="68" t="s">
        <v>846</v>
      </c>
      <c r="AN25" s="67">
        <f t="shared" si="4"/>
        <v>97.6</v>
      </c>
      <c r="AO25" s="114">
        <f t="shared" si="5"/>
        <v>94.8</v>
      </c>
      <c r="AP25" s="115">
        <f t="shared" si="6"/>
        <v>89.75625</v>
      </c>
      <c r="AQ25" s="116">
        <v>89.75625</v>
      </c>
      <c r="AR25" s="85" t="s">
        <v>845</v>
      </c>
      <c r="AS25" s="68" t="s">
        <v>845</v>
      </c>
    </row>
    <row r="26" ht="12.75" customHeight="1" spans="1:45">
      <c r="A26" s="77">
        <v>15</v>
      </c>
      <c r="B26" s="77">
        <v>16</v>
      </c>
      <c r="C26" s="78" t="s">
        <v>153</v>
      </c>
      <c r="D26" s="79">
        <v>252610015</v>
      </c>
      <c r="E26" s="84" t="s">
        <v>847</v>
      </c>
      <c r="F26" s="85" t="s">
        <v>848</v>
      </c>
      <c r="G26" s="86" t="s">
        <v>848</v>
      </c>
      <c r="H26" s="87" t="s">
        <v>76</v>
      </c>
      <c r="I26" s="78" t="s">
        <v>809</v>
      </c>
      <c r="J26" s="95">
        <v>39654</v>
      </c>
      <c r="K26" s="78" t="s">
        <v>130</v>
      </c>
      <c r="L26" s="96" t="s">
        <v>63</v>
      </c>
      <c r="M26" s="102">
        <v>100</v>
      </c>
      <c r="N26" s="102">
        <v>1</v>
      </c>
      <c r="O26" s="77"/>
      <c r="P26" s="103"/>
      <c r="Q26" s="77">
        <v>100</v>
      </c>
      <c r="R26" s="77">
        <v>100</v>
      </c>
      <c r="U26" s="67">
        <v>100</v>
      </c>
      <c r="W26" s="77">
        <f t="shared" si="0"/>
        <v>300</v>
      </c>
      <c r="X26" s="77">
        <f t="shared" si="1"/>
        <v>100</v>
      </c>
      <c r="Y26" s="109">
        <f t="shared" si="2"/>
        <v>260</v>
      </c>
      <c r="Z26" s="110">
        <f t="shared" si="7"/>
        <v>88</v>
      </c>
      <c r="AE26" s="67"/>
      <c r="AF26" s="111">
        <v>88</v>
      </c>
      <c r="AG26" s="77">
        <v>100</v>
      </c>
      <c r="AH26" s="77">
        <v>100</v>
      </c>
      <c r="AI26" s="96">
        <v>100</v>
      </c>
      <c r="AJ26" s="77"/>
      <c r="AK26" s="67">
        <f t="shared" si="3"/>
        <v>300</v>
      </c>
      <c r="AL26" s="68">
        <v>96</v>
      </c>
      <c r="AM26" s="68" t="s">
        <v>849</v>
      </c>
      <c r="AN26" s="67">
        <f t="shared" si="4"/>
        <v>81.3</v>
      </c>
      <c r="AO26" s="114">
        <f t="shared" si="5"/>
        <v>84.65</v>
      </c>
      <c r="AP26" s="115">
        <f t="shared" si="6"/>
        <v>87.69453125</v>
      </c>
      <c r="AQ26" s="116">
        <v>87.69453125</v>
      </c>
      <c r="AR26" s="85" t="s">
        <v>848</v>
      </c>
      <c r="AS26" s="68" t="s">
        <v>848</v>
      </c>
    </row>
    <row r="27" ht="12.75" customHeight="1" spans="1:45">
      <c r="A27" s="77">
        <v>16</v>
      </c>
      <c r="B27" s="77">
        <v>17</v>
      </c>
      <c r="C27" s="78" t="s">
        <v>850</v>
      </c>
      <c r="D27" s="79">
        <v>252610016</v>
      </c>
      <c r="E27" s="84" t="s">
        <v>851</v>
      </c>
      <c r="F27" s="85" t="s">
        <v>852</v>
      </c>
      <c r="G27" s="86" t="s">
        <v>852</v>
      </c>
      <c r="H27" s="87" t="s">
        <v>61</v>
      </c>
      <c r="I27" s="78" t="s">
        <v>801</v>
      </c>
      <c r="J27" s="95">
        <v>39732</v>
      </c>
      <c r="K27" s="78" t="s">
        <v>90</v>
      </c>
      <c r="L27" s="96" t="s">
        <v>63</v>
      </c>
      <c r="M27" s="102">
        <v>100</v>
      </c>
      <c r="N27" s="102"/>
      <c r="O27" s="77">
        <v>100</v>
      </c>
      <c r="P27" s="77"/>
      <c r="Q27" s="77">
        <v>100</v>
      </c>
      <c r="R27" s="77"/>
      <c r="U27" s="67">
        <v>100</v>
      </c>
      <c r="W27" s="77">
        <f t="shared" si="0"/>
        <v>300</v>
      </c>
      <c r="X27" s="77">
        <f t="shared" si="1"/>
        <v>0</v>
      </c>
      <c r="Y27" s="109">
        <f t="shared" si="2"/>
        <v>240</v>
      </c>
      <c r="Z27" s="110">
        <f t="shared" si="7"/>
        <v>87</v>
      </c>
      <c r="AE27" s="67"/>
      <c r="AF27" s="111">
        <v>87</v>
      </c>
      <c r="AG27" s="77"/>
      <c r="AH27" s="77">
        <v>100</v>
      </c>
      <c r="AI27" s="96">
        <v>100</v>
      </c>
      <c r="AJ27" s="77">
        <v>100</v>
      </c>
      <c r="AK27" s="67">
        <f t="shared" si="3"/>
        <v>300</v>
      </c>
      <c r="AL27" s="68">
        <v>52</v>
      </c>
      <c r="AM27" s="68" t="s">
        <v>853</v>
      </c>
      <c r="AN27" s="67">
        <f t="shared" si="4"/>
        <v>68.1</v>
      </c>
      <c r="AO27" s="114">
        <f t="shared" si="5"/>
        <v>77.55</v>
      </c>
      <c r="AP27" s="115">
        <f t="shared" si="6"/>
        <v>86.25234375</v>
      </c>
      <c r="AQ27" s="116">
        <v>86.25234375</v>
      </c>
      <c r="AR27" s="85" t="s">
        <v>852</v>
      </c>
      <c r="AS27" s="68" t="s">
        <v>852</v>
      </c>
    </row>
    <row r="28" ht="12.75" customHeight="1" spans="1:45">
      <c r="A28" s="77">
        <v>17</v>
      </c>
      <c r="B28" s="77">
        <v>18</v>
      </c>
      <c r="C28" s="78" t="s">
        <v>165</v>
      </c>
      <c r="D28" s="79">
        <v>252610017</v>
      </c>
      <c r="E28" s="84" t="s">
        <v>854</v>
      </c>
      <c r="F28" s="85" t="s">
        <v>855</v>
      </c>
      <c r="G28" s="86" t="s">
        <v>855</v>
      </c>
      <c r="H28" s="87" t="s">
        <v>61</v>
      </c>
      <c r="I28" s="78" t="s">
        <v>809</v>
      </c>
      <c r="J28" s="95">
        <v>39765</v>
      </c>
      <c r="K28" s="78" t="s">
        <v>171</v>
      </c>
      <c r="L28" s="96" t="s">
        <v>63</v>
      </c>
      <c r="M28" s="102">
        <v>100</v>
      </c>
      <c r="N28" s="102"/>
      <c r="O28" s="77">
        <v>100</v>
      </c>
      <c r="P28" s="77"/>
      <c r="Q28" s="77">
        <v>100</v>
      </c>
      <c r="R28" s="77"/>
      <c r="U28" s="67">
        <v>100</v>
      </c>
      <c r="W28" s="77">
        <f t="shared" si="0"/>
        <v>300</v>
      </c>
      <c r="X28" s="77">
        <f t="shared" si="1"/>
        <v>0</v>
      </c>
      <c r="Y28" s="109">
        <f t="shared" si="2"/>
        <v>240</v>
      </c>
      <c r="Z28" s="110">
        <f t="shared" si="7"/>
        <v>87</v>
      </c>
      <c r="AE28" s="67"/>
      <c r="AF28" s="111">
        <v>87</v>
      </c>
      <c r="AG28" s="77">
        <v>100</v>
      </c>
      <c r="AH28" s="77">
        <v>100</v>
      </c>
      <c r="AI28" s="96">
        <v>100</v>
      </c>
      <c r="AJ28" s="77">
        <v>100</v>
      </c>
      <c r="AK28" s="67">
        <f t="shared" si="3"/>
        <v>400</v>
      </c>
      <c r="AL28" s="68">
        <v>76</v>
      </c>
      <c r="AM28" s="68" t="s">
        <v>856</v>
      </c>
      <c r="AN28" s="67">
        <f t="shared" si="4"/>
        <v>92.8</v>
      </c>
      <c r="AO28" s="114">
        <f t="shared" si="5"/>
        <v>89.9</v>
      </c>
      <c r="AP28" s="115">
        <f t="shared" si="6"/>
        <v>88.7609375</v>
      </c>
      <c r="AQ28" s="116">
        <v>88.7609375</v>
      </c>
      <c r="AR28" s="85" t="s">
        <v>855</v>
      </c>
      <c r="AS28" s="68" t="s">
        <v>855</v>
      </c>
    </row>
    <row r="29" ht="12.75" customHeight="1" spans="1:45">
      <c r="A29" s="77">
        <v>18</v>
      </c>
      <c r="B29" s="77">
        <v>19</v>
      </c>
      <c r="C29" s="78" t="s">
        <v>173</v>
      </c>
      <c r="D29" s="79">
        <v>252610018</v>
      </c>
      <c r="E29" s="84" t="s">
        <v>857</v>
      </c>
      <c r="F29" s="85" t="s">
        <v>858</v>
      </c>
      <c r="G29" s="86" t="s">
        <v>858</v>
      </c>
      <c r="H29" s="89" t="s">
        <v>76</v>
      </c>
      <c r="I29" s="97" t="s">
        <v>809</v>
      </c>
      <c r="J29" s="95">
        <v>39736</v>
      </c>
      <c r="K29" s="78" t="s">
        <v>144</v>
      </c>
      <c r="L29" s="96" t="s">
        <v>63</v>
      </c>
      <c r="M29" s="102"/>
      <c r="N29" s="102">
        <v>1</v>
      </c>
      <c r="O29" s="77"/>
      <c r="P29" s="77"/>
      <c r="Q29" s="77">
        <v>100</v>
      </c>
      <c r="R29" s="77"/>
      <c r="U29" s="67">
        <v>100</v>
      </c>
      <c r="W29" s="77">
        <f t="shared" si="0"/>
        <v>100</v>
      </c>
      <c r="X29" s="77">
        <f t="shared" si="1"/>
        <v>100</v>
      </c>
      <c r="Y29" s="109">
        <f t="shared" si="2"/>
        <v>100</v>
      </c>
      <c r="Z29" s="110">
        <f t="shared" si="7"/>
        <v>80</v>
      </c>
      <c r="AE29" s="67"/>
      <c r="AF29" s="111">
        <v>80</v>
      </c>
      <c r="AG29" s="77">
        <v>100</v>
      </c>
      <c r="AH29" s="77">
        <v>100</v>
      </c>
      <c r="AI29" s="96">
        <v>100</v>
      </c>
      <c r="AJ29" s="77">
        <v>100</v>
      </c>
      <c r="AK29" s="67">
        <f t="shared" si="3"/>
        <v>400</v>
      </c>
      <c r="AL29" s="68">
        <v>92</v>
      </c>
      <c r="AM29" s="68" t="s">
        <v>859</v>
      </c>
      <c r="AN29" s="67">
        <f t="shared" si="4"/>
        <v>97.6</v>
      </c>
      <c r="AO29" s="114">
        <f t="shared" si="5"/>
        <v>88.8</v>
      </c>
      <c r="AP29" s="115">
        <f t="shared" si="6"/>
        <v>88.5375</v>
      </c>
      <c r="AQ29" s="116">
        <v>88.5375</v>
      </c>
      <c r="AR29" s="85" t="s">
        <v>858</v>
      </c>
      <c r="AS29" s="68" t="s">
        <v>858</v>
      </c>
    </row>
    <row r="30" ht="12.75" customHeight="1" spans="1:45">
      <c r="A30" s="77">
        <v>19</v>
      </c>
      <c r="B30" s="77">
        <v>20</v>
      </c>
      <c r="C30" s="78" t="s">
        <v>180</v>
      </c>
      <c r="D30" s="79">
        <v>252610019</v>
      </c>
      <c r="E30" s="84" t="s">
        <v>860</v>
      </c>
      <c r="F30" s="85" t="s">
        <v>861</v>
      </c>
      <c r="G30" s="86" t="s">
        <v>861</v>
      </c>
      <c r="H30" s="87" t="s">
        <v>76</v>
      </c>
      <c r="I30" s="78" t="s">
        <v>801</v>
      </c>
      <c r="J30" s="95">
        <v>39768</v>
      </c>
      <c r="K30" s="78" t="s">
        <v>77</v>
      </c>
      <c r="L30" s="96" t="s">
        <v>63</v>
      </c>
      <c r="M30" s="102">
        <v>100</v>
      </c>
      <c r="N30" s="102"/>
      <c r="O30" s="77">
        <v>100</v>
      </c>
      <c r="P30" s="103"/>
      <c r="Q30" s="77">
        <v>100</v>
      </c>
      <c r="R30" s="77"/>
      <c r="W30" s="77">
        <f t="shared" si="0"/>
        <v>200</v>
      </c>
      <c r="X30" s="77">
        <f t="shared" si="1"/>
        <v>0</v>
      </c>
      <c r="Y30" s="109">
        <f t="shared" si="2"/>
        <v>160</v>
      </c>
      <c r="Z30" s="110">
        <f t="shared" si="7"/>
        <v>83</v>
      </c>
      <c r="AE30" s="67"/>
      <c r="AF30" s="111">
        <v>83</v>
      </c>
      <c r="AG30" s="77"/>
      <c r="AH30" s="77">
        <v>100</v>
      </c>
      <c r="AI30" s="96"/>
      <c r="AJ30" s="77">
        <v>100</v>
      </c>
      <c r="AK30" s="67">
        <f t="shared" si="3"/>
        <v>200</v>
      </c>
      <c r="AL30" s="68">
        <v>100</v>
      </c>
      <c r="AM30" s="68" t="s">
        <v>862</v>
      </c>
      <c r="AN30" s="67">
        <f t="shared" si="4"/>
        <v>65</v>
      </c>
      <c r="AO30" s="114">
        <f t="shared" si="5"/>
        <v>74</v>
      </c>
      <c r="AP30" s="115">
        <f t="shared" si="6"/>
        <v>85.53125</v>
      </c>
      <c r="AQ30" s="116">
        <v>85.53125</v>
      </c>
      <c r="AR30" s="85" t="s">
        <v>861</v>
      </c>
      <c r="AS30" s="68" t="s">
        <v>861</v>
      </c>
    </row>
    <row r="31" ht="12.75" customHeight="1" spans="1:45">
      <c r="A31" s="77">
        <v>20</v>
      </c>
      <c r="B31" s="77">
        <v>21</v>
      </c>
      <c r="C31" s="78" t="s">
        <v>186</v>
      </c>
      <c r="D31" s="79">
        <v>252610020</v>
      </c>
      <c r="E31" s="84" t="s">
        <v>863</v>
      </c>
      <c r="F31" s="85" t="s">
        <v>864</v>
      </c>
      <c r="G31" s="86" t="s">
        <v>864</v>
      </c>
      <c r="H31" s="87" t="s">
        <v>76</v>
      </c>
      <c r="I31" s="78" t="s">
        <v>809</v>
      </c>
      <c r="J31" s="95">
        <v>39896</v>
      </c>
      <c r="K31" s="78" t="s">
        <v>90</v>
      </c>
      <c r="L31" s="96" t="s">
        <v>63</v>
      </c>
      <c r="M31" s="102">
        <v>100</v>
      </c>
      <c r="N31" s="102"/>
      <c r="O31" s="77">
        <v>100</v>
      </c>
      <c r="P31" s="77"/>
      <c r="Q31" s="77"/>
      <c r="R31" s="77"/>
      <c r="U31" s="67">
        <v>100</v>
      </c>
      <c r="W31" s="77">
        <f t="shared" si="0"/>
        <v>300</v>
      </c>
      <c r="X31" s="77">
        <f t="shared" si="1"/>
        <v>0</v>
      </c>
      <c r="Y31" s="109">
        <f t="shared" si="2"/>
        <v>240</v>
      </c>
      <c r="Z31" s="110">
        <f t="shared" si="7"/>
        <v>87</v>
      </c>
      <c r="AE31" s="67"/>
      <c r="AF31" s="111">
        <v>87</v>
      </c>
      <c r="AG31" s="77"/>
      <c r="AH31" s="77"/>
      <c r="AI31" s="96"/>
      <c r="AJ31" s="77"/>
      <c r="AK31" s="67">
        <f t="shared" si="3"/>
        <v>0</v>
      </c>
      <c r="AL31" s="68">
        <v>96</v>
      </c>
      <c r="AM31" s="68" t="s">
        <v>865</v>
      </c>
      <c r="AN31" s="67">
        <f t="shared" si="4"/>
        <v>28.8</v>
      </c>
      <c r="AO31" s="114">
        <f t="shared" si="5"/>
        <v>57.9</v>
      </c>
      <c r="AP31" s="115">
        <f t="shared" si="6"/>
        <v>82.2609375</v>
      </c>
      <c r="AQ31" s="116">
        <v>82.2609375</v>
      </c>
      <c r="AR31" s="85" t="s">
        <v>864</v>
      </c>
      <c r="AS31" s="68" t="s">
        <v>864</v>
      </c>
    </row>
    <row r="32" ht="12.75" customHeight="1" spans="1:45">
      <c r="A32" s="77">
        <v>21</v>
      </c>
      <c r="B32" s="77">
        <v>22</v>
      </c>
      <c r="C32" s="78" t="s">
        <v>192</v>
      </c>
      <c r="D32" s="79">
        <v>252610021</v>
      </c>
      <c r="E32" s="84" t="s">
        <v>866</v>
      </c>
      <c r="F32" s="85" t="s">
        <v>867</v>
      </c>
      <c r="G32" s="86" t="s">
        <v>867</v>
      </c>
      <c r="H32" s="87" t="s">
        <v>61</v>
      </c>
      <c r="I32" s="78" t="s">
        <v>809</v>
      </c>
      <c r="J32" s="95">
        <v>40031</v>
      </c>
      <c r="K32" s="78" t="s">
        <v>90</v>
      </c>
      <c r="L32" s="96" t="s">
        <v>63</v>
      </c>
      <c r="M32" s="102">
        <v>100</v>
      </c>
      <c r="N32" s="102"/>
      <c r="O32" s="77">
        <v>100</v>
      </c>
      <c r="P32" s="77"/>
      <c r="Q32" s="77"/>
      <c r="R32" s="77"/>
      <c r="W32" s="77">
        <f t="shared" si="0"/>
        <v>200</v>
      </c>
      <c r="X32" s="77">
        <f t="shared" si="1"/>
        <v>0</v>
      </c>
      <c r="Y32" s="109">
        <f t="shared" si="2"/>
        <v>160</v>
      </c>
      <c r="Z32" s="110">
        <f t="shared" si="7"/>
        <v>83</v>
      </c>
      <c r="AE32" s="67"/>
      <c r="AF32" s="111">
        <v>83</v>
      </c>
      <c r="AG32" s="77"/>
      <c r="AH32" s="77">
        <v>100</v>
      </c>
      <c r="AI32" s="96">
        <v>100</v>
      </c>
      <c r="AJ32" s="77"/>
      <c r="AK32" s="67">
        <f t="shared" si="3"/>
        <v>200</v>
      </c>
      <c r="AL32" s="68">
        <v>100</v>
      </c>
      <c r="AM32" s="68" t="s">
        <v>868</v>
      </c>
      <c r="AN32" s="67">
        <f t="shared" si="4"/>
        <v>65</v>
      </c>
      <c r="AO32" s="114">
        <f t="shared" si="5"/>
        <v>74</v>
      </c>
      <c r="AP32" s="115">
        <f t="shared" si="6"/>
        <v>85.53125</v>
      </c>
      <c r="AQ32" s="116">
        <v>85.53125</v>
      </c>
      <c r="AR32" s="85" t="s">
        <v>867</v>
      </c>
      <c r="AS32" s="68" t="s">
        <v>867</v>
      </c>
    </row>
    <row r="33" ht="12.75" customHeight="1" spans="1:45">
      <c r="A33" s="77">
        <v>22</v>
      </c>
      <c r="B33" s="77">
        <v>296</v>
      </c>
      <c r="C33" s="78" t="s">
        <v>200</v>
      </c>
      <c r="D33" s="79">
        <v>252610022</v>
      </c>
      <c r="E33" s="84" t="s">
        <v>869</v>
      </c>
      <c r="F33" s="85" t="s">
        <v>870</v>
      </c>
      <c r="G33" s="86" t="s">
        <v>870</v>
      </c>
      <c r="H33" s="87" t="s">
        <v>61</v>
      </c>
      <c r="I33" s="78" t="s">
        <v>809</v>
      </c>
      <c r="J33" s="95">
        <v>39926</v>
      </c>
      <c r="K33" s="78" t="s">
        <v>171</v>
      </c>
      <c r="L33" s="96" t="s">
        <v>63</v>
      </c>
      <c r="M33" s="102">
        <v>100</v>
      </c>
      <c r="N33" s="102"/>
      <c r="O33" s="77">
        <v>100</v>
      </c>
      <c r="P33" s="77"/>
      <c r="Q33" s="77">
        <v>100</v>
      </c>
      <c r="R33" s="77"/>
      <c r="U33" s="67">
        <v>100</v>
      </c>
      <c r="W33" s="77">
        <f t="shared" si="0"/>
        <v>300</v>
      </c>
      <c r="X33" s="77">
        <f t="shared" si="1"/>
        <v>0</v>
      </c>
      <c r="Y33" s="109">
        <f t="shared" si="2"/>
        <v>240</v>
      </c>
      <c r="Z33" s="110">
        <f t="shared" si="7"/>
        <v>87</v>
      </c>
      <c r="AE33" s="67"/>
      <c r="AF33" s="111">
        <v>87</v>
      </c>
      <c r="AG33" s="77">
        <v>100</v>
      </c>
      <c r="AH33" s="77">
        <v>100</v>
      </c>
      <c r="AI33" s="96">
        <v>100</v>
      </c>
      <c r="AJ33" s="77">
        <v>100</v>
      </c>
      <c r="AK33" s="67">
        <f t="shared" si="3"/>
        <v>400</v>
      </c>
      <c r="AL33" s="68">
        <v>92</v>
      </c>
      <c r="AM33" s="68" t="s">
        <v>871</v>
      </c>
      <c r="AN33" s="67">
        <f t="shared" si="4"/>
        <v>97.6</v>
      </c>
      <c r="AO33" s="114">
        <f t="shared" si="5"/>
        <v>92.3</v>
      </c>
      <c r="AP33" s="115">
        <f t="shared" si="6"/>
        <v>89.2484375</v>
      </c>
      <c r="AQ33" s="116">
        <v>89.2484375</v>
      </c>
      <c r="AR33" s="85" t="s">
        <v>870</v>
      </c>
      <c r="AS33" s="68" t="s">
        <v>870</v>
      </c>
    </row>
    <row r="34" ht="12.75" customHeight="1" spans="1:45">
      <c r="A34" s="77">
        <v>23</v>
      </c>
      <c r="B34" s="77">
        <v>23</v>
      </c>
      <c r="C34" s="78" t="s">
        <v>206</v>
      </c>
      <c r="D34" s="79">
        <v>252610023</v>
      </c>
      <c r="E34" s="84" t="s">
        <v>872</v>
      </c>
      <c r="F34" s="85" t="s">
        <v>873</v>
      </c>
      <c r="G34" s="86" t="s">
        <v>873</v>
      </c>
      <c r="H34" s="87" t="s">
        <v>61</v>
      </c>
      <c r="I34" s="78" t="s">
        <v>809</v>
      </c>
      <c r="J34" s="95">
        <v>39669</v>
      </c>
      <c r="K34" s="78" t="s">
        <v>130</v>
      </c>
      <c r="L34" s="96" t="s">
        <v>63</v>
      </c>
      <c r="M34" s="102">
        <v>100</v>
      </c>
      <c r="N34" s="102">
        <v>1</v>
      </c>
      <c r="O34" s="77">
        <v>100</v>
      </c>
      <c r="P34" s="77"/>
      <c r="Q34" s="77">
        <v>100</v>
      </c>
      <c r="R34" s="77">
        <v>100</v>
      </c>
      <c r="S34" s="68">
        <v>3</v>
      </c>
      <c r="U34" s="67">
        <v>100</v>
      </c>
      <c r="W34" s="77">
        <f t="shared" si="0"/>
        <v>400</v>
      </c>
      <c r="X34" s="77">
        <f t="shared" si="1"/>
        <v>100</v>
      </c>
      <c r="Y34" s="109">
        <f t="shared" si="2"/>
        <v>340</v>
      </c>
      <c r="Z34" s="110">
        <f t="shared" si="7"/>
        <v>92</v>
      </c>
      <c r="AE34" s="67"/>
      <c r="AF34" s="111">
        <v>92</v>
      </c>
      <c r="AG34" s="77">
        <v>100</v>
      </c>
      <c r="AH34" s="77">
        <v>100</v>
      </c>
      <c r="AI34" s="96">
        <v>100</v>
      </c>
      <c r="AJ34" s="77">
        <v>100</v>
      </c>
      <c r="AK34" s="67">
        <f t="shared" si="3"/>
        <v>400</v>
      </c>
      <c r="AL34" s="68">
        <v>96</v>
      </c>
      <c r="AM34" s="68" t="s">
        <v>874</v>
      </c>
      <c r="AN34" s="67">
        <f t="shared" si="4"/>
        <v>98.8</v>
      </c>
      <c r="AO34" s="114">
        <f t="shared" si="5"/>
        <v>95.4</v>
      </c>
      <c r="AP34" s="115">
        <f t="shared" si="6"/>
        <v>89.878125</v>
      </c>
      <c r="AQ34" s="116">
        <v>89.878125</v>
      </c>
      <c r="AR34" s="85" t="s">
        <v>873</v>
      </c>
      <c r="AS34" s="68" t="s">
        <v>873</v>
      </c>
    </row>
    <row r="35" ht="12.75" customHeight="1" spans="1:45">
      <c r="A35" s="77">
        <v>24</v>
      </c>
      <c r="B35" s="77">
        <v>24</v>
      </c>
      <c r="C35" s="78" t="s">
        <v>213</v>
      </c>
      <c r="D35" s="79">
        <v>252610024</v>
      </c>
      <c r="E35" s="84" t="s">
        <v>875</v>
      </c>
      <c r="F35" s="85" t="s">
        <v>876</v>
      </c>
      <c r="G35" s="86" t="s">
        <v>876</v>
      </c>
      <c r="H35" s="87" t="s">
        <v>61</v>
      </c>
      <c r="I35" s="78" t="s">
        <v>809</v>
      </c>
      <c r="J35" s="95">
        <v>39911</v>
      </c>
      <c r="K35" s="78" t="s">
        <v>53</v>
      </c>
      <c r="L35" s="96" t="s">
        <v>63</v>
      </c>
      <c r="M35" s="102">
        <v>100</v>
      </c>
      <c r="N35" s="102"/>
      <c r="O35" s="77">
        <v>100</v>
      </c>
      <c r="P35" s="103"/>
      <c r="Q35" s="77">
        <v>100</v>
      </c>
      <c r="R35" s="77"/>
      <c r="W35" s="77">
        <f t="shared" si="0"/>
        <v>200</v>
      </c>
      <c r="X35" s="77">
        <f t="shared" si="1"/>
        <v>0</v>
      </c>
      <c r="Y35" s="109">
        <f t="shared" si="2"/>
        <v>160</v>
      </c>
      <c r="Z35" s="110">
        <f t="shared" si="7"/>
        <v>83</v>
      </c>
      <c r="AE35" s="67"/>
      <c r="AF35" s="111">
        <v>83</v>
      </c>
      <c r="AG35" s="77">
        <v>100</v>
      </c>
      <c r="AH35" s="77">
        <v>100</v>
      </c>
      <c r="AI35" s="96">
        <v>100</v>
      </c>
      <c r="AJ35" s="77"/>
      <c r="AK35" s="67">
        <f t="shared" si="3"/>
        <v>300</v>
      </c>
      <c r="AL35" s="68">
        <v>32</v>
      </c>
      <c r="AM35" s="68" t="s">
        <v>877</v>
      </c>
      <c r="AN35" s="67">
        <f t="shared" si="4"/>
        <v>62.1</v>
      </c>
      <c r="AO35" s="114">
        <f t="shared" si="5"/>
        <v>72.55</v>
      </c>
      <c r="AP35" s="115">
        <f t="shared" si="6"/>
        <v>85.23671875</v>
      </c>
      <c r="AQ35" s="116">
        <v>85.23671875</v>
      </c>
      <c r="AR35" s="85" t="s">
        <v>876</v>
      </c>
      <c r="AS35" s="68" t="s">
        <v>876</v>
      </c>
    </row>
    <row r="36" ht="12.75" customHeight="1" spans="1:45">
      <c r="A36" s="77">
        <v>25</v>
      </c>
      <c r="B36" s="77">
        <v>25</v>
      </c>
      <c r="C36" s="78" t="s">
        <v>220</v>
      </c>
      <c r="D36" s="79">
        <v>252610025</v>
      </c>
      <c r="E36" s="84" t="s">
        <v>878</v>
      </c>
      <c r="F36" s="85" t="s">
        <v>879</v>
      </c>
      <c r="G36" s="86" t="s">
        <v>879</v>
      </c>
      <c r="H36" s="87" t="s">
        <v>61</v>
      </c>
      <c r="I36" s="78" t="s">
        <v>805</v>
      </c>
      <c r="J36" s="95">
        <v>39728</v>
      </c>
      <c r="K36" s="78" t="s">
        <v>90</v>
      </c>
      <c r="L36" s="96" t="s">
        <v>63</v>
      </c>
      <c r="M36" s="102">
        <v>100</v>
      </c>
      <c r="N36" s="102"/>
      <c r="O36" s="77">
        <v>100</v>
      </c>
      <c r="P36" s="77"/>
      <c r="Q36" s="77">
        <v>100</v>
      </c>
      <c r="R36" s="77">
        <v>100</v>
      </c>
      <c r="U36" s="67">
        <v>100</v>
      </c>
      <c r="W36" s="77">
        <f t="shared" si="0"/>
        <v>400</v>
      </c>
      <c r="X36" s="77">
        <f t="shared" si="1"/>
        <v>0</v>
      </c>
      <c r="Y36" s="109">
        <f t="shared" si="2"/>
        <v>320</v>
      </c>
      <c r="Z36" s="110">
        <f t="shared" si="7"/>
        <v>91</v>
      </c>
      <c r="AE36" s="67"/>
      <c r="AF36" s="111">
        <v>91</v>
      </c>
      <c r="AG36" s="77">
        <v>100</v>
      </c>
      <c r="AH36" s="77">
        <v>100</v>
      </c>
      <c r="AI36" s="96">
        <v>100</v>
      </c>
      <c r="AJ36" s="77">
        <v>100</v>
      </c>
      <c r="AK36" s="67">
        <f t="shared" si="3"/>
        <v>400</v>
      </c>
      <c r="AL36" s="68">
        <v>96</v>
      </c>
      <c r="AM36" s="68" t="s">
        <v>880</v>
      </c>
      <c r="AN36" s="67">
        <f t="shared" si="4"/>
        <v>98.8</v>
      </c>
      <c r="AO36" s="114">
        <f t="shared" si="5"/>
        <v>94.9</v>
      </c>
      <c r="AP36" s="115">
        <f t="shared" si="6"/>
        <v>89.7765625</v>
      </c>
      <c r="AQ36" s="116">
        <v>89.7765625</v>
      </c>
      <c r="AR36" s="85" t="s">
        <v>879</v>
      </c>
      <c r="AS36" s="68" t="s">
        <v>879</v>
      </c>
    </row>
    <row r="37" ht="12.75" customHeight="1" spans="1:45">
      <c r="A37" s="77">
        <v>26</v>
      </c>
      <c r="B37" s="77">
        <v>26</v>
      </c>
      <c r="C37" s="78" t="s">
        <v>227</v>
      </c>
      <c r="D37" s="79">
        <v>252610026</v>
      </c>
      <c r="E37" s="84" t="s">
        <v>881</v>
      </c>
      <c r="F37" s="85" t="s">
        <v>882</v>
      </c>
      <c r="G37" s="86" t="s">
        <v>882</v>
      </c>
      <c r="H37" s="87" t="s">
        <v>76</v>
      </c>
      <c r="I37" s="78" t="s">
        <v>801</v>
      </c>
      <c r="J37" s="95">
        <v>39846</v>
      </c>
      <c r="K37" s="78" t="s">
        <v>77</v>
      </c>
      <c r="L37" s="96" t="s">
        <v>63</v>
      </c>
      <c r="M37" s="102">
        <v>100</v>
      </c>
      <c r="N37" s="102"/>
      <c r="O37" s="77">
        <v>100</v>
      </c>
      <c r="P37" s="103"/>
      <c r="Q37" s="77">
        <v>100</v>
      </c>
      <c r="R37" s="77"/>
      <c r="U37" s="67">
        <v>100</v>
      </c>
      <c r="W37" s="77">
        <f t="shared" si="0"/>
        <v>300</v>
      </c>
      <c r="X37" s="77">
        <f t="shared" si="1"/>
        <v>0</v>
      </c>
      <c r="Y37" s="109">
        <f t="shared" si="2"/>
        <v>240</v>
      </c>
      <c r="Z37" s="110">
        <f t="shared" si="7"/>
        <v>87</v>
      </c>
      <c r="AE37" s="67"/>
      <c r="AF37" s="111">
        <v>87</v>
      </c>
      <c r="AG37" s="77">
        <v>100</v>
      </c>
      <c r="AH37" s="77">
        <v>100</v>
      </c>
      <c r="AI37" s="96">
        <v>100</v>
      </c>
      <c r="AJ37" s="77">
        <v>100</v>
      </c>
      <c r="AK37" s="67">
        <f t="shared" si="3"/>
        <v>400</v>
      </c>
      <c r="AL37" s="68">
        <v>84</v>
      </c>
      <c r="AM37" s="68" t="s">
        <v>883</v>
      </c>
      <c r="AN37" s="67">
        <f t="shared" si="4"/>
        <v>95.2</v>
      </c>
      <c r="AO37" s="114">
        <f t="shared" si="5"/>
        <v>91.1</v>
      </c>
      <c r="AP37" s="115">
        <f t="shared" si="6"/>
        <v>89.0046875</v>
      </c>
      <c r="AQ37" s="116">
        <v>89.0046875</v>
      </c>
      <c r="AR37" s="85" t="s">
        <v>882</v>
      </c>
      <c r="AS37" s="68" t="s">
        <v>882</v>
      </c>
    </row>
    <row r="38" ht="12.75" customHeight="1" spans="1:45">
      <c r="A38" s="77">
        <v>27</v>
      </c>
      <c r="B38" s="77">
        <v>27</v>
      </c>
      <c r="C38" s="78" t="s">
        <v>234</v>
      </c>
      <c r="D38" s="79">
        <v>252610027</v>
      </c>
      <c r="E38" s="84" t="s">
        <v>884</v>
      </c>
      <c r="F38" s="85" t="s">
        <v>885</v>
      </c>
      <c r="G38" s="86" t="s">
        <v>885</v>
      </c>
      <c r="H38" s="87" t="s">
        <v>76</v>
      </c>
      <c r="I38" s="78" t="s">
        <v>809</v>
      </c>
      <c r="J38" s="95">
        <v>39769</v>
      </c>
      <c r="K38" s="78" t="s">
        <v>90</v>
      </c>
      <c r="L38" s="96" t="s">
        <v>63</v>
      </c>
      <c r="M38" s="102">
        <v>100</v>
      </c>
      <c r="N38" s="102"/>
      <c r="O38" s="77">
        <v>100</v>
      </c>
      <c r="P38" s="77"/>
      <c r="Q38" s="77">
        <v>100</v>
      </c>
      <c r="R38" s="77"/>
      <c r="S38" s="68">
        <v>2</v>
      </c>
      <c r="U38" s="67">
        <v>100</v>
      </c>
      <c r="W38" s="77">
        <f t="shared" si="0"/>
        <v>300</v>
      </c>
      <c r="X38" s="77">
        <f t="shared" si="1"/>
        <v>0</v>
      </c>
      <c r="Y38" s="109">
        <f t="shared" si="2"/>
        <v>240</v>
      </c>
      <c r="Z38" s="110">
        <f t="shared" si="7"/>
        <v>87</v>
      </c>
      <c r="AE38" s="67"/>
      <c r="AF38" s="111">
        <v>87</v>
      </c>
      <c r="AG38" s="77">
        <v>100</v>
      </c>
      <c r="AH38" s="77">
        <v>100</v>
      </c>
      <c r="AI38" s="96">
        <v>100</v>
      </c>
      <c r="AJ38" s="77"/>
      <c r="AK38" s="67">
        <f t="shared" si="3"/>
        <v>300</v>
      </c>
      <c r="AL38" s="68">
        <v>76</v>
      </c>
      <c r="AM38" s="68" t="s">
        <v>886</v>
      </c>
      <c r="AN38" s="67">
        <f t="shared" si="4"/>
        <v>75.3</v>
      </c>
      <c r="AO38" s="114">
        <f t="shared" si="5"/>
        <v>81.15</v>
      </c>
      <c r="AP38" s="115">
        <f t="shared" si="6"/>
        <v>86.98359375</v>
      </c>
      <c r="AQ38" s="116">
        <v>86.98359375</v>
      </c>
      <c r="AR38" s="85" t="s">
        <v>885</v>
      </c>
      <c r="AS38" s="68" t="s">
        <v>885</v>
      </c>
    </row>
    <row r="39" ht="12.75" customHeight="1" spans="1:45">
      <c r="A39" s="77">
        <v>28</v>
      </c>
      <c r="B39" s="77">
        <v>28</v>
      </c>
      <c r="C39" s="78" t="s">
        <v>240</v>
      </c>
      <c r="D39" s="79">
        <v>252610028</v>
      </c>
      <c r="E39" s="84" t="s">
        <v>887</v>
      </c>
      <c r="F39" s="90" t="s">
        <v>888</v>
      </c>
      <c r="G39" s="86" t="s">
        <v>888</v>
      </c>
      <c r="H39" s="87" t="s">
        <v>76</v>
      </c>
      <c r="I39" s="78" t="s">
        <v>809</v>
      </c>
      <c r="J39" s="95">
        <v>39862</v>
      </c>
      <c r="K39" s="78" t="s">
        <v>53</v>
      </c>
      <c r="L39" s="96" t="s">
        <v>63</v>
      </c>
      <c r="M39" s="102">
        <v>100</v>
      </c>
      <c r="N39" s="102"/>
      <c r="O39" s="77"/>
      <c r="P39" s="77"/>
      <c r="Q39" s="77"/>
      <c r="R39" s="77"/>
      <c r="W39" s="77">
        <f t="shared" si="0"/>
        <v>100</v>
      </c>
      <c r="X39" s="77">
        <f t="shared" si="1"/>
        <v>0</v>
      </c>
      <c r="Y39" s="109">
        <f t="shared" si="2"/>
        <v>80</v>
      </c>
      <c r="Z39" s="110">
        <f t="shared" si="7"/>
        <v>79</v>
      </c>
      <c r="AE39" s="67"/>
      <c r="AF39" s="111">
        <v>79</v>
      </c>
      <c r="AG39" s="77"/>
      <c r="AH39" s="77">
        <v>100</v>
      </c>
      <c r="AI39" s="96"/>
      <c r="AJ39" s="77"/>
      <c r="AK39" s="67">
        <f t="shared" si="3"/>
        <v>100</v>
      </c>
      <c r="AL39" s="68">
        <v>32</v>
      </c>
      <c r="AM39" s="68" t="s">
        <v>889</v>
      </c>
      <c r="AN39" s="67">
        <f t="shared" si="4"/>
        <v>27.1</v>
      </c>
      <c r="AO39" s="114">
        <f t="shared" si="5"/>
        <v>53.05</v>
      </c>
      <c r="AP39" s="115">
        <f t="shared" si="6"/>
        <v>81.27578125</v>
      </c>
      <c r="AQ39" s="116">
        <v>81.27578125</v>
      </c>
      <c r="AR39" s="90" t="s">
        <v>888</v>
      </c>
      <c r="AS39" s="68" t="s">
        <v>888</v>
      </c>
    </row>
    <row r="40" ht="12.75" customHeight="1" spans="1:45">
      <c r="A40" s="77">
        <v>29</v>
      </c>
      <c r="B40" s="77">
        <v>30</v>
      </c>
      <c r="C40" s="78" t="s">
        <v>253</v>
      </c>
      <c r="D40" s="79">
        <v>252610029</v>
      </c>
      <c r="E40" s="84" t="s">
        <v>890</v>
      </c>
      <c r="F40" s="85" t="s">
        <v>891</v>
      </c>
      <c r="G40" s="86" t="s">
        <v>891</v>
      </c>
      <c r="H40" s="87" t="s">
        <v>76</v>
      </c>
      <c r="I40" s="78" t="s">
        <v>809</v>
      </c>
      <c r="J40" s="95">
        <v>39566</v>
      </c>
      <c r="K40" s="78" t="s">
        <v>90</v>
      </c>
      <c r="L40" s="96" t="s">
        <v>63</v>
      </c>
      <c r="M40" s="102">
        <v>100</v>
      </c>
      <c r="N40" s="102"/>
      <c r="O40" s="77">
        <v>100</v>
      </c>
      <c r="P40" s="77"/>
      <c r="Q40" s="77"/>
      <c r="R40" s="77"/>
      <c r="W40" s="77">
        <f t="shared" si="0"/>
        <v>200</v>
      </c>
      <c r="X40" s="77">
        <f t="shared" si="1"/>
        <v>0</v>
      </c>
      <c r="Y40" s="109">
        <f t="shared" si="2"/>
        <v>160</v>
      </c>
      <c r="Z40" s="110">
        <f t="shared" si="7"/>
        <v>83</v>
      </c>
      <c r="AE40" s="67"/>
      <c r="AF40" s="111">
        <v>83</v>
      </c>
      <c r="AG40" s="77"/>
      <c r="AH40" s="77">
        <v>100</v>
      </c>
      <c r="AI40" s="96"/>
      <c r="AJ40" s="77">
        <v>100</v>
      </c>
      <c r="AK40" s="67">
        <f t="shared" si="3"/>
        <v>200</v>
      </c>
      <c r="AL40" s="68">
        <v>100</v>
      </c>
      <c r="AM40" s="68" t="s">
        <v>892</v>
      </c>
      <c r="AN40" s="67">
        <f t="shared" si="4"/>
        <v>65</v>
      </c>
      <c r="AO40" s="114">
        <f t="shared" si="5"/>
        <v>74</v>
      </c>
      <c r="AP40" s="115">
        <f t="shared" si="6"/>
        <v>85.53125</v>
      </c>
      <c r="AQ40" s="116">
        <v>85.53125</v>
      </c>
      <c r="AR40" s="85" t="s">
        <v>891</v>
      </c>
      <c r="AS40" s="68" t="s">
        <v>891</v>
      </c>
    </row>
    <row r="41" ht="12.75" customHeight="1" spans="1:45">
      <c r="A41" s="77">
        <v>30</v>
      </c>
      <c r="B41" s="77">
        <v>31</v>
      </c>
      <c r="C41" s="78" t="s">
        <v>257</v>
      </c>
      <c r="D41" s="79">
        <v>252610030</v>
      </c>
      <c r="E41" s="84" t="s">
        <v>893</v>
      </c>
      <c r="F41" s="85" t="s">
        <v>894</v>
      </c>
      <c r="G41" s="86" t="s">
        <v>894</v>
      </c>
      <c r="H41" s="87" t="s">
        <v>76</v>
      </c>
      <c r="I41" s="78" t="s">
        <v>801</v>
      </c>
      <c r="J41" s="95">
        <v>39851</v>
      </c>
      <c r="K41" s="78" t="s">
        <v>90</v>
      </c>
      <c r="L41" s="96" t="s">
        <v>63</v>
      </c>
      <c r="M41" s="102">
        <v>100</v>
      </c>
      <c r="N41" s="102"/>
      <c r="O41" s="77"/>
      <c r="P41" s="77"/>
      <c r="Q41" s="77"/>
      <c r="R41" s="77"/>
      <c r="W41" s="77">
        <f t="shared" si="0"/>
        <v>100</v>
      </c>
      <c r="X41" s="77">
        <f t="shared" si="1"/>
        <v>0</v>
      </c>
      <c r="Y41" s="109">
        <f t="shared" si="2"/>
        <v>80</v>
      </c>
      <c r="Z41" s="110">
        <f t="shared" si="7"/>
        <v>79</v>
      </c>
      <c r="AE41" s="67"/>
      <c r="AF41" s="111">
        <v>79</v>
      </c>
      <c r="AG41" s="77">
        <v>100</v>
      </c>
      <c r="AH41" s="77"/>
      <c r="AI41" s="96"/>
      <c r="AJ41" s="77"/>
      <c r="AK41" s="67">
        <f t="shared" si="3"/>
        <v>100</v>
      </c>
      <c r="AL41" s="68">
        <v>60</v>
      </c>
      <c r="AM41" s="68" t="s">
        <v>895</v>
      </c>
      <c r="AN41" s="67">
        <f t="shared" si="4"/>
        <v>35.5</v>
      </c>
      <c r="AO41" s="114">
        <f t="shared" si="5"/>
        <v>57.25</v>
      </c>
      <c r="AP41" s="115">
        <f t="shared" si="6"/>
        <v>82.12890625</v>
      </c>
      <c r="AQ41" s="116">
        <v>82.12890625</v>
      </c>
      <c r="AR41" s="85" t="s">
        <v>894</v>
      </c>
      <c r="AS41" s="68" t="s">
        <v>894</v>
      </c>
    </row>
    <row r="42" ht="12.75" customHeight="1" spans="1:45">
      <c r="A42" s="77">
        <v>31</v>
      </c>
      <c r="B42" s="77">
        <v>32</v>
      </c>
      <c r="C42" s="78" t="s">
        <v>263</v>
      </c>
      <c r="D42" s="79">
        <v>252610031</v>
      </c>
      <c r="E42" s="84" t="s">
        <v>896</v>
      </c>
      <c r="F42" s="85" t="s">
        <v>897</v>
      </c>
      <c r="G42" s="86" t="s">
        <v>897</v>
      </c>
      <c r="H42" s="87" t="s">
        <v>76</v>
      </c>
      <c r="I42" s="78" t="s">
        <v>809</v>
      </c>
      <c r="J42" s="95">
        <v>39889</v>
      </c>
      <c r="K42" s="78" t="s">
        <v>53</v>
      </c>
      <c r="L42" s="96" t="s">
        <v>63</v>
      </c>
      <c r="M42" s="102">
        <v>100</v>
      </c>
      <c r="N42" s="102"/>
      <c r="O42" s="77">
        <v>100</v>
      </c>
      <c r="P42" s="77"/>
      <c r="Q42" s="77">
        <v>100</v>
      </c>
      <c r="R42" s="77"/>
      <c r="W42" s="77">
        <f t="shared" si="0"/>
        <v>200</v>
      </c>
      <c r="X42" s="77">
        <f t="shared" si="1"/>
        <v>0</v>
      </c>
      <c r="Y42" s="109">
        <f t="shared" si="2"/>
        <v>160</v>
      </c>
      <c r="Z42" s="110">
        <f t="shared" si="7"/>
        <v>83</v>
      </c>
      <c r="AE42" s="67"/>
      <c r="AF42" s="111">
        <v>83</v>
      </c>
      <c r="AG42" s="77"/>
      <c r="AH42" s="77">
        <v>100</v>
      </c>
      <c r="AI42" s="96">
        <v>100</v>
      </c>
      <c r="AJ42" s="77">
        <v>100</v>
      </c>
      <c r="AK42" s="67">
        <f t="shared" si="3"/>
        <v>300</v>
      </c>
      <c r="AL42" s="68">
        <v>84</v>
      </c>
      <c r="AM42" s="68" t="s">
        <v>898</v>
      </c>
      <c r="AN42" s="67">
        <f t="shared" si="4"/>
        <v>77.7</v>
      </c>
      <c r="AO42" s="114">
        <f t="shared" si="5"/>
        <v>80.35</v>
      </c>
      <c r="AP42" s="115">
        <f t="shared" si="6"/>
        <v>86.82109375</v>
      </c>
      <c r="AQ42" s="116">
        <v>86.82109375</v>
      </c>
      <c r="AR42" s="85" t="s">
        <v>897</v>
      </c>
      <c r="AS42" s="68" t="s">
        <v>897</v>
      </c>
    </row>
    <row r="43" ht="12.75" customHeight="1" spans="1:45">
      <c r="A43" s="77">
        <v>32</v>
      </c>
      <c r="B43" s="77">
        <v>33</v>
      </c>
      <c r="C43" s="78" t="s">
        <v>270</v>
      </c>
      <c r="D43" s="79">
        <v>252610032</v>
      </c>
      <c r="E43" s="84" t="s">
        <v>899</v>
      </c>
      <c r="F43" s="85" t="s">
        <v>900</v>
      </c>
      <c r="G43" s="86" t="s">
        <v>900</v>
      </c>
      <c r="H43" s="87" t="s">
        <v>76</v>
      </c>
      <c r="I43" s="78" t="s">
        <v>901</v>
      </c>
      <c r="J43" s="95">
        <v>39654</v>
      </c>
      <c r="K43" s="78" t="s">
        <v>53</v>
      </c>
      <c r="L43" s="96" t="s">
        <v>63</v>
      </c>
      <c r="M43" s="102">
        <v>100</v>
      </c>
      <c r="N43" s="102"/>
      <c r="O43" s="77">
        <v>100</v>
      </c>
      <c r="P43" s="77"/>
      <c r="Q43" s="77">
        <v>100</v>
      </c>
      <c r="R43" s="77"/>
      <c r="U43" s="67">
        <v>100</v>
      </c>
      <c r="W43" s="77">
        <f t="shared" si="0"/>
        <v>300</v>
      </c>
      <c r="X43" s="77">
        <f t="shared" si="1"/>
        <v>0</v>
      </c>
      <c r="Y43" s="109">
        <f t="shared" si="2"/>
        <v>240</v>
      </c>
      <c r="Z43" s="110">
        <f t="shared" si="7"/>
        <v>87</v>
      </c>
      <c r="AE43" s="67"/>
      <c r="AF43" s="111">
        <v>87</v>
      </c>
      <c r="AG43" s="77">
        <v>100</v>
      </c>
      <c r="AH43" s="77">
        <v>100</v>
      </c>
      <c r="AI43" s="96">
        <v>100</v>
      </c>
      <c r="AJ43" s="77">
        <v>100</v>
      </c>
      <c r="AK43" s="67">
        <f t="shared" si="3"/>
        <v>400</v>
      </c>
      <c r="AL43" s="68">
        <v>100</v>
      </c>
      <c r="AM43" s="68" t="s">
        <v>902</v>
      </c>
      <c r="AN43" s="67">
        <f t="shared" si="4"/>
        <v>100</v>
      </c>
      <c r="AO43" s="114">
        <f t="shared" si="5"/>
        <v>93.5</v>
      </c>
      <c r="AP43" s="115">
        <f t="shared" si="6"/>
        <v>89.4921875</v>
      </c>
      <c r="AQ43" s="116">
        <v>89.4921875</v>
      </c>
      <c r="AR43" s="85" t="s">
        <v>900</v>
      </c>
      <c r="AS43" s="68" t="s">
        <v>900</v>
      </c>
    </row>
    <row r="44" s="66" customFormat="1" ht="12.75" customHeight="1" spans="1:45">
      <c r="A44" s="77">
        <v>33</v>
      </c>
      <c r="B44" s="77">
        <v>34</v>
      </c>
      <c r="C44" s="78" t="s">
        <v>276</v>
      </c>
      <c r="D44" s="79">
        <v>252610033</v>
      </c>
      <c r="E44" s="84" t="s">
        <v>903</v>
      </c>
      <c r="F44" s="85" t="s">
        <v>904</v>
      </c>
      <c r="G44" s="86" t="s">
        <v>904</v>
      </c>
      <c r="H44" s="87" t="s">
        <v>61</v>
      </c>
      <c r="I44" s="78" t="s">
        <v>809</v>
      </c>
      <c r="J44" s="95">
        <v>39675</v>
      </c>
      <c r="K44" s="78" t="s">
        <v>90</v>
      </c>
      <c r="L44" s="96" t="s">
        <v>63</v>
      </c>
      <c r="M44" s="102">
        <v>100</v>
      </c>
      <c r="N44" s="102"/>
      <c r="O44" s="77">
        <v>100</v>
      </c>
      <c r="P44" s="77"/>
      <c r="Q44" s="77">
        <v>100</v>
      </c>
      <c r="R44" s="77"/>
      <c r="S44" s="68"/>
      <c r="T44" s="67"/>
      <c r="U44" s="67">
        <v>100</v>
      </c>
      <c r="V44" s="67"/>
      <c r="W44" s="77">
        <f t="shared" si="0"/>
        <v>300</v>
      </c>
      <c r="X44" s="77">
        <f t="shared" si="1"/>
        <v>0</v>
      </c>
      <c r="Y44" s="109">
        <f t="shared" si="2"/>
        <v>240</v>
      </c>
      <c r="Z44" s="110">
        <f t="shared" si="7"/>
        <v>87</v>
      </c>
      <c r="AA44" s="68"/>
      <c r="AB44" s="68"/>
      <c r="AD44" s="65"/>
      <c r="AE44" s="65"/>
      <c r="AF44" s="112">
        <v>87</v>
      </c>
      <c r="AG44" s="96"/>
      <c r="AH44" s="96">
        <v>100</v>
      </c>
      <c r="AI44" s="96">
        <v>100</v>
      </c>
      <c r="AJ44" s="96">
        <v>100</v>
      </c>
      <c r="AK44" s="67">
        <f t="shared" si="3"/>
        <v>300</v>
      </c>
      <c r="AL44" s="66">
        <v>84</v>
      </c>
      <c r="AM44" s="66" t="s">
        <v>905</v>
      </c>
      <c r="AN44" s="67">
        <f t="shared" si="4"/>
        <v>77.7</v>
      </c>
      <c r="AO44" s="114">
        <f t="shared" si="5"/>
        <v>82.35</v>
      </c>
      <c r="AP44" s="115">
        <f t="shared" si="6"/>
        <v>87.22734375</v>
      </c>
      <c r="AQ44" s="117">
        <v>87.22734375</v>
      </c>
      <c r="AR44" s="85" t="s">
        <v>904</v>
      </c>
      <c r="AS44" s="66" t="s">
        <v>904</v>
      </c>
    </row>
    <row r="45" s="65" customFormat="1" ht="12.75" customHeight="1" spans="1:45">
      <c r="A45" s="77">
        <v>34</v>
      </c>
      <c r="B45" s="77">
        <v>35</v>
      </c>
      <c r="C45" s="78" t="s">
        <v>906</v>
      </c>
      <c r="D45" s="79">
        <v>252610034</v>
      </c>
      <c r="E45" s="84" t="s">
        <v>907</v>
      </c>
      <c r="F45" s="85" t="s">
        <v>908</v>
      </c>
      <c r="G45" s="86" t="s">
        <v>908</v>
      </c>
      <c r="H45" s="87" t="s">
        <v>61</v>
      </c>
      <c r="I45" s="78" t="s">
        <v>809</v>
      </c>
      <c r="J45" s="95">
        <v>39930</v>
      </c>
      <c r="K45" s="78" t="s">
        <v>90</v>
      </c>
      <c r="L45" s="96" t="s">
        <v>63</v>
      </c>
      <c r="M45" s="102">
        <v>100</v>
      </c>
      <c r="N45" s="102"/>
      <c r="O45" s="77">
        <v>100</v>
      </c>
      <c r="P45" s="77"/>
      <c r="Q45" s="77">
        <v>100</v>
      </c>
      <c r="R45" s="77"/>
      <c r="S45" s="68"/>
      <c r="T45" s="67"/>
      <c r="U45" s="67">
        <v>100</v>
      </c>
      <c r="V45" s="67"/>
      <c r="W45" s="77">
        <f t="shared" si="0"/>
        <v>300</v>
      </c>
      <c r="X45" s="77">
        <f t="shared" si="1"/>
        <v>0</v>
      </c>
      <c r="Y45" s="109">
        <f t="shared" si="2"/>
        <v>240</v>
      </c>
      <c r="Z45" s="110">
        <f t="shared" si="7"/>
        <v>87</v>
      </c>
      <c r="AA45" s="68"/>
      <c r="AB45" s="68"/>
      <c r="AF45" s="112">
        <v>87</v>
      </c>
      <c r="AG45" s="96">
        <v>100</v>
      </c>
      <c r="AH45" s="96">
        <v>100</v>
      </c>
      <c r="AI45" s="96">
        <v>100</v>
      </c>
      <c r="AJ45" s="96">
        <v>100</v>
      </c>
      <c r="AK45" s="67">
        <f t="shared" si="3"/>
        <v>400</v>
      </c>
      <c r="AL45" s="113">
        <v>96</v>
      </c>
      <c r="AM45" s="65" t="s">
        <v>909</v>
      </c>
      <c r="AN45" s="67">
        <f t="shared" si="4"/>
        <v>98.8</v>
      </c>
      <c r="AO45" s="114">
        <f t="shared" si="5"/>
        <v>92.9</v>
      </c>
      <c r="AP45" s="115">
        <f t="shared" si="6"/>
        <v>89.3703125</v>
      </c>
      <c r="AQ45" s="117">
        <v>89.3703125</v>
      </c>
      <c r="AR45" s="85" t="s">
        <v>908</v>
      </c>
      <c r="AS45" s="65" t="s">
        <v>908</v>
      </c>
    </row>
    <row r="46" s="66" customFormat="1" ht="12.75" customHeight="1" spans="1:45">
      <c r="A46" s="77">
        <v>35</v>
      </c>
      <c r="B46" s="77">
        <v>36</v>
      </c>
      <c r="C46" s="78" t="s">
        <v>910</v>
      </c>
      <c r="D46" s="79">
        <v>252610035</v>
      </c>
      <c r="E46" s="84" t="s">
        <v>911</v>
      </c>
      <c r="F46" s="85" t="s">
        <v>912</v>
      </c>
      <c r="G46" s="91" t="s">
        <v>912</v>
      </c>
      <c r="H46" s="87" t="s">
        <v>61</v>
      </c>
      <c r="I46" s="78" t="s">
        <v>801</v>
      </c>
      <c r="J46" s="95">
        <v>39600</v>
      </c>
      <c r="K46" s="78" t="s">
        <v>77</v>
      </c>
      <c r="L46" s="96" t="s">
        <v>63</v>
      </c>
      <c r="M46" s="102">
        <v>100</v>
      </c>
      <c r="N46" s="102"/>
      <c r="O46" s="77">
        <v>100</v>
      </c>
      <c r="P46" s="77"/>
      <c r="Q46" s="77">
        <v>100</v>
      </c>
      <c r="R46" s="77"/>
      <c r="S46" s="68"/>
      <c r="T46" s="67"/>
      <c r="U46" s="67">
        <v>100</v>
      </c>
      <c r="V46" s="67"/>
      <c r="W46" s="77">
        <f t="shared" si="0"/>
        <v>300</v>
      </c>
      <c r="X46" s="77">
        <f t="shared" si="1"/>
        <v>0</v>
      </c>
      <c r="Y46" s="109">
        <f t="shared" si="2"/>
        <v>240</v>
      </c>
      <c r="Z46" s="110">
        <f t="shared" si="7"/>
        <v>87</v>
      </c>
      <c r="AA46" s="68"/>
      <c r="AB46" s="68"/>
      <c r="AD46" s="65"/>
      <c r="AE46" s="65"/>
      <c r="AF46" s="112">
        <v>87</v>
      </c>
      <c r="AG46" s="96">
        <v>100</v>
      </c>
      <c r="AH46" s="96">
        <v>100</v>
      </c>
      <c r="AI46" s="96">
        <v>100</v>
      </c>
      <c r="AJ46" s="96"/>
      <c r="AK46" s="67">
        <f t="shared" si="3"/>
        <v>300</v>
      </c>
      <c r="AL46" s="66">
        <v>100</v>
      </c>
      <c r="AM46" s="66" t="s">
        <v>913</v>
      </c>
      <c r="AN46" s="67">
        <f t="shared" si="4"/>
        <v>82.5</v>
      </c>
      <c r="AO46" s="114">
        <f t="shared" si="5"/>
        <v>84.75</v>
      </c>
      <c r="AP46" s="115">
        <f t="shared" si="6"/>
        <v>87.71484375</v>
      </c>
      <c r="AQ46" s="117">
        <v>87.71484375</v>
      </c>
      <c r="AR46" s="85" t="s">
        <v>912</v>
      </c>
      <c r="AS46" s="66" t="s">
        <v>912</v>
      </c>
    </row>
    <row r="47" s="66" customFormat="1" ht="12.75" customHeight="1" spans="1:45">
      <c r="A47" s="77">
        <v>36</v>
      </c>
      <c r="B47" s="77"/>
      <c r="C47" s="78"/>
      <c r="D47" s="79">
        <v>252610036</v>
      </c>
      <c r="E47" s="84" t="s">
        <v>914</v>
      </c>
      <c r="F47" s="92" t="s">
        <v>915</v>
      </c>
      <c r="G47" s="86" t="s">
        <v>915</v>
      </c>
      <c r="H47" s="87" t="s">
        <v>61</v>
      </c>
      <c r="I47" s="78"/>
      <c r="J47" s="95"/>
      <c r="K47" s="78"/>
      <c r="L47" s="96"/>
      <c r="M47" s="77">
        <v>100</v>
      </c>
      <c r="N47" s="77"/>
      <c r="O47" s="77">
        <v>100</v>
      </c>
      <c r="P47" s="103"/>
      <c r="Q47" s="77">
        <v>100</v>
      </c>
      <c r="R47" s="77">
        <v>100</v>
      </c>
      <c r="S47" s="68"/>
      <c r="T47" s="67"/>
      <c r="U47" s="67">
        <v>100</v>
      </c>
      <c r="V47" s="67"/>
      <c r="W47" s="77">
        <f t="shared" si="0"/>
        <v>400</v>
      </c>
      <c r="X47" s="77">
        <f t="shared" si="1"/>
        <v>0</v>
      </c>
      <c r="Y47" s="109">
        <f t="shared" si="2"/>
        <v>320</v>
      </c>
      <c r="Z47" s="110">
        <f t="shared" si="7"/>
        <v>91</v>
      </c>
      <c r="AA47" s="68"/>
      <c r="AB47" s="68"/>
      <c r="AD47" s="65"/>
      <c r="AE47" s="65"/>
      <c r="AF47" s="112">
        <v>91</v>
      </c>
      <c r="AG47" s="96">
        <v>100</v>
      </c>
      <c r="AH47" s="96">
        <v>100</v>
      </c>
      <c r="AI47" s="96">
        <v>100</v>
      </c>
      <c r="AJ47" s="96">
        <v>100</v>
      </c>
      <c r="AK47" s="67">
        <f t="shared" si="3"/>
        <v>400</v>
      </c>
      <c r="AL47" s="66">
        <v>100</v>
      </c>
      <c r="AM47" s="66" t="s">
        <v>916</v>
      </c>
      <c r="AN47" s="67">
        <f t="shared" si="4"/>
        <v>100</v>
      </c>
      <c r="AO47" s="114">
        <f t="shared" si="5"/>
        <v>95.5</v>
      </c>
      <c r="AP47" s="115">
        <f t="shared" si="6"/>
        <v>89.8984375</v>
      </c>
      <c r="AQ47" s="117">
        <v>89.8984375</v>
      </c>
      <c r="AR47" s="92" t="s">
        <v>915</v>
      </c>
      <c r="AS47" s="66" t="s">
        <v>915</v>
      </c>
    </row>
    <row r="48" s="66" customFormat="1" ht="12.75" customHeight="1" spans="1:45">
      <c r="A48" s="77">
        <v>37</v>
      </c>
      <c r="B48" s="77"/>
      <c r="C48" s="78"/>
      <c r="D48" s="79">
        <v>252610037</v>
      </c>
      <c r="E48" s="84" t="s">
        <v>917</v>
      </c>
      <c r="F48" s="92" t="s">
        <v>918</v>
      </c>
      <c r="G48" s="86" t="s">
        <v>918</v>
      </c>
      <c r="H48" s="87" t="s">
        <v>76</v>
      </c>
      <c r="I48" s="78"/>
      <c r="J48" s="95"/>
      <c r="K48" s="78"/>
      <c r="L48" s="96"/>
      <c r="M48" s="77">
        <v>100</v>
      </c>
      <c r="N48" s="77"/>
      <c r="O48" s="77">
        <v>100</v>
      </c>
      <c r="P48" s="77"/>
      <c r="Q48" s="77">
        <v>100</v>
      </c>
      <c r="R48" s="77"/>
      <c r="S48" s="68"/>
      <c r="T48" s="67"/>
      <c r="U48" s="67"/>
      <c r="V48" s="67"/>
      <c r="W48" s="77">
        <f t="shared" si="0"/>
        <v>200</v>
      </c>
      <c r="X48" s="77">
        <f t="shared" si="1"/>
        <v>0</v>
      </c>
      <c r="Y48" s="109">
        <f t="shared" si="2"/>
        <v>160</v>
      </c>
      <c r="Z48" s="110">
        <f t="shared" si="7"/>
        <v>83</v>
      </c>
      <c r="AA48" s="68"/>
      <c r="AB48" s="68"/>
      <c r="AD48" s="65"/>
      <c r="AE48" s="65"/>
      <c r="AF48" s="112">
        <v>83</v>
      </c>
      <c r="AG48" s="96"/>
      <c r="AH48" s="96">
        <v>100</v>
      </c>
      <c r="AI48" s="96">
        <v>100</v>
      </c>
      <c r="AJ48" s="96">
        <v>100</v>
      </c>
      <c r="AK48" s="67">
        <f t="shared" si="3"/>
        <v>300</v>
      </c>
      <c r="AL48" s="66">
        <v>96</v>
      </c>
      <c r="AM48" s="66" t="s">
        <v>919</v>
      </c>
      <c r="AN48" s="67">
        <f t="shared" si="4"/>
        <v>81.3</v>
      </c>
      <c r="AO48" s="114">
        <f t="shared" si="5"/>
        <v>82.15</v>
      </c>
      <c r="AP48" s="115">
        <f t="shared" si="6"/>
        <v>87.18671875</v>
      </c>
      <c r="AQ48" s="117">
        <v>87.18671875</v>
      </c>
      <c r="AR48" s="92" t="s">
        <v>918</v>
      </c>
      <c r="AS48" s="66" t="s">
        <v>918</v>
      </c>
    </row>
    <row r="49" s="66" customFormat="1" ht="12.75" customHeight="1" spans="1:45">
      <c r="A49" s="77">
        <v>38</v>
      </c>
      <c r="B49" s="77"/>
      <c r="C49" s="78"/>
      <c r="D49" s="79">
        <v>252610038</v>
      </c>
      <c r="E49" s="84" t="s">
        <v>920</v>
      </c>
      <c r="F49" s="92" t="s">
        <v>921</v>
      </c>
      <c r="G49" s="86" t="s">
        <v>921</v>
      </c>
      <c r="H49" s="87" t="s">
        <v>76</v>
      </c>
      <c r="I49" s="78"/>
      <c r="J49" s="95"/>
      <c r="K49" s="78"/>
      <c r="L49" s="96"/>
      <c r="M49" s="77">
        <v>100</v>
      </c>
      <c r="N49" s="77"/>
      <c r="O49" s="77">
        <v>100</v>
      </c>
      <c r="P49" s="77"/>
      <c r="Q49" s="77">
        <v>100</v>
      </c>
      <c r="R49" s="77">
        <v>100</v>
      </c>
      <c r="S49" s="68">
        <v>2</v>
      </c>
      <c r="T49" s="67"/>
      <c r="U49" s="67">
        <v>100</v>
      </c>
      <c r="V49" s="67"/>
      <c r="W49" s="77">
        <f t="shared" si="0"/>
        <v>400</v>
      </c>
      <c r="X49" s="77">
        <f t="shared" si="1"/>
        <v>0</v>
      </c>
      <c r="Y49" s="109">
        <f t="shared" si="2"/>
        <v>320</v>
      </c>
      <c r="Z49" s="110">
        <f t="shared" si="7"/>
        <v>91</v>
      </c>
      <c r="AA49" s="68"/>
      <c r="AB49" s="68"/>
      <c r="AD49" s="65"/>
      <c r="AE49" s="65"/>
      <c r="AF49" s="112">
        <v>91</v>
      </c>
      <c r="AG49" s="96">
        <v>100</v>
      </c>
      <c r="AH49" s="96">
        <v>100</v>
      </c>
      <c r="AI49" s="96">
        <v>100</v>
      </c>
      <c r="AJ49" s="96">
        <v>100</v>
      </c>
      <c r="AK49" s="67">
        <f t="shared" si="3"/>
        <v>400</v>
      </c>
      <c r="AL49" s="66">
        <v>100</v>
      </c>
      <c r="AM49" s="66" t="s">
        <v>922</v>
      </c>
      <c r="AN49" s="67">
        <f t="shared" si="4"/>
        <v>100</v>
      </c>
      <c r="AO49" s="114">
        <f t="shared" si="5"/>
        <v>95.5</v>
      </c>
      <c r="AP49" s="115">
        <f t="shared" si="6"/>
        <v>89.8984375</v>
      </c>
      <c r="AQ49" s="117">
        <v>89.8984375</v>
      </c>
      <c r="AR49" s="92" t="s">
        <v>921</v>
      </c>
      <c r="AS49" s="66" t="s">
        <v>921</v>
      </c>
    </row>
    <row r="50" s="66" customFormat="1" ht="12.75" customHeight="1" spans="1:45">
      <c r="A50" s="77">
        <v>39</v>
      </c>
      <c r="B50" s="77"/>
      <c r="C50" s="78"/>
      <c r="D50" s="79">
        <v>252610039</v>
      </c>
      <c r="E50" s="84" t="s">
        <v>923</v>
      </c>
      <c r="F50" s="92" t="s">
        <v>924</v>
      </c>
      <c r="G50" s="86" t="s">
        <v>924</v>
      </c>
      <c r="H50" s="87" t="s">
        <v>76</v>
      </c>
      <c r="I50" s="78"/>
      <c r="J50" s="95"/>
      <c r="K50" s="78"/>
      <c r="L50" s="96"/>
      <c r="M50" s="77">
        <v>100</v>
      </c>
      <c r="N50" s="77">
        <v>1</v>
      </c>
      <c r="O50" s="77"/>
      <c r="P50" s="77"/>
      <c r="Q50" s="77"/>
      <c r="R50" s="77"/>
      <c r="S50" s="68"/>
      <c r="T50" s="67"/>
      <c r="U50" s="67"/>
      <c r="V50" s="67"/>
      <c r="W50" s="77">
        <f t="shared" si="0"/>
        <v>100</v>
      </c>
      <c r="X50" s="77">
        <f t="shared" si="1"/>
        <v>100</v>
      </c>
      <c r="Y50" s="109">
        <f t="shared" si="2"/>
        <v>100</v>
      </c>
      <c r="Z50" s="110">
        <f t="shared" si="7"/>
        <v>80</v>
      </c>
      <c r="AA50" s="68"/>
      <c r="AB50" s="68"/>
      <c r="AD50" s="65"/>
      <c r="AE50" s="65"/>
      <c r="AF50" s="112">
        <v>80</v>
      </c>
      <c r="AG50" s="96"/>
      <c r="AH50" s="96"/>
      <c r="AI50" s="96"/>
      <c r="AJ50" s="96"/>
      <c r="AK50" s="67">
        <f t="shared" si="3"/>
        <v>0</v>
      </c>
      <c r="AL50" s="66">
        <v>92</v>
      </c>
      <c r="AM50" s="66" t="s">
        <v>925</v>
      </c>
      <c r="AN50" s="67">
        <f t="shared" si="4"/>
        <v>27.6</v>
      </c>
      <c r="AO50" s="114">
        <f t="shared" si="5"/>
        <v>53.8</v>
      </c>
      <c r="AP50" s="115">
        <f t="shared" si="6"/>
        <v>81.428125</v>
      </c>
      <c r="AQ50" s="117">
        <v>81.428125</v>
      </c>
      <c r="AR50" s="92" t="s">
        <v>924</v>
      </c>
      <c r="AS50" s="66" t="s">
        <v>924</v>
      </c>
    </row>
    <row r="51" s="66" customFormat="1" ht="12.75" customHeight="1" spans="1:45">
      <c r="A51" s="77">
        <v>40</v>
      </c>
      <c r="B51" s="77"/>
      <c r="C51" s="78"/>
      <c r="D51" s="79">
        <v>252610040</v>
      </c>
      <c r="E51" s="84" t="s">
        <v>926</v>
      </c>
      <c r="F51" s="92" t="s">
        <v>927</v>
      </c>
      <c r="G51" s="86" t="s">
        <v>927</v>
      </c>
      <c r="H51" s="87" t="s">
        <v>61</v>
      </c>
      <c r="I51" s="78"/>
      <c r="J51" s="95"/>
      <c r="K51" s="78"/>
      <c r="L51" s="96"/>
      <c r="M51" s="77">
        <v>100</v>
      </c>
      <c r="N51" s="77"/>
      <c r="O51" s="77">
        <v>100</v>
      </c>
      <c r="P51" s="77"/>
      <c r="Q51" s="77">
        <v>100</v>
      </c>
      <c r="R51" s="77"/>
      <c r="S51" s="68"/>
      <c r="T51" s="67"/>
      <c r="U51" s="67">
        <v>100</v>
      </c>
      <c r="V51" s="67"/>
      <c r="W51" s="77">
        <f t="shared" si="0"/>
        <v>300</v>
      </c>
      <c r="X51" s="77">
        <f t="shared" si="1"/>
        <v>0</v>
      </c>
      <c r="Y51" s="109">
        <f t="shared" si="2"/>
        <v>240</v>
      </c>
      <c r="Z51" s="110">
        <f t="shared" si="7"/>
        <v>87</v>
      </c>
      <c r="AA51" s="68"/>
      <c r="AB51" s="68"/>
      <c r="AD51" s="65"/>
      <c r="AE51" s="65" t="s">
        <v>837</v>
      </c>
      <c r="AF51" s="112">
        <v>87</v>
      </c>
      <c r="AG51" s="96"/>
      <c r="AH51" s="96">
        <v>100</v>
      </c>
      <c r="AI51" s="96"/>
      <c r="AJ51" s="96"/>
      <c r="AK51" s="67">
        <f t="shared" si="3"/>
        <v>100</v>
      </c>
      <c r="AL51" s="66">
        <v>76</v>
      </c>
      <c r="AM51" s="66" t="s">
        <v>928</v>
      </c>
      <c r="AN51" s="67">
        <f t="shared" si="4"/>
        <v>40.3</v>
      </c>
      <c r="AO51" s="114">
        <f t="shared" si="5"/>
        <v>63.65</v>
      </c>
      <c r="AP51" s="115">
        <f t="shared" si="6"/>
        <v>83.42890625</v>
      </c>
      <c r="AQ51" s="117">
        <v>83.42890625</v>
      </c>
      <c r="AR51" s="92" t="s">
        <v>927</v>
      </c>
      <c r="AS51" s="66" t="s">
        <v>927</v>
      </c>
    </row>
    <row r="52" s="66" customFormat="1" ht="12.75" customHeight="1" spans="1:45">
      <c r="A52" s="77">
        <v>41</v>
      </c>
      <c r="B52" s="77"/>
      <c r="C52" s="78"/>
      <c r="D52" s="79">
        <v>252610041</v>
      </c>
      <c r="E52" s="84" t="s">
        <v>929</v>
      </c>
      <c r="F52" s="92" t="s">
        <v>930</v>
      </c>
      <c r="G52" s="86" t="s">
        <v>930</v>
      </c>
      <c r="H52" s="87" t="s">
        <v>61</v>
      </c>
      <c r="I52" s="78"/>
      <c r="J52" s="95"/>
      <c r="K52" s="78"/>
      <c r="L52" s="96"/>
      <c r="M52" s="77">
        <v>100</v>
      </c>
      <c r="N52" s="77"/>
      <c r="O52" s="77">
        <v>100</v>
      </c>
      <c r="P52" s="77"/>
      <c r="Q52" s="77">
        <v>100</v>
      </c>
      <c r="R52" s="77"/>
      <c r="S52" s="68"/>
      <c r="T52" s="67"/>
      <c r="U52" s="67">
        <v>100</v>
      </c>
      <c r="V52" s="67"/>
      <c r="W52" s="77">
        <f t="shared" si="0"/>
        <v>300</v>
      </c>
      <c r="X52" s="77">
        <f t="shared" si="1"/>
        <v>0</v>
      </c>
      <c r="Y52" s="109">
        <f t="shared" si="2"/>
        <v>240</v>
      </c>
      <c r="Z52" s="110">
        <f t="shared" si="7"/>
        <v>87</v>
      </c>
      <c r="AA52" s="68"/>
      <c r="AB52" s="68"/>
      <c r="AD52" s="65"/>
      <c r="AE52" s="65"/>
      <c r="AF52" s="112">
        <v>87</v>
      </c>
      <c r="AG52" s="96">
        <v>100</v>
      </c>
      <c r="AH52" s="96">
        <v>100</v>
      </c>
      <c r="AI52" s="96">
        <v>100</v>
      </c>
      <c r="AJ52" s="96">
        <v>100</v>
      </c>
      <c r="AK52" s="67">
        <f t="shared" si="3"/>
        <v>400</v>
      </c>
      <c r="AL52" s="66">
        <v>96</v>
      </c>
      <c r="AM52" s="66" t="s">
        <v>931</v>
      </c>
      <c r="AN52" s="67">
        <f t="shared" si="4"/>
        <v>98.8</v>
      </c>
      <c r="AO52" s="114">
        <f t="shared" si="5"/>
        <v>92.9</v>
      </c>
      <c r="AP52" s="115">
        <f t="shared" si="6"/>
        <v>89.3703125</v>
      </c>
      <c r="AQ52" s="117">
        <v>89.3703125</v>
      </c>
      <c r="AR52" s="92" t="s">
        <v>930</v>
      </c>
      <c r="AS52" s="66" t="s">
        <v>930</v>
      </c>
    </row>
    <row r="53" s="66" customFormat="1" ht="12.75" customHeight="1" spans="1:45">
      <c r="A53" s="77">
        <v>42</v>
      </c>
      <c r="B53" s="77"/>
      <c r="C53" s="78"/>
      <c r="D53" s="79">
        <v>252610042</v>
      </c>
      <c r="E53" s="84" t="s">
        <v>932</v>
      </c>
      <c r="F53" s="92" t="s">
        <v>933</v>
      </c>
      <c r="G53" s="86" t="s">
        <v>933</v>
      </c>
      <c r="H53" s="87" t="s">
        <v>61</v>
      </c>
      <c r="I53" s="78"/>
      <c r="J53" s="95"/>
      <c r="K53" s="78"/>
      <c r="L53" s="96"/>
      <c r="M53" s="77">
        <v>100</v>
      </c>
      <c r="N53" s="77"/>
      <c r="O53" s="77">
        <v>100</v>
      </c>
      <c r="P53" s="77"/>
      <c r="Q53" s="77"/>
      <c r="R53" s="77"/>
      <c r="S53" s="68"/>
      <c r="T53" s="67"/>
      <c r="U53" s="67">
        <v>100</v>
      </c>
      <c r="V53" s="67"/>
      <c r="W53" s="77">
        <f t="shared" si="0"/>
        <v>300</v>
      </c>
      <c r="X53" s="77">
        <f t="shared" si="1"/>
        <v>0</v>
      </c>
      <c r="Y53" s="109">
        <f t="shared" si="2"/>
        <v>240</v>
      </c>
      <c r="Z53" s="110">
        <f t="shared" si="7"/>
        <v>87</v>
      </c>
      <c r="AA53" s="68"/>
      <c r="AB53" s="68"/>
      <c r="AD53" s="65"/>
      <c r="AE53" s="65"/>
      <c r="AF53" s="112">
        <v>87</v>
      </c>
      <c r="AG53" s="96">
        <v>100</v>
      </c>
      <c r="AH53" s="96">
        <v>100</v>
      </c>
      <c r="AI53" s="96">
        <v>100</v>
      </c>
      <c r="AJ53" s="96">
        <v>100</v>
      </c>
      <c r="AK53" s="67">
        <f t="shared" si="3"/>
        <v>400</v>
      </c>
      <c r="AL53" s="66">
        <v>92</v>
      </c>
      <c r="AM53" s="66" t="s">
        <v>934</v>
      </c>
      <c r="AN53" s="67">
        <f t="shared" si="4"/>
        <v>97.6</v>
      </c>
      <c r="AO53" s="114">
        <f t="shared" si="5"/>
        <v>92.3</v>
      </c>
      <c r="AP53" s="115">
        <f t="shared" si="6"/>
        <v>89.2484375</v>
      </c>
      <c r="AQ53" s="117">
        <v>89.2484375</v>
      </c>
      <c r="AR53" s="92" t="s">
        <v>933</v>
      </c>
      <c r="AS53" s="66" t="s">
        <v>933</v>
      </c>
    </row>
    <row r="54" s="66" customFormat="1" ht="12.75" customHeight="1" spans="1:45">
      <c r="A54" s="77">
        <v>43</v>
      </c>
      <c r="B54" s="77"/>
      <c r="C54" s="78"/>
      <c r="D54" s="79">
        <v>252610043</v>
      </c>
      <c r="E54" s="84" t="s">
        <v>935</v>
      </c>
      <c r="F54" s="92" t="s">
        <v>936</v>
      </c>
      <c r="G54" s="86" t="s">
        <v>936</v>
      </c>
      <c r="H54" s="87" t="s">
        <v>61</v>
      </c>
      <c r="I54" s="78"/>
      <c r="J54" s="95"/>
      <c r="K54" s="78"/>
      <c r="L54" s="96"/>
      <c r="M54" s="77">
        <v>100</v>
      </c>
      <c r="N54" s="77">
        <v>1</v>
      </c>
      <c r="O54" s="77">
        <v>100</v>
      </c>
      <c r="P54" s="77"/>
      <c r="Q54" s="77">
        <v>100</v>
      </c>
      <c r="R54" s="77">
        <v>100</v>
      </c>
      <c r="S54" s="68"/>
      <c r="T54" s="67"/>
      <c r="U54" s="67">
        <v>100</v>
      </c>
      <c r="V54" s="67"/>
      <c r="W54" s="77">
        <f t="shared" si="0"/>
        <v>400</v>
      </c>
      <c r="X54" s="77">
        <f t="shared" si="1"/>
        <v>100</v>
      </c>
      <c r="Y54" s="109">
        <f t="shared" si="2"/>
        <v>340</v>
      </c>
      <c r="Z54" s="110">
        <f t="shared" si="7"/>
        <v>92</v>
      </c>
      <c r="AA54" s="68"/>
      <c r="AB54" s="68"/>
      <c r="AD54" s="65"/>
      <c r="AE54" s="65"/>
      <c r="AF54" s="112">
        <v>92</v>
      </c>
      <c r="AG54" s="96">
        <v>100</v>
      </c>
      <c r="AH54" s="96">
        <v>100</v>
      </c>
      <c r="AI54" s="96">
        <v>100</v>
      </c>
      <c r="AJ54" s="96">
        <v>100</v>
      </c>
      <c r="AK54" s="67">
        <f t="shared" si="3"/>
        <v>400</v>
      </c>
      <c r="AL54" s="66">
        <v>100</v>
      </c>
      <c r="AM54" s="66" t="s">
        <v>937</v>
      </c>
      <c r="AN54" s="67">
        <f t="shared" si="4"/>
        <v>100</v>
      </c>
      <c r="AO54" s="114">
        <f t="shared" si="5"/>
        <v>96</v>
      </c>
      <c r="AP54" s="115">
        <f t="shared" si="6"/>
        <v>90</v>
      </c>
      <c r="AQ54" s="117">
        <v>90</v>
      </c>
      <c r="AR54" s="92" t="s">
        <v>936</v>
      </c>
      <c r="AS54" s="66" t="s">
        <v>936</v>
      </c>
    </row>
    <row r="55" s="66" customFormat="1" ht="12.75" customHeight="1" spans="1:45">
      <c r="A55" s="77">
        <v>44</v>
      </c>
      <c r="B55" s="77"/>
      <c r="C55" s="78"/>
      <c r="D55" s="79">
        <v>252610044</v>
      </c>
      <c r="E55" s="84" t="s">
        <v>938</v>
      </c>
      <c r="F55" s="92" t="s">
        <v>939</v>
      </c>
      <c r="G55" s="86" t="s">
        <v>939</v>
      </c>
      <c r="H55" s="87" t="s">
        <v>76</v>
      </c>
      <c r="I55" s="78"/>
      <c r="J55" s="95"/>
      <c r="K55" s="78"/>
      <c r="L55" s="96"/>
      <c r="M55" s="77"/>
      <c r="N55" s="77"/>
      <c r="O55" s="77">
        <v>100</v>
      </c>
      <c r="P55" s="77"/>
      <c r="Q55" s="77"/>
      <c r="R55" s="77"/>
      <c r="S55" s="68"/>
      <c r="T55" s="67"/>
      <c r="U55" s="67"/>
      <c r="V55" s="67"/>
      <c r="W55" s="77">
        <f t="shared" si="0"/>
        <v>100</v>
      </c>
      <c r="X55" s="77">
        <f t="shared" si="1"/>
        <v>0</v>
      </c>
      <c r="Y55" s="109">
        <f t="shared" si="2"/>
        <v>80</v>
      </c>
      <c r="Z55" s="110">
        <f t="shared" si="7"/>
        <v>79</v>
      </c>
      <c r="AA55" s="68"/>
      <c r="AB55" s="68"/>
      <c r="AD55" s="65"/>
      <c r="AE55" s="65"/>
      <c r="AF55" s="112">
        <v>79</v>
      </c>
      <c r="AG55" s="96">
        <v>100</v>
      </c>
      <c r="AH55" s="96">
        <v>100</v>
      </c>
      <c r="AI55" s="96"/>
      <c r="AJ55" s="96"/>
      <c r="AK55" s="67">
        <f t="shared" si="3"/>
        <v>200</v>
      </c>
      <c r="AL55" s="66">
        <v>92</v>
      </c>
      <c r="AM55" s="66" t="s">
        <v>940</v>
      </c>
      <c r="AN55" s="67">
        <f t="shared" si="4"/>
        <v>62.6</v>
      </c>
      <c r="AO55" s="114">
        <f t="shared" si="5"/>
        <v>70.8</v>
      </c>
      <c r="AP55" s="115">
        <f t="shared" si="6"/>
        <v>84.88125</v>
      </c>
      <c r="AQ55" s="117">
        <v>84.88125</v>
      </c>
      <c r="AR55" s="92" t="s">
        <v>939</v>
      </c>
      <c r="AS55" s="66" t="s">
        <v>939</v>
      </c>
    </row>
    <row r="56" s="66" customFormat="1" ht="12.75" customHeight="1" spans="1:45">
      <c r="A56" s="77">
        <v>45</v>
      </c>
      <c r="B56" s="77"/>
      <c r="C56" s="78"/>
      <c r="D56" s="79">
        <v>252610045</v>
      </c>
      <c r="E56" s="84" t="s">
        <v>941</v>
      </c>
      <c r="F56" s="92" t="s">
        <v>942</v>
      </c>
      <c r="G56" s="86" t="s">
        <v>942</v>
      </c>
      <c r="H56" s="87" t="s">
        <v>61</v>
      </c>
      <c r="I56" s="78"/>
      <c r="J56" s="95"/>
      <c r="K56" s="78"/>
      <c r="L56" s="96"/>
      <c r="M56" s="77">
        <v>100</v>
      </c>
      <c r="N56" s="77"/>
      <c r="O56" s="77">
        <v>100</v>
      </c>
      <c r="P56" s="77"/>
      <c r="Q56" s="77">
        <v>100</v>
      </c>
      <c r="R56" s="77">
        <v>100</v>
      </c>
      <c r="S56" s="68"/>
      <c r="T56" s="67"/>
      <c r="U56" s="67">
        <v>100</v>
      </c>
      <c r="V56" s="67"/>
      <c r="W56" s="77">
        <f t="shared" si="0"/>
        <v>400</v>
      </c>
      <c r="X56" s="77">
        <f t="shared" si="1"/>
        <v>0</v>
      </c>
      <c r="Y56" s="109">
        <f t="shared" si="2"/>
        <v>320</v>
      </c>
      <c r="Z56" s="110">
        <f t="shared" si="7"/>
        <v>91</v>
      </c>
      <c r="AA56" s="68"/>
      <c r="AB56" s="68"/>
      <c r="AD56" s="65"/>
      <c r="AE56" s="65"/>
      <c r="AF56" s="112">
        <v>91</v>
      </c>
      <c r="AG56" s="96">
        <v>100</v>
      </c>
      <c r="AH56" s="96">
        <v>100</v>
      </c>
      <c r="AI56" s="96">
        <v>100</v>
      </c>
      <c r="AJ56" s="96">
        <v>100</v>
      </c>
      <c r="AK56" s="67">
        <f t="shared" si="3"/>
        <v>400</v>
      </c>
      <c r="AL56" s="66">
        <v>100</v>
      </c>
      <c r="AM56" s="66" t="s">
        <v>943</v>
      </c>
      <c r="AN56" s="67">
        <f t="shared" si="4"/>
        <v>100</v>
      </c>
      <c r="AO56" s="114">
        <f t="shared" si="5"/>
        <v>95.5</v>
      </c>
      <c r="AP56" s="115">
        <f t="shared" si="6"/>
        <v>89.8984375</v>
      </c>
      <c r="AQ56" s="117">
        <v>89.8984375</v>
      </c>
      <c r="AR56" s="92" t="s">
        <v>942</v>
      </c>
      <c r="AS56" s="66" t="s">
        <v>942</v>
      </c>
    </row>
    <row r="57" s="66" customFormat="1" ht="12.75" customHeight="1" spans="1:45">
      <c r="A57" s="77">
        <v>46</v>
      </c>
      <c r="B57" s="77"/>
      <c r="C57" s="78"/>
      <c r="D57" s="79">
        <v>252610046</v>
      </c>
      <c r="E57" s="84" t="s">
        <v>944</v>
      </c>
      <c r="F57" s="92" t="s">
        <v>945</v>
      </c>
      <c r="G57" s="86" t="s">
        <v>945</v>
      </c>
      <c r="H57" s="87" t="s">
        <v>61</v>
      </c>
      <c r="I57" s="78"/>
      <c r="J57" s="95"/>
      <c r="K57" s="78"/>
      <c r="L57" s="96"/>
      <c r="M57" s="77">
        <v>100</v>
      </c>
      <c r="N57" s="77"/>
      <c r="O57" s="77">
        <v>100</v>
      </c>
      <c r="P57" s="77"/>
      <c r="Q57" s="77">
        <v>100</v>
      </c>
      <c r="R57" s="77"/>
      <c r="S57" s="68"/>
      <c r="T57" s="67"/>
      <c r="U57" s="67">
        <v>100</v>
      </c>
      <c r="V57" s="67"/>
      <c r="W57" s="77">
        <f t="shared" si="0"/>
        <v>300</v>
      </c>
      <c r="X57" s="77">
        <f t="shared" si="1"/>
        <v>0</v>
      </c>
      <c r="Y57" s="109">
        <f t="shared" si="2"/>
        <v>240</v>
      </c>
      <c r="Z57" s="110">
        <f t="shared" si="7"/>
        <v>87</v>
      </c>
      <c r="AA57" s="68"/>
      <c r="AB57" s="68"/>
      <c r="AD57" s="65"/>
      <c r="AE57" s="65"/>
      <c r="AF57" s="112">
        <v>87</v>
      </c>
      <c r="AG57" s="96">
        <v>100</v>
      </c>
      <c r="AH57" s="96">
        <v>100</v>
      </c>
      <c r="AI57" s="96">
        <v>100</v>
      </c>
      <c r="AJ57" s="96">
        <v>100</v>
      </c>
      <c r="AK57" s="67">
        <f t="shared" si="3"/>
        <v>400</v>
      </c>
      <c r="AL57" s="66">
        <v>96</v>
      </c>
      <c r="AM57" s="66" t="s">
        <v>946</v>
      </c>
      <c r="AN57" s="67">
        <f t="shared" si="4"/>
        <v>98.8</v>
      </c>
      <c r="AO57" s="114">
        <f t="shared" si="5"/>
        <v>92.9</v>
      </c>
      <c r="AP57" s="115">
        <f t="shared" si="6"/>
        <v>89.3703125</v>
      </c>
      <c r="AQ57" s="117">
        <v>89.3703125</v>
      </c>
      <c r="AR57" s="92" t="s">
        <v>945</v>
      </c>
      <c r="AS57" s="66" t="s">
        <v>945</v>
      </c>
    </row>
    <row r="58" s="66" customFormat="1" ht="12.75" customHeight="1" spans="1:45">
      <c r="A58" s="77">
        <v>47</v>
      </c>
      <c r="B58" s="77"/>
      <c r="C58" s="78"/>
      <c r="D58" s="79">
        <v>252610047</v>
      </c>
      <c r="E58" s="84" t="s">
        <v>947</v>
      </c>
      <c r="F58" s="92" t="s">
        <v>948</v>
      </c>
      <c r="G58" s="86" t="s">
        <v>948</v>
      </c>
      <c r="H58" s="87" t="s">
        <v>61</v>
      </c>
      <c r="I58" s="78"/>
      <c r="J58" s="95"/>
      <c r="K58" s="78"/>
      <c r="L58" s="96"/>
      <c r="M58" s="77">
        <v>100</v>
      </c>
      <c r="N58" s="77"/>
      <c r="O58" s="77">
        <v>100</v>
      </c>
      <c r="P58" s="77"/>
      <c r="Q58" s="77">
        <v>100</v>
      </c>
      <c r="R58" s="77">
        <v>100</v>
      </c>
      <c r="S58" s="68"/>
      <c r="T58" s="67"/>
      <c r="U58" s="67">
        <v>100</v>
      </c>
      <c r="V58" s="67"/>
      <c r="W58" s="77">
        <f t="shared" si="0"/>
        <v>400</v>
      </c>
      <c r="X58" s="77">
        <f t="shared" si="1"/>
        <v>0</v>
      </c>
      <c r="Y58" s="109">
        <f t="shared" si="2"/>
        <v>320</v>
      </c>
      <c r="Z58" s="110">
        <f t="shared" si="7"/>
        <v>91</v>
      </c>
      <c r="AA58" s="68"/>
      <c r="AB58" s="68"/>
      <c r="AD58" s="65"/>
      <c r="AE58" s="65"/>
      <c r="AF58" s="112">
        <v>91</v>
      </c>
      <c r="AG58" s="96">
        <v>100</v>
      </c>
      <c r="AH58" s="96">
        <v>100</v>
      </c>
      <c r="AI58" s="96">
        <v>100</v>
      </c>
      <c r="AJ58" s="96">
        <v>100</v>
      </c>
      <c r="AK58" s="67">
        <f t="shared" si="3"/>
        <v>400</v>
      </c>
      <c r="AL58" s="66">
        <v>96</v>
      </c>
      <c r="AM58" s="66" t="s">
        <v>948</v>
      </c>
      <c r="AN58" s="67">
        <f t="shared" si="4"/>
        <v>98.8</v>
      </c>
      <c r="AO58" s="114">
        <f t="shared" si="5"/>
        <v>94.9</v>
      </c>
      <c r="AP58" s="115">
        <f t="shared" si="6"/>
        <v>89.7765625</v>
      </c>
      <c r="AQ58" s="117">
        <v>89.7765625</v>
      </c>
      <c r="AR58" s="92" t="s">
        <v>948</v>
      </c>
      <c r="AS58" s="66" t="s">
        <v>948</v>
      </c>
    </row>
    <row r="59" s="66" customFormat="1" ht="12.75" customHeight="1" spans="1:45">
      <c r="A59" s="77">
        <v>48</v>
      </c>
      <c r="B59" s="77"/>
      <c r="C59" s="78"/>
      <c r="D59" s="79">
        <v>252610048</v>
      </c>
      <c r="E59" s="84" t="s">
        <v>949</v>
      </c>
      <c r="F59" s="92" t="s">
        <v>950</v>
      </c>
      <c r="G59" s="86" t="s">
        <v>950</v>
      </c>
      <c r="H59" s="87" t="s">
        <v>61</v>
      </c>
      <c r="I59" s="78"/>
      <c r="J59" s="95"/>
      <c r="K59" s="78"/>
      <c r="L59" s="96"/>
      <c r="M59" s="77"/>
      <c r="N59" s="77"/>
      <c r="O59" s="77"/>
      <c r="P59" s="77"/>
      <c r="Q59" s="77"/>
      <c r="R59" s="77"/>
      <c r="S59" s="68"/>
      <c r="T59" s="67"/>
      <c r="U59" s="67"/>
      <c r="V59" s="67"/>
      <c r="W59" s="77">
        <f t="shared" si="0"/>
        <v>0</v>
      </c>
      <c r="X59" s="77">
        <f t="shared" si="1"/>
        <v>0</v>
      </c>
      <c r="Y59" s="109">
        <f t="shared" si="2"/>
        <v>0</v>
      </c>
      <c r="Z59" s="110">
        <v>0</v>
      </c>
      <c r="AA59" s="68"/>
      <c r="AB59" s="68"/>
      <c r="AD59" s="65"/>
      <c r="AE59" s="65" t="s">
        <v>951</v>
      </c>
      <c r="AF59" s="112">
        <v>40</v>
      </c>
      <c r="AG59" s="96"/>
      <c r="AH59" s="96"/>
      <c r="AI59" s="96"/>
      <c r="AJ59" s="96"/>
      <c r="AK59" s="67">
        <f t="shared" si="3"/>
        <v>0</v>
      </c>
      <c r="AL59" s="66">
        <v>96</v>
      </c>
      <c r="AM59" s="66" t="s">
        <v>952</v>
      </c>
      <c r="AN59" s="67">
        <f t="shared" si="4"/>
        <v>28.8</v>
      </c>
      <c r="AO59" s="114">
        <f t="shared" si="5"/>
        <v>34.4</v>
      </c>
      <c r="AP59" s="115">
        <f t="shared" si="6"/>
        <v>77.4875</v>
      </c>
      <c r="AQ59" s="117">
        <v>77.4875</v>
      </c>
      <c r="AR59" s="92" t="s">
        <v>950</v>
      </c>
      <c r="AS59" s="66" t="s">
        <v>950</v>
      </c>
    </row>
    <row r="60" s="66" customFormat="1" ht="12.75" customHeight="1" spans="1:40">
      <c r="A60" s="67"/>
      <c r="B60" s="67"/>
      <c r="C60" s="68"/>
      <c r="D60" s="80"/>
      <c r="E60" s="65"/>
      <c r="F60" s="93" t="s">
        <v>953</v>
      </c>
      <c r="G60" s="68"/>
      <c r="H60" s="67">
        <v>20</v>
      </c>
      <c r="I60" s="68"/>
      <c r="J60" s="98"/>
      <c r="K60" s="68"/>
      <c r="L60" s="65"/>
      <c r="M60" s="67"/>
      <c r="N60" s="67"/>
      <c r="O60" s="67"/>
      <c r="P60" s="67"/>
      <c r="Q60" s="67"/>
      <c r="R60" s="67"/>
      <c r="S60" s="68"/>
      <c r="T60" s="67"/>
      <c r="U60" s="67"/>
      <c r="V60" s="67"/>
      <c r="W60" s="67"/>
      <c r="X60" s="67"/>
      <c r="Y60" s="67">
        <f>MAX(Y12:Y59)</f>
        <v>340</v>
      </c>
      <c r="Z60" s="67"/>
      <c r="AA60" s="68"/>
      <c r="AB60" s="68"/>
      <c r="AD60" s="65"/>
      <c r="AG60" s="65"/>
      <c r="AH60" s="65"/>
      <c r="AI60" s="65"/>
      <c r="AJ60" s="65"/>
      <c r="AN60" s="65"/>
    </row>
    <row r="61" s="66" customFormat="1" ht="12.75" customHeight="1" spans="1:42">
      <c r="A61" s="67"/>
      <c r="B61" s="67"/>
      <c r="C61" s="68"/>
      <c r="D61" s="81"/>
      <c r="E61" s="65"/>
      <c r="F61" s="93" t="s">
        <v>285</v>
      </c>
      <c r="G61" s="94"/>
      <c r="H61" s="67">
        <v>28</v>
      </c>
      <c r="I61" s="68"/>
      <c r="J61" s="98"/>
      <c r="K61" s="68"/>
      <c r="L61" s="65"/>
      <c r="M61" s="67"/>
      <c r="N61" s="67"/>
      <c r="O61" s="67"/>
      <c r="P61" s="67"/>
      <c r="Q61" s="67"/>
      <c r="R61" s="67"/>
      <c r="S61" s="68"/>
      <c r="T61" s="67"/>
      <c r="U61" s="67"/>
      <c r="V61" s="67"/>
      <c r="W61" s="67"/>
      <c r="X61" s="67"/>
      <c r="Y61" s="67">
        <f>MIN(Y12:Y59)</f>
        <v>0</v>
      </c>
      <c r="Z61" s="67"/>
      <c r="AA61" s="68"/>
      <c r="AB61" s="68"/>
      <c r="AD61" s="65"/>
      <c r="AG61" s="65"/>
      <c r="AH61" s="65"/>
      <c r="AI61" s="65"/>
      <c r="AJ61" s="65"/>
      <c r="AN61" s="65"/>
      <c r="AO61" s="66">
        <f>MAX(AO12:AO59)</f>
        <v>96</v>
      </c>
      <c r="AP61" s="65">
        <f>MAX(AP12:AP59)</f>
        <v>90</v>
      </c>
    </row>
    <row r="62" s="66" customFormat="1" ht="12.75" customHeight="1" spans="1:42">
      <c r="A62" s="67"/>
      <c r="B62" s="67"/>
      <c r="C62" s="68"/>
      <c r="D62" s="65" t="s">
        <v>525</v>
      </c>
      <c r="E62" s="65"/>
      <c r="F62" s="68"/>
      <c r="G62" s="94" t="s">
        <v>954</v>
      </c>
      <c r="H62" s="67"/>
      <c r="I62" s="68"/>
      <c r="J62" s="98"/>
      <c r="K62" s="68"/>
      <c r="L62" s="65"/>
      <c r="M62" s="67" t="s">
        <v>526</v>
      </c>
      <c r="N62" s="67"/>
      <c r="O62" s="67"/>
      <c r="P62" s="67"/>
      <c r="Q62" s="67"/>
      <c r="R62" s="67"/>
      <c r="S62" s="68"/>
      <c r="T62" s="67"/>
      <c r="U62" s="67"/>
      <c r="V62" s="67"/>
      <c r="W62" s="67"/>
      <c r="X62" s="67"/>
      <c r="Y62" s="67"/>
      <c r="Z62" s="67"/>
      <c r="AA62" s="68"/>
      <c r="AB62" s="68"/>
      <c r="AD62" s="65"/>
      <c r="AG62" s="65"/>
      <c r="AH62" s="65"/>
      <c r="AI62" s="65"/>
      <c r="AJ62" s="65"/>
      <c r="AN62" s="65"/>
      <c r="AO62" s="66">
        <f>MIN(AO12:AO59)</f>
        <v>32</v>
      </c>
      <c r="AP62" s="65">
        <f>MIN(AP12:AP59)</f>
        <v>77</v>
      </c>
    </row>
    <row r="63" s="66" customFormat="1" ht="12.75" customHeight="1" spans="1:40">
      <c r="A63" s="67"/>
      <c r="B63" s="67"/>
      <c r="C63" s="68"/>
      <c r="D63" s="65"/>
      <c r="E63" s="65"/>
      <c r="F63" s="68"/>
      <c r="G63" s="94"/>
      <c r="H63" s="67"/>
      <c r="I63" s="68"/>
      <c r="J63" s="98"/>
      <c r="K63" s="68"/>
      <c r="L63" s="65"/>
      <c r="M63" s="67"/>
      <c r="N63" s="67"/>
      <c r="O63" s="67"/>
      <c r="P63" s="67"/>
      <c r="Q63" s="67"/>
      <c r="R63" s="67"/>
      <c r="S63" s="68"/>
      <c r="T63" s="67"/>
      <c r="U63" s="67"/>
      <c r="V63" s="67"/>
      <c r="W63" s="67"/>
      <c r="X63" s="67"/>
      <c r="Y63" s="67"/>
      <c r="Z63" s="67"/>
      <c r="AA63" s="68"/>
      <c r="AB63" s="68"/>
      <c r="AD63" s="65"/>
      <c r="AG63" s="65"/>
      <c r="AH63" s="65"/>
      <c r="AI63" s="65"/>
      <c r="AJ63" s="65"/>
      <c r="AN63" s="65"/>
    </row>
    <row r="64" s="66" customFormat="1" ht="12.75" customHeight="1" spans="1:40">
      <c r="A64" s="67"/>
      <c r="B64" s="67"/>
      <c r="C64" s="68"/>
      <c r="D64" s="65"/>
      <c r="E64" s="65"/>
      <c r="F64" s="68"/>
      <c r="G64" s="94"/>
      <c r="H64" s="67"/>
      <c r="I64" s="68"/>
      <c r="J64" s="98"/>
      <c r="K64" s="68"/>
      <c r="L64" s="65"/>
      <c r="M64" s="67"/>
      <c r="N64" s="67"/>
      <c r="O64" s="67"/>
      <c r="P64" s="67"/>
      <c r="Q64" s="67"/>
      <c r="R64" s="67"/>
      <c r="S64" s="68"/>
      <c r="T64" s="67"/>
      <c r="U64" s="67"/>
      <c r="V64" s="67"/>
      <c r="W64" s="67"/>
      <c r="X64" s="67"/>
      <c r="Y64" s="67"/>
      <c r="Z64" s="67"/>
      <c r="AA64" s="68"/>
      <c r="AB64" s="68"/>
      <c r="AD64" s="65"/>
      <c r="AG64" s="65"/>
      <c r="AH64" s="65"/>
      <c r="AI64" s="65"/>
      <c r="AJ64" s="65"/>
      <c r="AN64" s="65"/>
    </row>
    <row r="65" s="66" customFormat="1" ht="12.75" customHeight="1" spans="1:40">
      <c r="A65" s="67"/>
      <c r="B65" s="67"/>
      <c r="C65" s="68"/>
      <c r="D65" s="65"/>
      <c r="E65" s="65"/>
      <c r="F65" s="68"/>
      <c r="G65" s="94"/>
      <c r="H65" s="67"/>
      <c r="I65" s="68"/>
      <c r="J65" s="98"/>
      <c r="K65" s="68"/>
      <c r="L65" s="65"/>
      <c r="M65" s="67"/>
      <c r="N65" s="67"/>
      <c r="O65" s="67"/>
      <c r="P65" s="67"/>
      <c r="Q65" s="67"/>
      <c r="R65" s="67"/>
      <c r="S65" s="68"/>
      <c r="T65" s="67"/>
      <c r="U65" s="67"/>
      <c r="V65" s="67"/>
      <c r="W65" s="67"/>
      <c r="X65" s="67"/>
      <c r="Y65" s="67"/>
      <c r="Z65" s="67"/>
      <c r="AA65" s="68"/>
      <c r="AB65" s="68"/>
      <c r="AD65" s="65"/>
      <c r="AG65" s="65"/>
      <c r="AH65" s="65"/>
      <c r="AI65" s="65"/>
      <c r="AJ65" s="65"/>
      <c r="AN65" s="65"/>
    </row>
    <row r="66" s="66" customFormat="1" ht="12.75" customHeight="1" spans="1:40">
      <c r="A66" s="67"/>
      <c r="B66" s="67"/>
      <c r="C66" s="68"/>
      <c r="D66" s="118" t="s">
        <v>527</v>
      </c>
      <c r="E66" s="65"/>
      <c r="F66" s="68"/>
      <c r="G66" s="94" t="s">
        <v>528</v>
      </c>
      <c r="H66" s="67"/>
      <c r="I66" s="68"/>
      <c r="J66" s="98"/>
      <c r="K66" s="68"/>
      <c r="L66" s="65"/>
      <c r="M66" s="67" t="s">
        <v>955</v>
      </c>
      <c r="N66" s="67"/>
      <c r="O66" s="67"/>
      <c r="P66" s="67"/>
      <c r="Q66" s="67"/>
      <c r="R66" s="67"/>
      <c r="S66" s="68"/>
      <c r="T66" s="67"/>
      <c r="U66" s="67"/>
      <c r="V66" s="67"/>
      <c r="W66" s="67"/>
      <c r="X66" s="67"/>
      <c r="Y66" s="67"/>
      <c r="Z66" s="67"/>
      <c r="AA66" s="68"/>
      <c r="AB66" s="68"/>
      <c r="AD66" s="65"/>
      <c r="AG66" s="65"/>
      <c r="AH66" s="65"/>
      <c r="AI66" s="65"/>
      <c r="AJ66" s="65"/>
      <c r="AN66" s="65"/>
    </row>
    <row r="67" s="66" customFormat="1" ht="12.75" customHeight="1" spans="1:40">
      <c r="A67" s="67"/>
      <c r="B67" s="67"/>
      <c r="C67" s="68"/>
      <c r="D67" s="119" t="s">
        <v>530</v>
      </c>
      <c r="E67" s="65"/>
      <c r="F67" s="68"/>
      <c r="G67" s="68"/>
      <c r="H67" s="67"/>
      <c r="I67" s="68"/>
      <c r="J67" s="98"/>
      <c r="K67" s="68"/>
      <c r="L67" s="65"/>
      <c r="M67" s="67"/>
      <c r="N67" s="67"/>
      <c r="O67" s="67"/>
      <c r="P67" s="67"/>
      <c r="Q67" s="67"/>
      <c r="R67" s="67"/>
      <c r="S67" s="68"/>
      <c r="T67" s="67"/>
      <c r="U67" s="67"/>
      <c r="V67" s="67"/>
      <c r="W67" s="67"/>
      <c r="X67" s="67"/>
      <c r="Y67" s="67"/>
      <c r="Z67" s="67"/>
      <c r="AA67" s="68"/>
      <c r="AB67" s="68"/>
      <c r="AD67" s="65"/>
      <c r="AG67" s="65"/>
      <c r="AH67" s="65"/>
      <c r="AI67" s="65"/>
      <c r="AJ67" s="65"/>
      <c r="AN67" s="65"/>
    </row>
    <row r="68" s="66" customFormat="1" ht="12.75" customHeight="1" spans="1:40">
      <c r="A68" s="69" t="s">
        <v>0</v>
      </c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7"/>
      <c r="S68" s="68"/>
      <c r="T68" s="67"/>
      <c r="U68" s="67"/>
      <c r="V68" s="67"/>
      <c r="W68" s="67"/>
      <c r="X68" s="67"/>
      <c r="Y68" s="67"/>
      <c r="Z68" s="67"/>
      <c r="AA68" s="68"/>
      <c r="AB68" s="68"/>
      <c r="AD68" s="65"/>
      <c r="AG68" s="65"/>
      <c r="AH68" s="65"/>
      <c r="AI68" s="65"/>
      <c r="AJ68" s="65"/>
      <c r="AN68" s="65"/>
    </row>
    <row r="69" s="66" customFormat="1" ht="12.75" customHeight="1" spans="1:40">
      <c r="A69" s="69" t="s">
        <v>1</v>
      </c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7"/>
      <c r="S69" s="68"/>
      <c r="T69" s="67"/>
      <c r="U69" s="67"/>
      <c r="V69" s="67"/>
      <c r="W69" s="67"/>
      <c r="X69" s="67"/>
      <c r="Y69" s="67"/>
      <c r="Z69" s="67"/>
      <c r="AA69" s="68"/>
      <c r="AB69" s="68"/>
      <c r="AD69" s="65"/>
      <c r="AG69" s="65"/>
      <c r="AH69" s="65"/>
      <c r="AI69" s="65"/>
      <c r="AJ69" s="65"/>
      <c r="AN69" s="65"/>
    </row>
    <row r="70" s="66" customFormat="1" ht="12.75" customHeight="1" spans="1:40">
      <c r="A70" s="69" t="s">
        <v>2</v>
      </c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7"/>
      <c r="S70" s="68"/>
      <c r="T70" s="67"/>
      <c r="U70" s="67"/>
      <c r="V70" s="67"/>
      <c r="W70" s="67"/>
      <c r="X70" s="67"/>
      <c r="Y70" s="67"/>
      <c r="Z70" s="67"/>
      <c r="AA70" s="68"/>
      <c r="AB70" s="68"/>
      <c r="AD70" s="65"/>
      <c r="AG70" s="65"/>
      <c r="AH70" s="65"/>
      <c r="AI70" s="65"/>
      <c r="AJ70" s="65"/>
      <c r="AN70" s="65"/>
    </row>
    <row r="71" s="66" customFormat="1" ht="16.5" customHeight="1" spans="1:40">
      <c r="A71" s="70" t="s">
        <v>3</v>
      </c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67"/>
      <c r="S71" s="68"/>
      <c r="T71" s="67"/>
      <c r="U71" s="67"/>
      <c r="V71" s="67"/>
      <c r="W71" s="67"/>
      <c r="X71" s="67"/>
      <c r="Y71" s="67"/>
      <c r="Z71" s="67"/>
      <c r="AA71" s="68"/>
      <c r="AB71" s="68"/>
      <c r="AD71" s="65"/>
      <c r="AG71" s="65"/>
      <c r="AH71" s="65"/>
      <c r="AI71" s="65"/>
      <c r="AJ71" s="65"/>
      <c r="AN71" s="65"/>
    </row>
    <row r="72" s="66" customFormat="1" ht="12.75" customHeight="1" spans="1:40">
      <c r="A72" s="71" t="s">
        <v>4</v>
      </c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67"/>
      <c r="S72" s="68"/>
      <c r="T72" s="67"/>
      <c r="U72" s="67"/>
      <c r="V72" s="67"/>
      <c r="W72" s="67"/>
      <c r="X72" s="67"/>
      <c r="Y72" s="67"/>
      <c r="Z72" s="67"/>
      <c r="AA72" s="68"/>
      <c r="AB72" s="68"/>
      <c r="AD72" s="65"/>
      <c r="AG72" s="65"/>
      <c r="AH72" s="65"/>
      <c r="AI72" s="65"/>
      <c r="AJ72" s="65"/>
      <c r="AN72" s="65"/>
    </row>
    <row r="73" s="66" customFormat="1" customHeight="1" spans="1:40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67"/>
      <c r="S73" s="68"/>
      <c r="T73" s="67"/>
      <c r="U73" s="67"/>
      <c r="V73" s="67"/>
      <c r="W73" s="67"/>
      <c r="X73" s="67"/>
      <c r="Y73" s="67"/>
      <c r="Z73" s="67"/>
      <c r="AA73" s="68"/>
      <c r="AB73" s="68"/>
      <c r="AD73" s="65"/>
      <c r="AG73" s="65"/>
      <c r="AH73" s="65"/>
      <c r="AI73" s="65"/>
      <c r="AJ73" s="65"/>
      <c r="AN73" s="65"/>
    </row>
    <row r="74" s="66" customFormat="1" ht="12.75" customHeight="1" spans="1:40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67"/>
      <c r="S74" s="68"/>
      <c r="T74" s="67"/>
      <c r="U74" s="67"/>
      <c r="V74" s="67"/>
      <c r="W74" s="67"/>
      <c r="X74" s="67"/>
      <c r="Y74" s="67"/>
      <c r="Z74" s="67"/>
      <c r="AA74" s="68"/>
      <c r="AB74" s="68"/>
      <c r="AD74" s="65"/>
      <c r="AG74" s="65"/>
      <c r="AH74" s="65"/>
      <c r="AI74" s="65"/>
      <c r="AJ74" s="65"/>
      <c r="AN74" s="65"/>
    </row>
    <row r="75" s="66" customFormat="1" ht="12.75" customHeight="1" spans="1:40">
      <c r="A75" s="72" t="s">
        <v>288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67"/>
      <c r="S75" s="68"/>
      <c r="T75" s="67"/>
      <c r="U75" s="67"/>
      <c r="V75" s="67"/>
      <c r="W75" s="67"/>
      <c r="X75" s="67"/>
      <c r="Y75" s="67"/>
      <c r="Z75" s="67"/>
      <c r="AA75" s="68"/>
      <c r="AB75" s="68"/>
      <c r="AD75" s="65"/>
      <c r="AG75" s="65"/>
      <c r="AH75" s="65"/>
      <c r="AI75" s="65"/>
      <c r="AJ75" s="65"/>
      <c r="AN75" s="65"/>
    </row>
    <row r="76" s="66" customFormat="1" ht="12.75" customHeight="1" spans="1:40">
      <c r="A76" s="72"/>
      <c r="B76" s="72"/>
      <c r="C76" s="72"/>
      <c r="D76" s="72"/>
      <c r="E76" s="72"/>
      <c r="F76" s="72"/>
      <c r="G76" s="72"/>
      <c r="H76" s="72"/>
      <c r="I76" s="72"/>
      <c r="J76" s="72"/>
      <c r="K76" s="72"/>
      <c r="L76" s="72"/>
      <c r="M76" s="72"/>
      <c r="N76" s="72"/>
      <c r="O76" s="72"/>
      <c r="P76" s="72"/>
      <c r="Q76" s="72"/>
      <c r="R76" s="67"/>
      <c r="S76" s="68"/>
      <c r="T76" s="67"/>
      <c r="U76" s="67"/>
      <c r="V76" s="67"/>
      <c r="W76" s="67"/>
      <c r="X76" s="67"/>
      <c r="Y76" s="67"/>
      <c r="Z76" s="67"/>
      <c r="AA76" s="68"/>
      <c r="AB76" s="68"/>
      <c r="AD76" s="65"/>
      <c r="AG76" s="65"/>
      <c r="AH76" s="65"/>
      <c r="AI76" s="65"/>
      <c r="AJ76" s="65"/>
      <c r="AN76" s="65"/>
    </row>
    <row r="77" s="66" customFormat="1" ht="12.75" customHeight="1" spans="1:40">
      <c r="A77" s="68"/>
      <c r="B77" s="73"/>
      <c r="C77" s="68"/>
      <c r="D77" s="74" t="s">
        <v>956</v>
      </c>
      <c r="E77" s="82"/>
      <c r="F77" s="68"/>
      <c r="G77" s="73" t="s">
        <v>7</v>
      </c>
      <c r="H77" s="83" t="s">
        <v>8</v>
      </c>
      <c r="I77" s="68"/>
      <c r="J77" s="68"/>
      <c r="K77" s="68"/>
      <c r="L77" s="65"/>
      <c r="M77" s="132" t="s">
        <v>957</v>
      </c>
      <c r="N77" s="67"/>
      <c r="O77" s="67"/>
      <c r="P77" s="67"/>
      <c r="Q77" s="67"/>
      <c r="R77" s="67"/>
      <c r="S77" s="68"/>
      <c r="T77" s="67"/>
      <c r="U77" s="67"/>
      <c r="V77" s="67"/>
      <c r="W77" s="67"/>
      <c r="X77" s="67"/>
      <c r="Y77" s="67"/>
      <c r="Z77" s="67"/>
      <c r="AA77" s="68"/>
      <c r="AB77" s="68"/>
      <c r="AD77" s="65"/>
      <c r="AF77" s="65" t="s">
        <v>958</v>
      </c>
      <c r="AG77" s="65"/>
      <c r="AH77" s="65"/>
      <c r="AI77" s="65"/>
      <c r="AJ77" s="65"/>
      <c r="AN77" s="65"/>
    </row>
    <row r="78" s="66" customFormat="1" ht="27" customHeight="1" spans="1:43">
      <c r="A78" s="75" t="s">
        <v>10</v>
      </c>
      <c r="B78" s="75" t="s">
        <v>11</v>
      </c>
      <c r="C78" s="76" t="s">
        <v>12</v>
      </c>
      <c r="D78" s="76" t="s">
        <v>13</v>
      </c>
      <c r="E78" s="76" t="s">
        <v>14</v>
      </c>
      <c r="F78" s="76" t="s">
        <v>17</v>
      </c>
      <c r="G78" s="76" t="s">
        <v>18</v>
      </c>
      <c r="H78" s="76" t="s">
        <v>19</v>
      </c>
      <c r="I78" s="76" t="s">
        <v>20</v>
      </c>
      <c r="J78" s="76" t="s">
        <v>21</v>
      </c>
      <c r="K78" s="75" t="s">
        <v>22</v>
      </c>
      <c r="L78" s="75" t="s">
        <v>23</v>
      </c>
      <c r="M78" s="100" t="s">
        <v>959</v>
      </c>
      <c r="N78" s="100" t="s">
        <v>960</v>
      </c>
      <c r="O78" s="100" t="s">
        <v>961</v>
      </c>
      <c r="P78" s="100" t="s">
        <v>960</v>
      </c>
      <c r="Q78" s="101"/>
      <c r="R78" s="134" t="s">
        <v>962</v>
      </c>
      <c r="S78" s="135"/>
      <c r="T78" s="100" t="s">
        <v>960</v>
      </c>
      <c r="U78" s="100" t="s">
        <v>960</v>
      </c>
      <c r="V78" s="134" t="s">
        <v>963</v>
      </c>
      <c r="W78" s="100" t="s">
        <v>960</v>
      </c>
      <c r="X78" s="134" t="s">
        <v>964</v>
      </c>
      <c r="Y78" s="100" t="s">
        <v>960</v>
      </c>
      <c r="Z78" s="136" t="s">
        <v>965</v>
      </c>
      <c r="AA78" s="100" t="s">
        <v>960</v>
      </c>
      <c r="AB78" s="100" t="s">
        <v>966</v>
      </c>
      <c r="AC78" s="104" t="s">
        <v>38</v>
      </c>
      <c r="AD78" s="105" t="s">
        <v>39</v>
      </c>
      <c r="AE78" s="107" t="s">
        <v>40</v>
      </c>
      <c r="AF78" s="108" t="s">
        <v>967</v>
      </c>
      <c r="AG78" s="96" t="s">
        <v>792</v>
      </c>
      <c r="AH78" s="96" t="s">
        <v>968</v>
      </c>
      <c r="AI78" s="101" t="s">
        <v>794</v>
      </c>
      <c r="AJ78" s="96" t="s">
        <v>969</v>
      </c>
      <c r="AK78" s="66" t="s">
        <v>796</v>
      </c>
      <c r="AL78" s="66" t="s">
        <v>45</v>
      </c>
      <c r="AN78" s="65"/>
      <c r="AQ78" s="66" t="s">
        <v>798</v>
      </c>
    </row>
    <row r="79" s="66" customFormat="1" ht="12.75" customHeight="1" spans="1:45">
      <c r="A79" s="96">
        <v>1</v>
      </c>
      <c r="B79" s="96">
        <v>1</v>
      </c>
      <c r="C79" s="120" t="s">
        <v>55</v>
      </c>
      <c r="D79" s="79">
        <v>252610049</v>
      </c>
      <c r="E79" s="121" t="s">
        <v>970</v>
      </c>
      <c r="F79" s="122" t="s">
        <v>971</v>
      </c>
      <c r="G79" s="86" t="s">
        <v>971</v>
      </c>
      <c r="H79" s="123" t="s">
        <v>61</v>
      </c>
      <c r="I79" s="120" t="s">
        <v>801</v>
      </c>
      <c r="J79" s="130">
        <v>39691</v>
      </c>
      <c r="K79" s="120" t="s">
        <v>62</v>
      </c>
      <c r="L79" s="96" t="s">
        <v>63</v>
      </c>
      <c r="M79" s="133">
        <v>100</v>
      </c>
      <c r="N79" s="96"/>
      <c r="O79" s="96">
        <v>100</v>
      </c>
      <c r="P79" s="96"/>
      <c r="Q79" s="96"/>
      <c r="R79" s="96">
        <v>100</v>
      </c>
      <c r="S79" s="120"/>
      <c r="T79" s="96"/>
      <c r="U79" s="96"/>
      <c r="V79" s="96">
        <v>100</v>
      </c>
      <c r="W79" s="96"/>
      <c r="X79" s="96">
        <v>90</v>
      </c>
      <c r="Y79" s="96">
        <v>1</v>
      </c>
      <c r="Z79" s="137">
        <v>90</v>
      </c>
      <c r="AA79" s="120"/>
      <c r="AB79" s="120">
        <v>100</v>
      </c>
      <c r="AC79" s="96">
        <f t="shared" ref="AC79:AC126" si="8">AB79+Z79+X79+V79+R79+O79+M79+O79</f>
        <v>780</v>
      </c>
      <c r="AD79" s="96">
        <f t="shared" ref="AD79:AD126" si="9">(Y79+W79+U79+T79+P79+N79+P79)*100</f>
        <v>100</v>
      </c>
      <c r="AE79" s="96">
        <f t="shared" ref="AE79:AE126" si="10">(0.8*AC79)+(0.2*AD79)</f>
        <v>644</v>
      </c>
      <c r="AF79" s="138">
        <f t="shared" ref="AF79:AF119" si="11">75+((AE79-$AE$128)/($AE$127-$AE$128)*(90-75))</f>
        <v>87.4484536082474</v>
      </c>
      <c r="AG79" s="96">
        <v>100</v>
      </c>
      <c r="AH79" s="96">
        <v>0</v>
      </c>
      <c r="AI79" s="96"/>
      <c r="AJ79" s="96">
        <v>85</v>
      </c>
      <c r="AK79" s="67">
        <f t="shared" ref="AK79:AK126" si="12">SUM(AG79:AJ79)</f>
        <v>185</v>
      </c>
      <c r="AL79" s="65">
        <v>88</v>
      </c>
      <c r="AM79" s="66" t="s">
        <v>972</v>
      </c>
      <c r="AN79" s="67">
        <f t="shared" ref="AN79:AN126" si="13">((70%*AK79)/4)+(30%*AL79)</f>
        <v>58.775</v>
      </c>
      <c r="AO79" s="114">
        <f t="shared" ref="AO79:AO126" si="14">((50%*AF79)+(50%*AN79))</f>
        <v>73.1117268041237</v>
      </c>
      <c r="AP79" s="115">
        <f t="shared" ref="AP79:AP126" si="15">77+((AO79-$AO$129)/($AO$128-$AO$129)*(90-77))</f>
        <v>87.7804796082479</v>
      </c>
      <c r="AQ79" s="117">
        <v>87.7804796082479</v>
      </c>
      <c r="AR79" s="122" t="s">
        <v>971</v>
      </c>
      <c r="AS79" s="66" t="s">
        <v>971</v>
      </c>
    </row>
    <row r="80" s="66" customFormat="1" ht="12.75" customHeight="1" spans="1:45">
      <c r="A80" s="96">
        <v>2</v>
      </c>
      <c r="B80" s="96">
        <v>2</v>
      </c>
      <c r="C80" s="120" t="s">
        <v>65</v>
      </c>
      <c r="D80" s="79">
        <v>252610050</v>
      </c>
      <c r="E80" s="121" t="s">
        <v>973</v>
      </c>
      <c r="F80" s="122" t="s">
        <v>974</v>
      </c>
      <c r="G80" s="86" t="s">
        <v>974</v>
      </c>
      <c r="H80" s="123" t="s">
        <v>61</v>
      </c>
      <c r="I80" s="120" t="s">
        <v>805</v>
      </c>
      <c r="J80" s="130">
        <v>39698</v>
      </c>
      <c r="K80" s="120" t="s">
        <v>53</v>
      </c>
      <c r="L80" s="96" t="s">
        <v>63</v>
      </c>
      <c r="M80" s="133">
        <v>100</v>
      </c>
      <c r="N80" s="96"/>
      <c r="O80" s="96">
        <v>100</v>
      </c>
      <c r="P80" s="96"/>
      <c r="Q80" s="96"/>
      <c r="R80" s="96">
        <v>100</v>
      </c>
      <c r="S80" s="96"/>
      <c r="T80" s="96"/>
      <c r="U80" s="96"/>
      <c r="V80" s="96">
        <v>100</v>
      </c>
      <c r="W80" s="96"/>
      <c r="X80" s="96">
        <v>95</v>
      </c>
      <c r="Y80" s="96"/>
      <c r="Z80" s="137">
        <v>90</v>
      </c>
      <c r="AA80" s="96"/>
      <c r="AB80" s="96"/>
      <c r="AC80" s="96">
        <f t="shared" si="8"/>
        <v>685</v>
      </c>
      <c r="AD80" s="96">
        <f t="shared" si="9"/>
        <v>0</v>
      </c>
      <c r="AE80" s="96">
        <f t="shared" si="10"/>
        <v>548</v>
      </c>
      <c r="AF80" s="138">
        <f t="shared" si="11"/>
        <v>85.5927835051546</v>
      </c>
      <c r="AG80" s="96">
        <v>100</v>
      </c>
      <c r="AH80" s="96">
        <v>100</v>
      </c>
      <c r="AI80" s="96"/>
      <c r="AJ80" s="96">
        <v>85</v>
      </c>
      <c r="AK80" s="67">
        <f t="shared" si="12"/>
        <v>285</v>
      </c>
      <c r="AL80" s="65">
        <v>80</v>
      </c>
      <c r="AM80" s="66" t="s">
        <v>975</v>
      </c>
      <c r="AN80" s="67">
        <f t="shared" si="13"/>
        <v>73.875</v>
      </c>
      <c r="AO80" s="114">
        <f t="shared" si="14"/>
        <v>79.7338917525773</v>
      </c>
      <c r="AP80" s="115">
        <f t="shared" si="15"/>
        <v>89.0140185794186</v>
      </c>
      <c r="AQ80" s="117">
        <v>89.0140185794186</v>
      </c>
      <c r="AR80" s="122" t="s">
        <v>974</v>
      </c>
      <c r="AS80" s="66" t="s">
        <v>974</v>
      </c>
    </row>
    <row r="81" s="66" customFormat="1" ht="12.75" customHeight="1" spans="1:45">
      <c r="A81" s="96">
        <v>3</v>
      </c>
      <c r="B81" s="96">
        <v>4</v>
      </c>
      <c r="C81" s="120" t="s">
        <v>71</v>
      </c>
      <c r="D81" s="79">
        <v>252610051</v>
      </c>
      <c r="E81" s="121" t="s">
        <v>976</v>
      </c>
      <c r="F81" s="122" t="s">
        <v>977</v>
      </c>
      <c r="G81" s="86" t="s">
        <v>977</v>
      </c>
      <c r="H81" s="123" t="s">
        <v>76</v>
      </c>
      <c r="I81" s="120" t="s">
        <v>809</v>
      </c>
      <c r="J81" s="130">
        <v>39684</v>
      </c>
      <c r="K81" s="120" t="s">
        <v>77</v>
      </c>
      <c r="L81" s="96" t="s">
        <v>63</v>
      </c>
      <c r="M81" s="133">
        <v>100</v>
      </c>
      <c r="N81" s="96">
        <v>1</v>
      </c>
      <c r="O81" s="96">
        <v>100</v>
      </c>
      <c r="P81" s="96"/>
      <c r="Q81" s="96"/>
      <c r="R81" s="96">
        <v>100</v>
      </c>
      <c r="S81" s="120"/>
      <c r="T81" s="96"/>
      <c r="U81" s="77"/>
      <c r="V81" s="77">
        <v>100</v>
      </c>
      <c r="W81" s="96"/>
      <c r="X81" s="96">
        <v>85</v>
      </c>
      <c r="Y81" s="96"/>
      <c r="Z81" s="137">
        <v>95</v>
      </c>
      <c r="AA81" s="120"/>
      <c r="AB81" s="120"/>
      <c r="AC81" s="96">
        <f t="shared" si="8"/>
        <v>680</v>
      </c>
      <c r="AD81" s="96">
        <f t="shared" si="9"/>
        <v>100</v>
      </c>
      <c r="AE81" s="96">
        <f t="shared" si="10"/>
        <v>564</v>
      </c>
      <c r="AF81" s="138">
        <f t="shared" si="11"/>
        <v>85.9020618556701</v>
      </c>
      <c r="AG81" s="96">
        <v>100</v>
      </c>
      <c r="AH81" s="96">
        <v>0</v>
      </c>
      <c r="AI81" s="96"/>
      <c r="AJ81" s="96">
        <v>85</v>
      </c>
      <c r="AK81" s="67">
        <f t="shared" si="12"/>
        <v>185</v>
      </c>
      <c r="AL81" s="65">
        <v>96</v>
      </c>
      <c r="AM81" s="66" t="s">
        <v>978</v>
      </c>
      <c r="AN81" s="67">
        <f t="shared" si="13"/>
        <v>61.175</v>
      </c>
      <c r="AO81" s="114">
        <f t="shared" si="14"/>
        <v>73.538530927835</v>
      </c>
      <c r="AP81" s="115">
        <f t="shared" si="15"/>
        <v>87.8599822367316</v>
      </c>
      <c r="AQ81" s="117">
        <v>87.8599822367316</v>
      </c>
      <c r="AR81" s="122" t="s">
        <v>977</v>
      </c>
      <c r="AS81" s="66" t="s">
        <v>977</v>
      </c>
    </row>
    <row r="82" s="66" customFormat="1" ht="12.75" customHeight="1" spans="1:45">
      <c r="A82" s="96">
        <v>4</v>
      </c>
      <c r="B82" s="96">
        <v>5</v>
      </c>
      <c r="C82" s="120" t="s">
        <v>79</v>
      </c>
      <c r="D82" s="79">
        <v>252610052</v>
      </c>
      <c r="E82" s="124" t="s">
        <v>979</v>
      </c>
      <c r="F82" s="122" t="s">
        <v>980</v>
      </c>
      <c r="G82" s="86" t="s">
        <v>980</v>
      </c>
      <c r="H82" s="123" t="s">
        <v>76</v>
      </c>
      <c r="I82" s="120" t="s">
        <v>801</v>
      </c>
      <c r="J82" s="130">
        <v>39616</v>
      </c>
      <c r="K82" s="120" t="s">
        <v>53</v>
      </c>
      <c r="L82" s="96" t="s">
        <v>63</v>
      </c>
      <c r="M82" s="133">
        <v>100</v>
      </c>
      <c r="N82" s="96"/>
      <c r="O82" s="96">
        <v>100</v>
      </c>
      <c r="P82" s="96"/>
      <c r="Q82" s="96"/>
      <c r="R82" s="96">
        <v>100</v>
      </c>
      <c r="S82" s="120"/>
      <c r="T82" s="96">
        <v>1</v>
      </c>
      <c r="U82" s="96">
        <v>2</v>
      </c>
      <c r="V82" s="96">
        <v>100</v>
      </c>
      <c r="W82" s="96">
        <v>3</v>
      </c>
      <c r="X82" s="96">
        <v>100</v>
      </c>
      <c r="Y82" s="96">
        <v>1</v>
      </c>
      <c r="Z82" s="137">
        <v>95</v>
      </c>
      <c r="AA82" s="120"/>
      <c r="AB82" s="120">
        <v>100</v>
      </c>
      <c r="AC82" s="96">
        <f t="shared" si="8"/>
        <v>795</v>
      </c>
      <c r="AD82" s="96">
        <f t="shared" si="9"/>
        <v>700</v>
      </c>
      <c r="AE82" s="96">
        <f t="shared" si="10"/>
        <v>776</v>
      </c>
      <c r="AF82" s="138">
        <f t="shared" si="11"/>
        <v>90</v>
      </c>
      <c r="AG82" s="96">
        <v>100</v>
      </c>
      <c r="AH82" s="96">
        <v>100</v>
      </c>
      <c r="AI82" s="96"/>
      <c r="AJ82" s="96">
        <v>85</v>
      </c>
      <c r="AK82" s="67">
        <f t="shared" si="12"/>
        <v>285</v>
      </c>
      <c r="AL82" s="65">
        <v>92</v>
      </c>
      <c r="AM82" s="66" t="s">
        <v>981</v>
      </c>
      <c r="AN82" s="67">
        <f t="shared" si="13"/>
        <v>77.475</v>
      </c>
      <c r="AO82" s="114">
        <f t="shared" si="14"/>
        <v>83.7375</v>
      </c>
      <c r="AP82" s="115">
        <f t="shared" si="15"/>
        <v>89.7597878009554</v>
      </c>
      <c r="AQ82" s="117">
        <v>89.7597878009554</v>
      </c>
      <c r="AR82" s="122" t="s">
        <v>980</v>
      </c>
      <c r="AS82" s="66" t="s">
        <v>980</v>
      </c>
    </row>
    <row r="83" s="66" customFormat="1" ht="12.75" customHeight="1" spans="1:45">
      <c r="A83" s="96">
        <v>5</v>
      </c>
      <c r="B83" s="96">
        <v>6</v>
      </c>
      <c r="C83" s="120" t="s">
        <v>85</v>
      </c>
      <c r="D83" s="79">
        <v>252610053</v>
      </c>
      <c r="E83" s="121" t="s">
        <v>982</v>
      </c>
      <c r="F83" s="122" t="s">
        <v>983</v>
      </c>
      <c r="G83" s="86" t="s">
        <v>983</v>
      </c>
      <c r="H83" s="123" t="s">
        <v>61</v>
      </c>
      <c r="I83" s="120" t="s">
        <v>809</v>
      </c>
      <c r="J83" s="130">
        <v>39948</v>
      </c>
      <c r="K83" s="120" t="s">
        <v>90</v>
      </c>
      <c r="L83" s="96" t="s">
        <v>63</v>
      </c>
      <c r="M83" s="133">
        <v>100</v>
      </c>
      <c r="N83" s="96"/>
      <c r="O83" s="96"/>
      <c r="P83" s="96"/>
      <c r="Q83" s="96"/>
      <c r="R83" s="96">
        <v>100</v>
      </c>
      <c r="S83" s="120"/>
      <c r="T83" s="96"/>
      <c r="U83" s="96"/>
      <c r="V83" s="96">
        <v>100</v>
      </c>
      <c r="W83" s="96"/>
      <c r="X83" s="96">
        <v>85</v>
      </c>
      <c r="Y83" s="96"/>
      <c r="Z83" s="137">
        <v>95</v>
      </c>
      <c r="AA83" s="120"/>
      <c r="AB83" s="120">
        <v>100</v>
      </c>
      <c r="AC83" s="96">
        <f t="shared" si="8"/>
        <v>580</v>
      </c>
      <c r="AD83" s="96">
        <f t="shared" si="9"/>
        <v>0</v>
      </c>
      <c r="AE83" s="96">
        <f t="shared" si="10"/>
        <v>464</v>
      </c>
      <c r="AF83" s="138">
        <f t="shared" si="11"/>
        <v>83.9690721649485</v>
      </c>
      <c r="AG83" s="96">
        <v>100</v>
      </c>
      <c r="AH83" s="96">
        <v>100</v>
      </c>
      <c r="AI83" s="96"/>
      <c r="AJ83" s="96">
        <v>85</v>
      </c>
      <c r="AK83" s="67">
        <f t="shared" si="12"/>
        <v>285</v>
      </c>
      <c r="AL83" s="65">
        <v>32</v>
      </c>
      <c r="AM83" s="66" t="s">
        <v>984</v>
      </c>
      <c r="AN83" s="67">
        <f t="shared" si="13"/>
        <v>59.475</v>
      </c>
      <c r="AO83" s="114">
        <f t="shared" si="14"/>
        <v>71.7220360824742</v>
      </c>
      <c r="AP83" s="115">
        <f t="shared" si="15"/>
        <v>87.5216159773398</v>
      </c>
      <c r="AQ83" s="117">
        <v>87.5216159773398</v>
      </c>
      <c r="AR83" s="122" t="s">
        <v>983</v>
      </c>
      <c r="AS83" s="66" t="s">
        <v>983</v>
      </c>
    </row>
    <row r="84" s="66" customFormat="1" ht="12.75" customHeight="1" spans="1:45">
      <c r="A84" s="96">
        <v>6</v>
      </c>
      <c r="B84" s="96">
        <v>7</v>
      </c>
      <c r="C84" s="120" t="s">
        <v>92</v>
      </c>
      <c r="D84" s="79">
        <v>252610054</v>
      </c>
      <c r="E84" s="121" t="s">
        <v>985</v>
      </c>
      <c r="F84" s="122" t="s">
        <v>986</v>
      </c>
      <c r="G84" s="86" t="s">
        <v>986</v>
      </c>
      <c r="H84" s="123" t="s">
        <v>61</v>
      </c>
      <c r="I84" s="120" t="s">
        <v>809</v>
      </c>
      <c r="J84" s="130">
        <v>39904</v>
      </c>
      <c r="K84" s="120" t="s">
        <v>90</v>
      </c>
      <c r="L84" s="96" t="s">
        <v>63</v>
      </c>
      <c r="M84" s="133">
        <v>100</v>
      </c>
      <c r="N84" s="96"/>
      <c r="O84" s="96">
        <v>100</v>
      </c>
      <c r="P84" s="96"/>
      <c r="Q84" s="96"/>
      <c r="R84" s="96">
        <v>100</v>
      </c>
      <c r="S84" s="120"/>
      <c r="T84" s="96"/>
      <c r="U84" s="96">
        <v>3</v>
      </c>
      <c r="V84" s="96">
        <v>100</v>
      </c>
      <c r="W84" s="96"/>
      <c r="X84" s="96">
        <v>95</v>
      </c>
      <c r="Y84" s="96"/>
      <c r="Z84" s="137">
        <v>90</v>
      </c>
      <c r="AA84" s="120"/>
      <c r="AB84" s="120">
        <v>100</v>
      </c>
      <c r="AC84" s="96">
        <f t="shared" si="8"/>
        <v>785</v>
      </c>
      <c r="AD84" s="96">
        <f t="shared" si="9"/>
        <v>300</v>
      </c>
      <c r="AE84" s="96">
        <f t="shared" si="10"/>
        <v>688</v>
      </c>
      <c r="AF84" s="138">
        <f t="shared" si="11"/>
        <v>88.298969072165</v>
      </c>
      <c r="AG84" s="96">
        <v>100</v>
      </c>
      <c r="AH84" s="96">
        <v>100</v>
      </c>
      <c r="AI84" s="96"/>
      <c r="AJ84" s="96">
        <v>85</v>
      </c>
      <c r="AK84" s="67">
        <f t="shared" si="12"/>
        <v>285</v>
      </c>
      <c r="AL84" s="65">
        <v>92</v>
      </c>
      <c r="AM84" s="66" t="s">
        <v>987</v>
      </c>
      <c r="AN84" s="67">
        <f t="shared" si="13"/>
        <v>77.475</v>
      </c>
      <c r="AO84" s="114">
        <f t="shared" si="14"/>
        <v>82.8869845360825</v>
      </c>
      <c r="AP84" s="115">
        <f t="shared" si="15"/>
        <v>89.6013586499916</v>
      </c>
      <c r="AQ84" s="117">
        <v>89.6013586499916</v>
      </c>
      <c r="AR84" s="122" t="s">
        <v>986</v>
      </c>
      <c r="AS84" s="66" t="s">
        <v>986</v>
      </c>
    </row>
    <row r="85" s="66" customFormat="1" ht="12.75" customHeight="1" spans="1:45">
      <c r="A85" s="96">
        <v>7</v>
      </c>
      <c r="B85" s="96">
        <v>8</v>
      </c>
      <c r="C85" s="120" t="s">
        <v>98</v>
      </c>
      <c r="D85" s="79">
        <v>252610055</v>
      </c>
      <c r="E85" s="124" t="s">
        <v>988</v>
      </c>
      <c r="F85" s="122" t="s">
        <v>989</v>
      </c>
      <c r="G85" s="86" t="s">
        <v>989</v>
      </c>
      <c r="H85" s="123" t="s">
        <v>61</v>
      </c>
      <c r="I85" s="120" t="s">
        <v>801</v>
      </c>
      <c r="J85" s="130">
        <v>39710</v>
      </c>
      <c r="K85" s="120" t="s">
        <v>53</v>
      </c>
      <c r="L85" s="96" t="s">
        <v>63</v>
      </c>
      <c r="M85" s="133">
        <v>100</v>
      </c>
      <c r="N85" s="96"/>
      <c r="O85" s="96">
        <v>100</v>
      </c>
      <c r="P85" s="96"/>
      <c r="Q85" s="96"/>
      <c r="R85" s="96">
        <v>100</v>
      </c>
      <c r="S85" s="120"/>
      <c r="T85" s="96">
        <v>1</v>
      </c>
      <c r="U85" s="96">
        <v>1</v>
      </c>
      <c r="V85" s="96">
        <v>100</v>
      </c>
      <c r="W85" s="96"/>
      <c r="X85" s="96">
        <v>95</v>
      </c>
      <c r="Y85" s="96">
        <v>1</v>
      </c>
      <c r="Z85" s="137">
        <v>90</v>
      </c>
      <c r="AA85" s="120"/>
      <c r="AB85" s="120">
        <v>100</v>
      </c>
      <c r="AC85" s="96">
        <f t="shared" si="8"/>
        <v>785</v>
      </c>
      <c r="AD85" s="96">
        <f t="shared" si="9"/>
        <v>300</v>
      </c>
      <c r="AE85" s="96">
        <f t="shared" si="10"/>
        <v>688</v>
      </c>
      <c r="AF85" s="138">
        <f t="shared" si="11"/>
        <v>88.298969072165</v>
      </c>
      <c r="AG85" s="96">
        <v>100</v>
      </c>
      <c r="AH85" s="96">
        <v>100</v>
      </c>
      <c r="AI85" s="96"/>
      <c r="AJ85" s="96">
        <v>85</v>
      </c>
      <c r="AK85" s="67">
        <f t="shared" si="12"/>
        <v>285</v>
      </c>
      <c r="AL85" s="65">
        <v>84</v>
      </c>
      <c r="AM85" s="66" t="s">
        <v>990</v>
      </c>
      <c r="AN85" s="67">
        <f t="shared" si="13"/>
        <v>75.075</v>
      </c>
      <c r="AO85" s="114">
        <f t="shared" si="14"/>
        <v>81.6869845360825</v>
      </c>
      <c r="AP85" s="115">
        <f t="shared" si="15"/>
        <v>89.3778295206318</v>
      </c>
      <c r="AQ85" s="117">
        <v>89.3778295206318</v>
      </c>
      <c r="AR85" s="122" t="s">
        <v>989</v>
      </c>
      <c r="AS85" s="66" t="s">
        <v>989</v>
      </c>
    </row>
    <row r="86" s="66" customFormat="1" ht="12.75" customHeight="1" spans="1:45">
      <c r="A86" s="96">
        <v>8</v>
      </c>
      <c r="B86" s="96">
        <v>9</v>
      </c>
      <c r="C86" s="120" t="s">
        <v>104</v>
      </c>
      <c r="D86" s="79">
        <v>252610056</v>
      </c>
      <c r="E86" s="121" t="s">
        <v>991</v>
      </c>
      <c r="F86" s="122" t="s">
        <v>992</v>
      </c>
      <c r="G86" s="86" t="s">
        <v>992</v>
      </c>
      <c r="H86" s="123" t="s">
        <v>76</v>
      </c>
      <c r="I86" s="120" t="s">
        <v>809</v>
      </c>
      <c r="J86" s="130">
        <v>39542</v>
      </c>
      <c r="K86" s="120" t="s">
        <v>77</v>
      </c>
      <c r="L86" s="96" t="s">
        <v>63</v>
      </c>
      <c r="M86" s="133"/>
      <c r="N86" s="96"/>
      <c r="O86" s="96">
        <v>100</v>
      </c>
      <c r="P86" s="96"/>
      <c r="Q86" s="96"/>
      <c r="R86" s="96">
        <v>100</v>
      </c>
      <c r="S86" s="120"/>
      <c r="T86" s="96"/>
      <c r="U86" s="96"/>
      <c r="V86" s="96"/>
      <c r="W86" s="96"/>
      <c r="X86" s="96">
        <v>85</v>
      </c>
      <c r="Y86" s="96"/>
      <c r="Z86" s="137">
        <v>90</v>
      </c>
      <c r="AA86" s="120"/>
      <c r="AB86" s="120"/>
      <c r="AC86" s="96">
        <f t="shared" si="8"/>
        <v>475</v>
      </c>
      <c r="AD86" s="96">
        <f t="shared" si="9"/>
        <v>0</v>
      </c>
      <c r="AE86" s="96">
        <f t="shared" si="10"/>
        <v>380</v>
      </c>
      <c r="AF86" s="138">
        <f t="shared" si="11"/>
        <v>82.3453608247423</v>
      </c>
      <c r="AG86" s="96">
        <v>0</v>
      </c>
      <c r="AH86" s="96">
        <v>0</v>
      </c>
      <c r="AI86" s="96"/>
      <c r="AJ86" s="96">
        <v>85</v>
      </c>
      <c r="AK86" s="67">
        <f t="shared" si="12"/>
        <v>85</v>
      </c>
      <c r="AN86" s="67">
        <f t="shared" si="13"/>
        <v>14.875</v>
      </c>
      <c r="AO86" s="114">
        <f t="shared" si="14"/>
        <v>48.6101804123711</v>
      </c>
      <c r="AP86" s="115">
        <f t="shared" si="15"/>
        <v>83.2164718308169</v>
      </c>
      <c r="AQ86" s="117">
        <v>83.2164718308169</v>
      </c>
      <c r="AR86" s="122" t="s">
        <v>992</v>
      </c>
      <c r="AS86" s="66" t="s">
        <v>992</v>
      </c>
    </row>
    <row r="87" s="66" customFormat="1" ht="12.75" customHeight="1" spans="1:45">
      <c r="A87" s="96">
        <v>9</v>
      </c>
      <c r="B87" s="96">
        <v>10</v>
      </c>
      <c r="C87" s="120" t="s">
        <v>110</v>
      </c>
      <c r="D87" s="79">
        <v>252610057</v>
      </c>
      <c r="E87" s="121" t="s">
        <v>993</v>
      </c>
      <c r="F87" s="122" t="s">
        <v>994</v>
      </c>
      <c r="G87" s="86" t="s">
        <v>994</v>
      </c>
      <c r="H87" s="123" t="s">
        <v>61</v>
      </c>
      <c r="I87" s="120" t="s">
        <v>809</v>
      </c>
      <c r="J87" s="130">
        <v>39886</v>
      </c>
      <c r="K87" s="120" t="s">
        <v>90</v>
      </c>
      <c r="L87" s="96" t="s">
        <v>63</v>
      </c>
      <c r="M87" s="133">
        <v>100</v>
      </c>
      <c r="N87" s="96"/>
      <c r="O87" s="96">
        <v>100</v>
      </c>
      <c r="P87" s="96"/>
      <c r="Q87" s="96"/>
      <c r="R87" s="96">
        <v>100</v>
      </c>
      <c r="S87" s="120"/>
      <c r="T87" s="96"/>
      <c r="U87" s="96"/>
      <c r="V87" s="96">
        <v>100</v>
      </c>
      <c r="W87" s="96"/>
      <c r="X87" s="96">
        <v>90</v>
      </c>
      <c r="Y87" s="96"/>
      <c r="Z87" s="137">
        <v>90</v>
      </c>
      <c r="AA87" s="120"/>
      <c r="AB87" s="120">
        <v>100</v>
      </c>
      <c r="AC87" s="96">
        <f t="shared" si="8"/>
        <v>780</v>
      </c>
      <c r="AD87" s="96">
        <f t="shared" si="9"/>
        <v>0</v>
      </c>
      <c r="AE87" s="96">
        <f t="shared" si="10"/>
        <v>624</v>
      </c>
      <c r="AF87" s="138">
        <f t="shared" si="11"/>
        <v>87.0618556701031</v>
      </c>
      <c r="AG87" s="96">
        <v>100</v>
      </c>
      <c r="AH87" s="96">
        <v>100</v>
      </c>
      <c r="AI87" s="96"/>
      <c r="AJ87" s="96">
        <v>85</v>
      </c>
      <c r="AK87" s="67">
        <f t="shared" si="12"/>
        <v>285</v>
      </c>
      <c r="AL87" s="65">
        <v>100</v>
      </c>
      <c r="AM87" s="66" t="s">
        <v>995</v>
      </c>
      <c r="AN87" s="67">
        <f t="shared" si="13"/>
        <v>79.875</v>
      </c>
      <c r="AO87" s="114">
        <f t="shared" si="14"/>
        <v>83.4684278350515</v>
      </c>
      <c r="AP87" s="115">
        <f t="shared" si="15"/>
        <v>89.7096665786505</v>
      </c>
      <c r="AQ87" s="117">
        <v>89.7096665786505</v>
      </c>
      <c r="AR87" s="122" t="s">
        <v>994</v>
      </c>
      <c r="AS87" s="66" t="s">
        <v>994</v>
      </c>
    </row>
    <row r="88" s="66" customFormat="1" ht="12.75" customHeight="1" spans="1:45">
      <c r="A88" s="96">
        <v>10</v>
      </c>
      <c r="B88" s="96">
        <v>11</v>
      </c>
      <c r="C88" s="120" t="s">
        <v>117</v>
      </c>
      <c r="D88" s="79">
        <v>252610058</v>
      </c>
      <c r="E88" s="121" t="s">
        <v>996</v>
      </c>
      <c r="F88" s="122" t="s">
        <v>997</v>
      </c>
      <c r="G88" s="86" t="s">
        <v>997</v>
      </c>
      <c r="H88" s="123" t="s">
        <v>61</v>
      </c>
      <c r="I88" s="120" t="s">
        <v>832</v>
      </c>
      <c r="J88" s="130">
        <v>39944</v>
      </c>
      <c r="K88" s="120" t="s">
        <v>77</v>
      </c>
      <c r="L88" s="96" t="s">
        <v>63</v>
      </c>
      <c r="M88" s="133">
        <v>100</v>
      </c>
      <c r="N88" s="96"/>
      <c r="O88" s="96">
        <v>100</v>
      </c>
      <c r="P88" s="96"/>
      <c r="Q88" s="96"/>
      <c r="R88" s="96">
        <v>100</v>
      </c>
      <c r="S88" s="120"/>
      <c r="T88" s="96"/>
      <c r="U88" s="96"/>
      <c r="V88" s="96">
        <v>100</v>
      </c>
      <c r="W88" s="96"/>
      <c r="X88" s="96">
        <v>95</v>
      </c>
      <c r="Y88" s="96"/>
      <c r="Z88" s="137">
        <v>95</v>
      </c>
      <c r="AA88" s="120"/>
      <c r="AB88" s="120">
        <v>100</v>
      </c>
      <c r="AC88" s="96">
        <f t="shared" si="8"/>
        <v>790</v>
      </c>
      <c r="AD88" s="96">
        <f t="shared" si="9"/>
        <v>0</v>
      </c>
      <c r="AE88" s="96">
        <f t="shared" si="10"/>
        <v>632</v>
      </c>
      <c r="AF88" s="138">
        <f t="shared" si="11"/>
        <v>87.2164948453608</v>
      </c>
      <c r="AG88" s="96">
        <v>100</v>
      </c>
      <c r="AH88" s="96">
        <v>100</v>
      </c>
      <c r="AI88" s="96"/>
      <c r="AJ88" s="96">
        <v>85</v>
      </c>
      <c r="AK88" s="67">
        <f t="shared" si="12"/>
        <v>285</v>
      </c>
      <c r="AL88" s="65">
        <v>92</v>
      </c>
      <c r="AM88" s="66" t="s">
        <v>998</v>
      </c>
      <c r="AN88" s="67">
        <f t="shared" si="13"/>
        <v>77.475</v>
      </c>
      <c r="AO88" s="114">
        <f t="shared" si="14"/>
        <v>82.3457474226804</v>
      </c>
      <c r="AP88" s="115">
        <f t="shared" si="15"/>
        <v>89.5005400993783</v>
      </c>
      <c r="AQ88" s="117">
        <v>89.5005400993783</v>
      </c>
      <c r="AR88" s="122" t="s">
        <v>997</v>
      </c>
      <c r="AS88" s="66" t="s">
        <v>997</v>
      </c>
    </row>
    <row r="89" s="66" customFormat="1" ht="12.75" customHeight="1" spans="1:45">
      <c r="A89" s="96">
        <v>11</v>
      </c>
      <c r="B89" s="96">
        <v>12</v>
      </c>
      <c r="C89" s="120" t="s">
        <v>124</v>
      </c>
      <c r="D89" s="79">
        <v>252610059</v>
      </c>
      <c r="E89" s="121" t="s">
        <v>999</v>
      </c>
      <c r="F89" s="122" t="s">
        <v>1000</v>
      </c>
      <c r="G89" s="86" t="s">
        <v>1000</v>
      </c>
      <c r="H89" s="123" t="s">
        <v>61</v>
      </c>
      <c r="I89" s="120" t="s">
        <v>809</v>
      </c>
      <c r="J89" s="130">
        <v>39825</v>
      </c>
      <c r="K89" s="120" t="s">
        <v>130</v>
      </c>
      <c r="L89" s="96" t="s">
        <v>63</v>
      </c>
      <c r="M89" s="133">
        <v>100</v>
      </c>
      <c r="N89" s="96"/>
      <c r="O89" s="96">
        <v>100</v>
      </c>
      <c r="P89" s="96"/>
      <c r="Q89" s="96"/>
      <c r="R89" s="96">
        <v>100</v>
      </c>
      <c r="S89" s="120"/>
      <c r="T89" s="96"/>
      <c r="U89" s="96"/>
      <c r="V89" s="96">
        <v>100</v>
      </c>
      <c r="W89" s="96"/>
      <c r="X89" s="96">
        <v>90</v>
      </c>
      <c r="Y89" s="96"/>
      <c r="Z89" s="137">
        <v>100</v>
      </c>
      <c r="AA89" s="120"/>
      <c r="AB89" s="120">
        <v>100</v>
      </c>
      <c r="AC89" s="96">
        <f t="shared" si="8"/>
        <v>790</v>
      </c>
      <c r="AD89" s="96">
        <f t="shared" si="9"/>
        <v>0</v>
      </c>
      <c r="AE89" s="96">
        <f t="shared" si="10"/>
        <v>632</v>
      </c>
      <c r="AF89" s="138">
        <f t="shared" si="11"/>
        <v>87.2164948453608</v>
      </c>
      <c r="AG89" s="96">
        <v>100</v>
      </c>
      <c r="AH89" s="96">
        <v>100</v>
      </c>
      <c r="AI89" s="96"/>
      <c r="AJ89" s="96">
        <v>88</v>
      </c>
      <c r="AK89" s="67">
        <f t="shared" si="12"/>
        <v>288</v>
      </c>
      <c r="AL89" s="65">
        <v>96</v>
      </c>
      <c r="AM89" s="66" t="s">
        <v>1001</v>
      </c>
      <c r="AN89" s="67">
        <f t="shared" si="13"/>
        <v>79.2</v>
      </c>
      <c r="AO89" s="114">
        <f t="shared" si="14"/>
        <v>83.2082474226804</v>
      </c>
      <c r="AP89" s="115">
        <f t="shared" si="15"/>
        <v>89.6612016611057</v>
      </c>
      <c r="AQ89" s="117">
        <v>89.6612016611057</v>
      </c>
      <c r="AR89" s="122" t="s">
        <v>1000</v>
      </c>
      <c r="AS89" s="66" t="s">
        <v>1000</v>
      </c>
    </row>
    <row r="90" s="66" customFormat="1" ht="12.75" customHeight="1" spans="1:45">
      <c r="A90" s="96">
        <v>12</v>
      </c>
      <c r="B90" s="96">
        <v>13</v>
      </c>
      <c r="C90" s="120" t="s">
        <v>132</v>
      </c>
      <c r="D90" s="79">
        <v>252610060</v>
      </c>
      <c r="E90" s="121" t="s">
        <v>1002</v>
      </c>
      <c r="F90" s="122" t="s">
        <v>1003</v>
      </c>
      <c r="G90" s="86" t="s">
        <v>1003</v>
      </c>
      <c r="H90" s="123" t="s">
        <v>76</v>
      </c>
      <c r="I90" s="120" t="s">
        <v>809</v>
      </c>
      <c r="J90" s="130">
        <v>39925</v>
      </c>
      <c r="K90" s="120" t="s">
        <v>90</v>
      </c>
      <c r="L90" s="96" t="s">
        <v>63</v>
      </c>
      <c r="M90" s="133">
        <v>100</v>
      </c>
      <c r="N90" s="96"/>
      <c r="O90" s="96">
        <v>100</v>
      </c>
      <c r="P90" s="96"/>
      <c r="Q90" s="96"/>
      <c r="R90" s="96">
        <v>100</v>
      </c>
      <c r="S90" s="120"/>
      <c r="T90" s="96"/>
      <c r="U90" s="96">
        <v>1</v>
      </c>
      <c r="V90" s="96">
        <v>100</v>
      </c>
      <c r="W90" s="96"/>
      <c r="X90" s="96">
        <v>100</v>
      </c>
      <c r="Y90" s="96">
        <v>1</v>
      </c>
      <c r="Z90" s="137">
        <v>100</v>
      </c>
      <c r="AA90" s="120"/>
      <c r="AB90" s="120">
        <v>100</v>
      </c>
      <c r="AC90" s="96">
        <f t="shared" si="8"/>
        <v>800</v>
      </c>
      <c r="AD90" s="96">
        <f t="shared" si="9"/>
        <v>200</v>
      </c>
      <c r="AE90" s="96">
        <f t="shared" si="10"/>
        <v>680</v>
      </c>
      <c r="AF90" s="138">
        <f t="shared" si="11"/>
        <v>88.1443298969072</v>
      </c>
      <c r="AG90" s="96">
        <v>100</v>
      </c>
      <c r="AH90" s="96">
        <v>100</v>
      </c>
      <c r="AI90" s="96"/>
      <c r="AJ90" s="96">
        <v>85</v>
      </c>
      <c r="AK90" s="67">
        <f t="shared" si="12"/>
        <v>285</v>
      </c>
      <c r="AL90" s="65">
        <v>100</v>
      </c>
      <c r="AM90" s="66" t="s">
        <v>1004</v>
      </c>
      <c r="AN90" s="67">
        <f t="shared" si="13"/>
        <v>79.875</v>
      </c>
      <c r="AO90" s="114">
        <f t="shared" si="14"/>
        <v>84.0096649484536</v>
      </c>
      <c r="AP90" s="115">
        <f t="shared" si="15"/>
        <v>89.8104851292638</v>
      </c>
      <c r="AQ90" s="117">
        <v>89.8104851292638</v>
      </c>
      <c r="AR90" s="122" t="s">
        <v>1003</v>
      </c>
      <c r="AS90" s="66" t="s">
        <v>1003</v>
      </c>
    </row>
    <row r="91" s="66" customFormat="1" ht="12.75" customHeight="1" spans="1:45">
      <c r="A91" s="96">
        <v>13</v>
      </c>
      <c r="B91" s="96">
        <v>14</v>
      </c>
      <c r="C91" s="120" t="s">
        <v>138</v>
      </c>
      <c r="D91" s="79">
        <v>252610061</v>
      </c>
      <c r="E91" s="124" t="s">
        <v>1005</v>
      </c>
      <c r="F91" s="122" t="s">
        <v>1006</v>
      </c>
      <c r="G91" s="86" t="s">
        <v>1006</v>
      </c>
      <c r="H91" s="123" t="s">
        <v>76</v>
      </c>
      <c r="I91" s="131" t="s">
        <v>809</v>
      </c>
      <c r="J91" s="130">
        <v>39836</v>
      </c>
      <c r="K91" s="120" t="s">
        <v>144</v>
      </c>
      <c r="L91" s="96" t="s">
        <v>63</v>
      </c>
      <c r="M91" s="133">
        <v>100</v>
      </c>
      <c r="N91" s="96"/>
      <c r="O91" s="96">
        <v>100</v>
      </c>
      <c r="P91" s="96">
        <v>1</v>
      </c>
      <c r="Q91" s="96"/>
      <c r="R91" s="96">
        <v>100</v>
      </c>
      <c r="S91" s="120"/>
      <c r="T91" s="96">
        <v>1</v>
      </c>
      <c r="U91" s="96">
        <v>1</v>
      </c>
      <c r="V91" s="96"/>
      <c r="W91" s="96"/>
      <c r="X91" s="96">
        <v>100</v>
      </c>
      <c r="Y91" s="96">
        <v>1</v>
      </c>
      <c r="Z91" s="137">
        <v>100</v>
      </c>
      <c r="AA91" s="120"/>
      <c r="AB91" s="120">
        <v>100</v>
      </c>
      <c r="AC91" s="96">
        <f t="shared" si="8"/>
        <v>700</v>
      </c>
      <c r="AD91" s="96">
        <f t="shared" si="9"/>
        <v>500</v>
      </c>
      <c r="AE91" s="96">
        <f t="shared" si="10"/>
        <v>660</v>
      </c>
      <c r="AF91" s="138">
        <f t="shared" si="11"/>
        <v>87.7577319587629</v>
      </c>
      <c r="AG91" s="96">
        <v>100</v>
      </c>
      <c r="AH91" s="96">
        <v>0</v>
      </c>
      <c r="AI91" s="96"/>
      <c r="AJ91" s="96">
        <v>88</v>
      </c>
      <c r="AK91" s="67">
        <f t="shared" si="12"/>
        <v>188</v>
      </c>
      <c r="AL91" s="65">
        <v>88</v>
      </c>
      <c r="AM91" s="66" t="s">
        <v>1007</v>
      </c>
      <c r="AN91" s="67">
        <f t="shared" si="13"/>
        <v>59.3</v>
      </c>
      <c r="AO91" s="114">
        <f t="shared" si="14"/>
        <v>73.5288659793814</v>
      </c>
      <c r="AP91" s="115">
        <f t="shared" si="15"/>
        <v>87.8581819054706</v>
      </c>
      <c r="AQ91" s="117">
        <v>87.8581819054706</v>
      </c>
      <c r="AR91" s="122" t="s">
        <v>1006</v>
      </c>
      <c r="AS91" s="66" t="s">
        <v>1006</v>
      </c>
    </row>
    <row r="92" ht="12.75" customHeight="1" spans="1:45">
      <c r="A92" s="96">
        <v>14</v>
      </c>
      <c r="B92" s="96">
        <v>15</v>
      </c>
      <c r="C92" s="120" t="s">
        <v>146</v>
      </c>
      <c r="D92" s="79">
        <v>252610062</v>
      </c>
      <c r="E92" s="121" t="s">
        <v>1008</v>
      </c>
      <c r="F92" s="122" t="s">
        <v>1009</v>
      </c>
      <c r="G92" s="86" t="s">
        <v>1009</v>
      </c>
      <c r="H92" s="123" t="s">
        <v>61</v>
      </c>
      <c r="I92" s="120" t="s">
        <v>801</v>
      </c>
      <c r="J92" s="130">
        <v>39668</v>
      </c>
      <c r="K92" s="120" t="s">
        <v>90</v>
      </c>
      <c r="L92" s="96" t="s">
        <v>63</v>
      </c>
      <c r="M92" s="133">
        <v>100</v>
      </c>
      <c r="N92" s="96"/>
      <c r="O92" s="96">
        <v>100</v>
      </c>
      <c r="P92" s="96">
        <v>1</v>
      </c>
      <c r="Q92" s="96"/>
      <c r="R92" s="96">
        <v>100</v>
      </c>
      <c r="S92" s="120"/>
      <c r="T92" s="96"/>
      <c r="U92" s="96"/>
      <c r="V92" s="96">
        <v>100</v>
      </c>
      <c r="W92" s="96"/>
      <c r="X92" s="96">
        <v>95</v>
      </c>
      <c r="Y92" s="96"/>
      <c r="Z92" s="137">
        <v>100</v>
      </c>
      <c r="AA92" s="120"/>
      <c r="AB92" s="120">
        <v>100</v>
      </c>
      <c r="AC92" s="96">
        <f t="shared" si="8"/>
        <v>795</v>
      </c>
      <c r="AD92" s="96">
        <f t="shared" si="9"/>
        <v>200</v>
      </c>
      <c r="AE92" s="96">
        <f t="shared" si="10"/>
        <v>676</v>
      </c>
      <c r="AF92" s="138">
        <f t="shared" si="11"/>
        <v>88.0670103092783</v>
      </c>
      <c r="AG92" s="77">
        <v>100</v>
      </c>
      <c r="AH92" s="77">
        <v>100</v>
      </c>
      <c r="AI92" s="96"/>
      <c r="AJ92" s="77">
        <v>85</v>
      </c>
      <c r="AK92" s="67">
        <f t="shared" si="12"/>
        <v>285</v>
      </c>
      <c r="AL92" s="65">
        <v>88</v>
      </c>
      <c r="AM92" s="66" t="s">
        <v>1010</v>
      </c>
      <c r="AN92" s="67">
        <f t="shared" si="13"/>
        <v>76.275</v>
      </c>
      <c r="AO92" s="114">
        <f t="shared" si="14"/>
        <v>82.1710051546392</v>
      </c>
      <c r="AP92" s="115">
        <f t="shared" si="15"/>
        <v>89.4679901101803</v>
      </c>
      <c r="AQ92" s="116">
        <v>89.4679901101803</v>
      </c>
      <c r="AR92" s="122" t="s">
        <v>1009</v>
      </c>
      <c r="AS92" s="68" t="s">
        <v>1009</v>
      </c>
    </row>
    <row r="93" ht="12.75" customHeight="1" spans="1:45">
      <c r="A93" s="96">
        <v>15</v>
      </c>
      <c r="B93" s="96">
        <v>16</v>
      </c>
      <c r="C93" s="120" t="s">
        <v>153</v>
      </c>
      <c r="D93" s="79">
        <v>252610063</v>
      </c>
      <c r="E93" s="124" t="s">
        <v>1011</v>
      </c>
      <c r="F93" s="122" t="s">
        <v>1012</v>
      </c>
      <c r="G93" s="86" t="s">
        <v>1012</v>
      </c>
      <c r="H93" s="123" t="s">
        <v>61</v>
      </c>
      <c r="I93" s="120" t="s">
        <v>809</v>
      </c>
      <c r="J93" s="130">
        <v>39654</v>
      </c>
      <c r="K93" s="120" t="s">
        <v>130</v>
      </c>
      <c r="L93" s="96" t="s">
        <v>63</v>
      </c>
      <c r="M93" s="133">
        <v>100</v>
      </c>
      <c r="N93" s="96"/>
      <c r="O93" s="96">
        <v>100</v>
      </c>
      <c r="P93" s="96"/>
      <c r="Q93" s="96"/>
      <c r="R93" s="96">
        <v>100</v>
      </c>
      <c r="S93" s="120"/>
      <c r="T93" s="96"/>
      <c r="U93" s="96"/>
      <c r="V93" s="96">
        <v>100</v>
      </c>
      <c r="W93" s="96"/>
      <c r="X93" s="96">
        <v>90</v>
      </c>
      <c r="Y93" s="96"/>
      <c r="Z93" s="137">
        <v>90</v>
      </c>
      <c r="AA93" s="120"/>
      <c r="AB93" s="120"/>
      <c r="AC93" s="96">
        <f t="shared" si="8"/>
        <v>680</v>
      </c>
      <c r="AD93" s="96">
        <f t="shared" si="9"/>
        <v>0</v>
      </c>
      <c r="AE93" s="96">
        <f t="shared" si="10"/>
        <v>544</v>
      </c>
      <c r="AF93" s="138">
        <f t="shared" si="11"/>
        <v>85.5154639175258</v>
      </c>
      <c r="AG93" s="96">
        <v>0</v>
      </c>
      <c r="AH93" s="96">
        <v>0</v>
      </c>
      <c r="AI93" s="96"/>
      <c r="AJ93" s="77"/>
      <c r="AK93" s="67">
        <f t="shared" si="12"/>
        <v>0</v>
      </c>
      <c r="AL93" s="67">
        <v>92</v>
      </c>
      <c r="AM93" s="68" t="s">
        <v>1013</v>
      </c>
      <c r="AN93" s="67">
        <f t="shared" si="13"/>
        <v>27.6</v>
      </c>
      <c r="AO93" s="114">
        <f t="shared" si="14"/>
        <v>56.5577319587629</v>
      </c>
      <c r="AP93" s="115">
        <f t="shared" si="15"/>
        <v>84.6968962289061</v>
      </c>
      <c r="AQ93" s="116">
        <v>84.6968962289061</v>
      </c>
      <c r="AR93" s="122" t="s">
        <v>1012</v>
      </c>
      <c r="AS93" s="68" t="s">
        <v>1012</v>
      </c>
    </row>
    <row r="94" ht="12.75" customHeight="1" spans="1:45">
      <c r="A94" s="96">
        <v>16</v>
      </c>
      <c r="B94" s="96">
        <v>17</v>
      </c>
      <c r="C94" s="120" t="s">
        <v>850</v>
      </c>
      <c r="D94" s="79">
        <v>252610064</v>
      </c>
      <c r="E94" s="121" t="s">
        <v>1014</v>
      </c>
      <c r="F94" s="122" t="s">
        <v>1015</v>
      </c>
      <c r="G94" s="86" t="s">
        <v>1015</v>
      </c>
      <c r="H94" s="123" t="s">
        <v>76</v>
      </c>
      <c r="I94" s="120" t="s">
        <v>801</v>
      </c>
      <c r="J94" s="130">
        <v>39732</v>
      </c>
      <c r="K94" s="120" t="s">
        <v>90</v>
      </c>
      <c r="L94" s="96" t="s">
        <v>63</v>
      </c>
      <c r="M94" s="133"/>
      <c r="N94" s="96"/>
      <c r="O94" s="96"/>
      <c r="P94" s="96"/>
      <c r="Q94" s="96"/>
      <c r="R94" s="96"/>
      <c r="S94" s="120"/>
      <c r="T94" s="96"/>
      <c r="U94" s="96"/>
      <c r="V94" s="96"/>
      <c r="W94" s="96"/>
      <c r="X94" s="96">
        <v>95</v>
      </c>
      <c r="Y94" s="96"/>
      <c r="Z94" s="137">
        <v>90</v>
      </c>
      <c r="AA94" s="120"/>
      <c r="AB94" s="120"/>
      <c r="AC94" s="96">
        <f t="shared" si="8"/>
        <v>185</v>
      </c>
      <c r="AD94" s="96">
        <f t="shared" si="9"/>
        <v>0</v>
      </c>
      <c r="AE94" s="96">
        <f t="shared" si="10"/>
        <v>148</v>
      </c>
      <c r="AF94" s="138">
        <f t="shared" si="11"/>
        <v>77.860824742268</v>
      </c>
      <c r="AG94" s="77">
        <v>100</v>
      </c>
      <c r="AH94" s="96">
        <v>0</v>
      </c>
      <c r="AI94" s="96"/>
      <c r="AJ94" s="77">
        <v>88</v>
      </c>
      <c r="AK94" s="67">
        <f t="shared" si="12"/>
        <v>188</v>
      </c>
      <c r="AL94" s="67">
        <v>100</v>
      </c>
      <c r="AM94" s="68" t="s">
        <v>1016</v>
      </c>
      <c r="AN94" s="67">
        <f t="shared" si="13"/>
        <v>62.9</v>
      </c>
      <c r="AO94" s="114">
        <f t="shared" si="14"/>
        <v>70.380412371134</v>
      </c>
      <c r="AP94" s="115">
        <f t="shared" si="15"/>
        <v>87.2717059939029</v>
      </c>
      <c r="AQ94" s="116">
        <v>87.2717059939029</v>
      </c>
      <c r="AR94" s="122" t="s">
        <v>1015</v>
      </c>
      <c r="AS94" s="68" t="s">
        <v>1015</v>
      </c>
    </row>
    <row r="95" ht="12.75" customHeight="1" spans="1:45">
      <c r="A95" s="96">
        <v>17</v>
      </c>
      <c r="B95" s="96">
        <v>18</v>
      </c>
      <c r="C95" s="120" t="s">
        <v>165</v>
      </c>
      <c r="D95" s="79">
        <v>252610065</v>
      </c>
      <c r="E95" s="124" t="s">
        <v>1017</v>
      </c>
      <c r="F95" s="122" t="s">
        <v>1018</v>
      </c>
      <c r="G95" s="86" t="s">
        <v>1018</v>
      </c>
      <c r="H95" s="123" t="s">
        <v>76</v>
      </c>
      <c r="I95" s="120" t="s">
        <v>809</v>
      </c>
      <c r="J95" s="130">
        <v>39765</v>
      </c>
      <c r="K95" s="120" t="s">
        <v>171</v>
      </c>
      <c r="L95" s="96" t="s">
        <v>63</v>
      </c>
      <c r="M95" s="133">
        <v>100</v>
      </c>
      <c r="N95" s="96">
        <v>1</v>
      </c>
      <c r="O95" s="96">
        <v>100</v>
      </c>
      <c r="P95" s="96"/>
      <c r="Q95" s="96"/>
      <c r="R95" s="96">
        <v>100</v>
      </c>
      <c r="S95" s="120"/>
      <c r="T95" s="96"/>
      <c r="U95" s="96">
        <v>1</v>
      </c>
      <c r="V95" s="96">
        <v>100</v>
      </c>
      <c r="W95" s="96"/>
      <c r="X95" s="96">
        <v>95</v>
      </c>
      <c r="Y95" s="96"/>
      <c r="Z95" s="137">
        <v>100</v>
      </c>
      <c r="AA95" s="120"/>
      <c r="AB95" s="120">
        <v>100</v>
      </c>
      <c r="AC95" s="96">
        <f t="shared" si="8"/>
        <v>795</v>
      </c>
      <c r="AD95" s="96">
        <f t="shared" si="9"/>
        <v>200</v>
      </c>
      <c r="AE95" s="96">
        <f t="shared" si="10"/>
        <v>676</v>
      </c>
      <c r="AF95" s="138">
        <f t="shared" si="11"/>
        <v>88.0670103092783</v>
      </c>
      <c r="AG95" s="77">
        <v>100</v>
      </c>
      <c r="AH95" s="77">
        <v>100</v>
      </c>
      <c r="AI95" s="96"/>
      <c r="AJ95" s="77">
        <v>88</v>
      </c>
      <c r="AK95" s="67">
        <f t="shared" si="12"/>
        <v>288</v>
      </c>
      <c r="AL95" s="67">
        <v>60</v>
      </c>
      <c r="AM95" s="68" t="s">
        <v>1019</v>
      </c>
      <c r="AN95" s="67">
        <f t="shared" si="13"/>
        <v>68.4</v>
      </c>
      <c r="AO95" s="114">
        <f t="shared" si="14"/>
        <v>78.2335051546392</v>
      </c>
      <c r="AP95" s="115">
        <f t="shared" si="15"/>
        <v>88.7345351544684</v>
      </c>
      <c r="AQ95" s="116">
        <v>88.7345351544684</v>
      </c>
      <c r="AR95" s="122" t="s">
        <v>1018</v>
      </c>
      <c r="AS95" s="68" t="s">
        <v>1018</v>
      </c>
    </row>
    <row r="96" ht="12.75" customHeight="1" spans="1:45">
      <c r="A96" s="96">
        <v>18</v>
      </c>
      <c r="B96" s="96">
        <v>19</v>
      </c>
      <c r="C96" s="120" t="s">
        <v>173</v>
      </c>
      <c r="D96" s="79">
        <v>252610066</v>
      </c>
      <c r="E96" s="121" t="s">
        <v>1020</v>
      </c>
      <c r="F96" s="122" t="s">
        <v>1021</v>
      </c>
      <c r="G96" s="86" t="s">
        <v>1021</v>
      </c>
      <c r="H96" s="123" t="s">
        <v>76</v>
      </c>
      <c r="I96" s="131" t="s">
        <v>809</v>
      </c>
      <c r="J96" s="130">
        <v>39736</v>
      </c>
      <c r="K96" s="120" t="s">
        <v>144</v>
      </c>
      <c r="L96" s="96" t="s">
        <v>63</v>
      </c>
      <c r="M96" s="133"/>
      <c r="N96" s="96"/>
      <c r="O96" s="96">
        <v>100</v>
      </c>
      <c r="P96" s="96"/>
      <c r="Q96" s="96"/>
      <c r="R96" s="96">
        <v>100</v>
      </c>
      <c r="S96" s="120"/>
      <c r="T96" s="96"/>
      <c r="U96" s="96"/>
      <c r="V96" s="96"/>
      <c r="W96" s="96"/>
      <c r="X96" s="96"/>
      <c r="Y96" s="96"/>
      <c r="Z96" s="137"/>
      <c r="AA96" s="120"/>
      <c r="AB96" s="120"/>
      <c r="AC96" s="96">
        <f t="shared" si="8"/>
        <v>300</v>
      </c>
      <c r="AD96" s="96">
        <f t="shared" si="9"/>
        <v>0</v>
      </c>
      <c r="AE96" s="96">
        <f t="shared" si="10"/>
        <v>240</v>
      </c>
      <c r="AF96" s="138">
        <f t="shared" si="11"/>
        <v>79.639175257732</v>
      </c>
      <c r="AG96" s="96">
        <v>0</v>
      </c>
      <c r="AH96" s="96">
        <v>0</v>
      </c>
      <c r="AI96" s="96"/>
      <c r="AJ96" s="77">
        <v>85</v>
      </c>
      <c r="AK96" s="67">
        <f t="shared" si="12"/>
        <v>85</v>
      </c>
      <c r="AL96" s="67">
        <v>96</v>
      </c>
      <c r="AM96" s="68" t="s">
        <v>1021</v>
      </c>
      <c r="AN96" s="67">
        <f t="shared" si="13"/>
        <v>43.675</v>
      </c>
      <c r="AO96" s="114">
        <f t="shared" si="14"/>
        <v>61.657087628866</v>
      </c>
      <c r="AP96" s="115">
        <f t="shared" si="15"/>
        <v>85.6467750066012</v>
      </c>
      <c r="AQ96" s="116">
        <v>85.6467750066012</v>
      </c>
      <c r="AR96" s="122" t="s">
        <v>1021</v>
      </c>
      <c r="AS96" s="68" t="s">
        <v>1021</v>
      </c>
    </row>
    <row r="97" ht="12.75" customHeight="1" spans="1:45">
      <c r="A97" s="96">
        <v>19</v>
      </c>
      <c r="B97" s="96">
        <v>20</v>
      </c>
      <c r="C97" s="120" t="s">
        <v>180</v>
      </c>
      <c r="D97" s="79">
        <v>252610067</v>
      </c>
      <c r="E97" s="121" t="s">
        <v>1022</v>
      </c>
      <c r="F97" s="122" t="s">
        <v>1023</v>
      </c>
      <c r="G97" s="86" t="s">
        <v>1023</v>
      </c>
      <c r="H97" s="123" t="s">
        <v>76</v>
      </c>
      <c r="I97" s="120" t="s">
        <v>801</v>
      </c>
      <c r="J97" s="130">
        <v>39768</v>
      </c>
      <c r="K97" s="120" t="s">
        <v>77</v>
      </c>
      <c r="L97" s="96" t="s">
        <v>63</v>
      </c>
      <c r="M97" s="133">
        <v>100</v>
      </c>
      <c r="N97" s="96"/>
      <c r="O97" s="96">
        <v>100</v>
      </c>
      <c r="P97" s="96"/>
      <c r="Q97" s="96"/>
      <c r="R97" s="96">
        <v>100</v>
      </c>
      <c r="S97" s="120"/>
      <c r="T97" s="96"/>
      <c r="U97" s="96"/>
      <c r="V97" s="96">
        <v>100</v>
      </c>
      <c r="W97" s="96"/>
      <c r="X97" s="96">
        <v>85</v>
      </c>
      <c r="Y97" s="96"/>
      <c r="Z97" s="137">
        <v>90</v>
      </c>
      <c r="AA97" s="120"/>
      <c r="AB97" s="120">
        <v>100</v>
      </c>
      <c r="AC97" s="96">
        <f t="shared" si="8"/>
        <v>775</v>
      </c>
      <c r="AD97" s="96">
        <f t="shared" si="9"/>
        <v>0</v>
      </c>
      <c r="AE97" s="96">
        <f t="shared" si="10"/>
        <v>620</v>
      </c>
      <c r="AF97" s="138">
        <f t="shared" si="11"/>
        <v>86.9845360824742</v>
      </c>
      <c r="AG97" s="77">
        <v>100</v>
      </c>
      <c r="AH97" s="77">
        <v>100</v>
      </c>
      <c r="AI97" s="96"/>
      <c r="AJ97" s="77">
        <v>88</v>
      </c>
      <c r="AK97" s="67">
        <f t="shared" si="12"/>
        <v>288</v>
      </c>
      <c r="AL97" s="67">
        <v>56</v>
      </c>
      <c r="AM97" s="68" t="s">
        <v>1024</v>
      </c>
      <c r="AN97" s="67">
        <f t="shared" si="13"/>
        <v>67.2</v>
      </c>
      <c r="AO97" s="114">
        <f t="shared" si="14"/>
        <v>77.0922680412371</v>
      </c>
      <c r="AP97" s="115">
        <f t="shared" si="15"/>
        <v>88.5219520391752</v>
      </c>
      <c r="AQ97" s="116">
        <v>88.5219520391752</v>
      </c>
      <c r="AR97" s="122" t="s">
        <v>1023</v>
      </c>
      <c r="AS97" s="68" t="s">
        <v>1023</v>
      </c>
    </row>
    <row r="98" ht="12.75" customHeight="1" spans="1:45">
      <c r="A98" s="96">
        <v>20</v>
      </c>
      <c r="B98" s="96">
        <v>21</v>
      </c>
      <c r="C98" s="120" t="s">
        <v>186</v>
      </c>
      <c r="D98" s="79">
        <v>252610068</v>
      </c>
      <c r="E98" s="121" t="s">
        <v>1025</v>
      </c>
      <c r="F98" s="122" t="s">
        <v>1026</v>
      </c>
      <c r="G98" s="86" t="s">
        <v>1026</v>
      </c>
      <c r="H98" s="123" t="s">
        <v>61</v>
      </c>
      <c r="I98" s="120" t="s">
        <v>809</v>
      </c>
      <c r="J98" s="130">
        <v>39896</v>
      </c>
      <c r="K98" s="120" t="s">
        <v>90</v>
      </c>
      <c r="L98" s="96" t="s">
        <v>63</v>
      </c>
      <c r="M98" s="133">
        <v>100</v>
      </c>
      <c r="N98" s="96"/>
      <c r="O98" s="96">
        <v>100</v>
      </c>
      <c r="P98" s="96"/>
      <c r="Q98" s="96"/>
      <c r="R98" s="96">
        <v>100</v>
      </c>
      <c r="S98" s="120"/>
      <c r="T98" s="96"/>
      <c r="U98" s="96"/>
      <c r="V98" s="96">
        <v>100</v>
      </c>
      <c r="W98" s="96"/>
      <c r="X98" s="96">
        <v>85</v>
      </c>
      <c r="Y98" s="96"/>
      <c r="Z98" s="137">
        <v>90</v>
      </c>
      <c r="AA98" s="120"/>
      <c r="AB98" s="120">
        <v>100</v>
      </c>
      <c r="AC98" s="96">
        <f t="shared" si="8"/>
        <v>775</v>
      </c>
      <c r="AD98" s="96">
        <f t="shared" si="9"/>
        <v>0</v>
      </c>
      <c r="AE98" s="96">
        <f t="shared" si="10"/>
        <v>620</v>
      </c>
      <c r="AF98" s="138">
        <f t="shared" si="11"/>
        <v>86.9845360824742</v>
      </c>
      <c r="AG98" s="77">
        <v>100</v>
      </c>
      <c r="AH98" s="77">
        <v>100</v>
      </c>
      <c r="AI98" s="96"/>
      <c r="AJ98" s="77">
        <v>85</v>
      </c>
      <c r="AK98" s="67">
        <f t="shared" si="12"/>
        <v>285</v>
      </c>
      <c r="AL98" s="67">
        <v>84</v>
      </c>
      <c r="AM98" s="68" t="s">
        <v>1027</v>
      </c>
      <c r="AN98" s="67">
        <f t="shared" si="13"/>
        <v>75.075</v>
      </c>
      <c r="AO98" s="114">
        <f t="shared" si="14"/>
        <v>81.0297680412371</v>
      </c>
      <c r="AP98" s="115">
        <f t="shared" si="15"/>
        <v>89.2554069948871</v>
      </c>
      <c r="AQ98" s="116">
        <v>89.2554069948871</v>
      </c>
      <c r="AR98" s="122" t="s">
        <v>1026</v>
      </c>
      <c r="AS98" s="68" t="s">
        <v>1026</v>
      </c>
    </row>
    <row r="99" ht="12.75" customHeight="1" spans="1:45">
      <c r="A99" s="96">
        <v>21</v>
      </c>
      <c r="B99" s="96">
        <v>22</v>
      </c>
      <c r="C99" s="120" t="s">
        <v>192</v>
      </c>
      <c r="D99" s="79">
        <v>252610069</v>
      </c>
      <c r="E99" s="124" t="s">
        <v>1028</v>
      </c>
      <c r="F99" s="122" t="s">
        <v>1029</v>
      </c>
      <c r="G99" s="86" t="s">
        <v>1029</v>
      </c>
      <c r="H99" s="123" t="s">
        <v>61</v>
      </c>
      <c r="I99" s="120" t="s">
        <v>809</v>
      </c>
      <c r="J99" s="130">
        <v>40031</v>
      </c>
      <c r="K99" s="120" t="s">
        <v>90</v>
      </c>
      <c r="L99" s="96" t="s">
        <v>63</v>
      </c>
      <c r="M99" s="133">
        <v>100</v>
      </c>
      <c r="N99" s="96"/>
      <c r="O99" s="96">
        <v>100</v>
      </c>
      <c r="P99" s="96"/>
      <c r="Q99" s="96"/>
      <c r="R99" s="96">
        <v>100</v>
      </c>
      <c r="S99" s="120"/>
      <c r="T99" s="96"/>
      <c r="U99" s="96"/>
      <c r="V99" s="96">
        <v>100</v>
      </c>
      <c r="W99" s="96"/>
      <c r="X99" s="96">
        <v>85</v>
      </c>
      <c r="Y99" s="96"/>
      <c r="Z99" s="137">
        <v>90</v>
      </c>
      <c r="AA99" s="120"/>
      <c r="AB99" s="120">
        <v>100</v>
      </c>
      <c r="AC99" s="96">
        <f t="shared" si="8"/>
        <v>775</v>
      </c>
      <c r="AD99" s="96">
        <f t="shared" si="9"/>
        <v>0</v>
      </c>
      <c r="AE99" s="96">
        <f t="shared" si="10"/>
        <v>620</v>
      </c>
      <c r="AF99" s="138">
        <f t="shared" si="11"/>
        <v>86.9845360824742</v>
      </c>
      <c r="AG99" s="77">
        <v>100</v>
      </c>
      <c r="AH99" s="77">
        <v>100</v>
      </c>
      <c r="AI99" s="96"/>
      <c r="AJ99" s="77">
        <v>85</v>
      </c>
      <c r="AK99" s="67">
        <f t="shared" si="12"/>
        <v>285</v>
      </c>
      <c r="AL99" s="67">
        <v>80</v>
      </c>
      <c r="AM99" s="68" t="s">
        <v>1030</v>
      </c>
      <c r="AN99" s="67">
        <f t="shared" si="13"/>
        <v>73.875</v>
      </c>
      <c r="AO99" s="114">
        <f t="shared" si="14"/>
        <v>80.4297680412371</v>
      </c>
      <c r="AP99" s="115">
        <f t="shared" si="15"/>
        <v>89.1436424302072</v>
      </c>
      <c r="AQ99" s="116">
        <v>89.1436424302072</v>
      </c>
      <c r="AR99" s="122" t="s">
        <v>1029</v>
      </c>
      <c r="AS99" s="68" t="s">
        <v>1029</v>
      </c>
    </row>
    <row r="100" ht="12.75" customHeight="1" spans="1:45">
      <c r="A100" s="96">
        <v>22</v>
      </c>
      <c r="B100" s="96">
        <v>296</v>
      </c>
      <c r="C100" s="120" t="s">
        <v>200</v>
      </c>
      <c r="D100" s="79">
        <v>252610070</v>
      </c>
      <c r="E100" s="121" t="s">
        <v>1031</v>
      </c>
      <c r="F100" s="122" t="s">
        <v>1032</v>
      </c>
      <c r="G100" s="86" t="s">
        <v>1032</v>
      </c>
      <c r="H100" s="125" t="s">
        <v>76</v>
      </c>
      <c r="I100" s="120" t="s">
        <v>809</v>
      </c>
      <c r="J100" s="130">
        <v>39926</v>
      </c>
      <c r="K100" s="120" t="s">
        <v>171</v>
      </c>
      <c r="L100" s="96" t="s">
        <v>63</v>
      </c>
      <c r="M100" s="133">
        <v>100</v>
      </c>
      <c r="N100" s="96">
        <v>1</v>
      </c>
      <c r="O100" s="96">
        <v>100</v>
      </c>
      <c r="P100" s="96"/>
      <c r="Q100" s="96"/>
      <c r="R100" s="96">
        <v>100</v>
      </c>
      <c r="S100" s="120"/>
      <c r="T100" s="96"/>
      <c r="U100" s="96"/>
      <c r="V100" s="96">
        <v>100</v>
      </c>
      <c r="W100" s="96"/>
      <c r="X100" s="96">
        <v>95</v>
      </c>
      <c r="Y100" s="96"/>
      <c r="Z100" s="137">
        <v>90</v>
      </c>
      <c r="AA100" s="120"/>
      <c r="AB100" s="120"/>
      <c r="AC100" s="96">
        <f t="shared" si="8"/>
        <v>685</v>
      </c>
      <c r="AD100" s="96">
        <f t="shared" si="9"/>
        <v>100</v>
      </c>
      <c r="AE100" s="96">
        <f t="shared" si="10"/>
        <v>568</v>
      </c>
      <c r="AF100" s="138">
        <f t="shared" si="11"/>
        <v>85.979381443299</v>
      </c>
      <c r="AG100" s="77">
        <v>100</v>
      </c>
      <c r="AH100" s="77">
        <v>100</v>
      </c>
      <c r="AI100" s="96"/>
      <c r="AJ100" s="77">
        <v>90</v>
      </c>
      <c r="AK100" s="67">
        <f t="shared" si="12"/>
        <v>290</v>
      </c>
      <c r="AL100" s="67">
        <v>84</v>
      </c>
      <c r="AM100" s="68" t="s">
        <v>1033</v>
      </c>
      <c r="AN100" s="67">
        <f t="shared" si="13"/>
        <v>75.95</v>
      </c>
      <c r="AO100" s="114">
        <f t="shared" si="14"/>
        <v>80.9646907216495</v>
      </c>
      <c r="AP100" s="115">
        <f t="shared" si="15"/>
        <v>89.2432847643966</v>
      </c>
      <c r="AQ100" s="116">
        <v>89.2432847643966</v>
      </c>
      <c r="AR100" s="122" t="s">
        <v>1032</v>
      </c>
      <c r="AS100" s="68" t="s">
        <v>1032</v>
      </c>
    </row>
    <row r="101" ht="12.75" customHeight="1" spans="1:45">
      <c r="A101" s="96">
        <v>23</v>
      </c>
      <c r="B101" s="96">
        <v>23</v>
      </c>
      <c r="C101" s="120" t="s">
        <v>206</v>
      </c>
      <c r="D101" s="79">
        <v>252610071</v>
      </c>
      <c r="E101" s="121" t="s">
        <v>1034</v>
      </c>
      <c r="F101" s="122" t="s">
        <v>1035</v>
      </c>
      <c r="G101" s="86" t="s">
        <v>1035</v>
      </c>
      <c r="H101" s="123" t="s">
        <v>76</v>
      </c>
      <c r="I101" s="120" t="s">
        <v>809</v>
      </c>
      <c r="J101" s="130">
        <v>39669</v>
      </c>
      <c r="K101" s="120" t="s">
        <v>130</v>
      </c>
      <c r="L101" s="96" t="s">
        <v>63</v>
      </c>
      <c r="M101" s="133"/>
      <c r="N101" s="96">
        <v>1</v>
      </c>
      <c r="O101" s="96">
        <v>100</v>
      </c>
      <c r="P101" s="96"/>
      <c r="Q101" s="96"/>
      <c r="R101" s="96">
        <v>100</v>
      </c>
      <c r="S101" s="120"/>
      <c r="T101" s="96"/>
      <c r="U101" s="96">
        <v>1</v>
      </c>
      <c r="V101" s="96"/>
      <c r="W101" s="96"/>
      <c r="X101" s="96">
        <v>90</v>
      </c>
      <c r="Y101" s="96"/>
      <c r="Z101" s="137">
        <v>90</v>
      </c>
      <c r="AA101" s="120"/>
      <c r="AB101" s="120"/>
      <c r="AC101" s="96">
        <f t="shared" si="8"/>
        <v>480</v>
      </c>
      <c r="AD101" s="96">
        <f t="shared" si="9"/>
        <v>200</v>
      </c>
      <c r="AE101" s="96">
        <f t="shared" si="10"/>
        <v>424</v>
      </c>
      <c r="AF101" s="138">
        <f t="shared" si="11"/>
        <v>83.1958762886598</v>
      </c>
      <c r="AG101" s="77">
        <v>100</v>
      </c>
      <c r="AH101" s="96">
        <v>0</v>
      </c>
      <c r="AI101" s="96"/>
      <c r="AJ101" s="77">
        <v>88</v>
      </c>
      <c r="AK101" s="67">
        <f t="shared" si="12"/>
        <v>188</v>
      </c>
      <c r="AL101" s="67">
        <v>40</v>
      </c>
      <c r="AM101" s="68" t="s">
        <v>1036</v>
      </c>
      <c r="AN101" s="67">
        <f t="shared" si="13"/>
        <v>44.9</v>
      </c>
      <c r="AO101" s="114">
        <f t="shared" si="14"/>
        <v>64.0479381443299</v>
      </c>
      <c r="AP101" s="115">
        <f t="shared" si="15"/>
        <v>86.0921289517271</v>
      </c>
      <c r="AQ101" s="116">
        <v>86.0921289517271</v>
      </c>
      <c r="AR101" s="122" t="s">
        <v>1035</v>
      </c>
      <c r="AS101" s="68" t="s">
        <v>1035</v>
      </c>
    </row>
    <row r="102" ht="12.75" customHeight="1" spans="1:45">
      <c r="A102" s="96">
        <v>24</v>
      </c>
      <c r="B102" s="96">
        <v>24</v>
      </c>
      <c r="C102" s="120" t="s">
        <v>213</v>
      </c>
      <c r="D102" s="79">
        <v>252610072</v>
      </c>
      <c r="E102" s="121" t="s">
        <v>1037</v>
      </c>
      <c r="F102" s="122" t="s">
        <v>1038</v>
      </c>
      <c r="G102" s="86" t="s">
        <v>1038</v>
      </c>
      <c r="H102" s="123" t="s">
        <v>76</v>
      </c>
      <c r="I102" s="120" t="s">
        <v>809</v>
      </c>
      <c r="J102" s="130">
        <v>39911</v>
      </c>
      <c r="K102" s="120" t="s">
        <v>53</v>
      </c>
      <c r="L102" s="96" t="s">
        <v>63</v>
      </c>
      <c r="M102" s="133"/>
      <c r="N102" s="96"/>
      <c r="O102" s="96"/>
      <c r="P102" s="96"/>
      <c r="Q102" s="96"/>
      <c r="R102" s="96"/>
      <c r="S102" s="120"/>
      <c r="T102" s="96"/>
      <c r="U102" s="96">
        <v>1</v>
      </c>
      <c r="V102" s="96">
        <v>100</v>
      </c>
      <c r="W102" s="96"/>
      <c r="X102" s="96">
        <v>85</v>
      </c>
      <c r="Y102" s="96"/>
      <c r="Z102" s="137">
        <v>90</v>
      </c>
      <c r="AA102" s="120"/>
      <c r="AB102" s="120">
        <v>100</v>
      </c>
      <c r="AC102" s="96">
        <f t="shared" si="8"/>
        <v>375</v>
      </c>
      <c r="AD102" s="96">
        <f t="shared" si="9"/>
        <v>100</v>
      </c>
      <c r="AE102" s="96">
        <f t="shared" si="10"/>
        <v>320</v>
      </c>
      <c r="AF102" s="138">
        <f t="shared" si="11"/>
        <v>81.1855670103093</v>
      </c>
      <c r="AG102" s="96">
        <v>0</v>
      </c>
      <c r="AH102" s="77">
        <v>100</v>
      </c>
      <c r="AI102" s="96"/>
      <c r="AJ102" s="77">
        <v>85</v>
      </c>
      <c r="AK102" s="67">
        <f t="shared" si="12"/>
        <v>185</v>
      </c>
      <c r="AL102" s="67">
        <v>84</v>
      </c>
      <c r="AM102" s="68" t="s">
        <v>1039</v>
      </c>
      <c r="AN102" s="67">
        <f t="shared" si="13"/>
        <v>57.575</v>
      </c>
      <c r="AO102" s="114">
        <f t="shared" si="14"/>
        <v>69.3802835051546</v>
      </c>
      <c r="AP102" s="115">
        <f t="shared" si="15"/>
        <v>87.0854077150196</v>
      </c>
      <c r="AQ102" s="116">
        <v>87.0854077150196</v>
      </c>
      <c r="AR102" s="122" t="s">
        <v>1038</v>
      </c>
      <c r="AS102" s="68" t="s">
        <v>1038</v>
      </c>
    </row>
    <row r="103" s="65" customFormat="1" ht="12.75" customHeight="1" spans="1:45">
      <c r="A103" s="96">
        <v>25</v>
      </c>
      <c r="B103" s="96">
        <v>25</v>
      </c>
      <c r="C103" s="120" t="s">
        <v>220</v>
      </c>
      <c r="D103" s="79">
        <v>252610073</v>
      </c>
      <c r="E103" s="121" t="s">
        <v>1040</v>
      </c>
      <c r="F103" s="122" t="s">
        <v>1041</v>
      </c>
      <c r="G103" s="86" t="s">
        <v>1041</v>
      </c>
      <c r="H103" s="123" t="s">
        <v>76</v>
      </c>
      <c r="I103" s="120" t="s">
        <v>805</v>
      </c>
      <c r="J103" s="130">
        <v>39728</v>
      </c>
      <c r="K103" s="120" t="s">
        <v>90</v>
      </c>
      <c r="L103" s="96" t="s">
        <v>63</v>
      </c>
      <c r="M103" s="133">
        <v>100</v>
      </c>
      <c r="N103" s="96"/>
      <c r="O103" s="96"/>
      <c r="P103" s="96"/>
      <c r="Q103" s="96"/>
      <c r="R103" s="96">
        <v>100</v>
      </c>
      <c r="S103" s="120"/>
      <c r="T103" s="96"/>
      <c r="U103" s="96"/>
      <c r="V103" s="96">
        <v>100</v>
      </c>
      <c r="W103" s="96"/>
      <c r="X103" s="96">
        <v>100</v>
      </c>
      <c r="Y103" s="96"/>
      <c r="Z103" s="137">
        <v>90</v>
      </c>
      <c r="AA103" s="120"/>
      <c r="AB103" s="120">
        <v>100</v>
      </c>
      <c r="AC103" s="96">
        <f t="shared" si="8"/>
        <v>590</v>
      </c>
      <c r="AD103" s="96">
        <f t="shared" si="9"/>
        <v>0</v>
      </c>
      <c r="AE103" s="96">
        <f t="shared" si="10"/>
        <v>472</v>
      </c>
      <c r="AF103" s="138">
        <f t="shared" si="11"/>
        <v>84.1237113402062</v>
      </c>
      <c r="AG103" s="96">
        <v>100</v>
      </c>
      <c r="AH103" s="96">
        <v>0</v>
      </c>
      <c r="AI103" s="96"/>
      <c r="AJ103" s="96"/>
      <c r="AK103" s="67">
        <f t="shared" si="12"/>
        <v>100</v>
      </c>
      <c r="AL103" s="67">
        <v>96</v>
      </c>
      <c r="AM103" s="68" t="s">
        <v>1042</v>
      </c>
      <c r="AN103" s="67">
        <f t="shared" si="13"/>
        <v>46.3</v>
      </c>
      <c r="AO103" s="114">
        <f t="shared" si="14"/>
        <v>65.2118556701031</v>
      </c>
      <c r="AP103" s="115">
        <f t="shared" si="15"/>
        <v>86.3089368443794</v>
      </c>
      <c r="AQ103" s="117">
        <v>86.3089368443794</v>
      </c>
      <c r="AR103" s="122" t="s">
        <v>1041</v>
      </c>
      <c r="AS103" s="65" t="s">
        <v>1041</v>
      </c>
    </row>
    <row r="104" ht="12.75" customHeight="1" spans="1:45">
      <c r="A104" s="96">
        <v>26</v>
      </c>
      <c r="B104" s="96">
        <v>26</v>
      </c>
      <c r="C104" s="120" t="s">
        <v>227</v>
      </c>
      <c r="D104" s="79">
        <v>252610074</v>
      </c>
      <c r="E104" s="121" t="s">
        <v>1043</v>
      </c>
      <c r="F104" s="122" t="s">
        <v>1044</v>
      </c>
      <c r="G104" s="86" t="s">
        <v>1044</v>
      </c>
      <c r="H104" s="123" t="s">
        <v>76</v>
      </c>
      <c r="I104" s="120" t="s">
        <v>801</v>
      </c>
      <c r="J104" s="130">
        <v>39846</v>
      </c>
      <c r="K104" s="120" t="s">
        <v>77</v>
      </c>
      <c r="L104" s="96" t="s">
        <v>63</v>
      </c>
      <c r="M104" s="133">
        <v>100</v>
      </c>
      <c r="N104" s="96">
        <v>1</v>
      </c>
      <c r="O104" s="96">
        <v>100</v>
      </c>
      <c r="P104" s="96"/>
      <c r="Q104" s="96"/>
      <c r="R104" s="96">
        <v>100</v>
      </c>
      <c r="S104" s="120"/>
      <c r="T104" s="96"/>
      <c r="U104" s="96"/>
      <c r="V104" s="96">
        <v>100</v>
      </c>
      <c r="W104" s="96"/>
      <c r="X104" s="96">
        <v>100</v>
      </c>
      <c r="Y104" s="96"/>
      <c r="Z104" s="137">
        <v>95</v>
      </c>
      <c r="AA104" s="120"/>
      <c r="AB104" s="120">
        <v>100</v>
      </c>
      <c r="AC104" s="96">
        <f t="shared" si="8"/>
        <v>795</v>
      </c>
      <c r="AD104" s="96">
        <f t="shared" si="9"/>
        <v>100</v>
      </c>
      <c r="AE104" s="96">
        <f t="shared" si="10"/>
        <v>656</v>
      </c>
      <c r="AF104" s="138">
        <f t="shared" si="11"/>
        <v>87.680412371134</v>
      </c>
      <c r="AG104" s="77">
        <v>100</v>
      </c>
      <c r="AH104" s="77">
        <v>100</v>
      </c>
      <c r="AI104" s="96"/>
      <c r="AJ104" s="77">
        <v>85</v>
      </c>
      <c r="AK104" s="67">
        <f t="shared" si="12"/>
        <v>285</v>
      </c>
      <c r="AL104" s="65">
        <v>32</v>
      </c>
      <c r="AM104" s="65" t="s">
        <v>1045</v>
      </c>
      <c r="AN104" s="67">
        <f t="shared" si="13"/>
        <v>59.475</v>
      </c>
      <c r="AO104" s="114">
        <f t="shared" si="14"/>
        <v>73.577706185567</v>
      </c>
      <c r="AP104" s="115">
        <f t="shared" si="15"/>
        <v>87.8672795794426</v>
      </c>
      <c r="AQ104" s="116">
        <v>87.8672795794426</v>
      </c>
      <c r="AR104" s="122" t="s">
        <v>1044</v>
      </c>
      <c r="AS104" s="68" t="s">
        <v>1044</v>
      </c>
    </row>
    <row r="105" ht="12.75" customHeight="1" spans="1:45">
      <c r="A105" s="96">
        <v>27</v>
      </c>
      <c r="B105" s="96">
        <v>27</v>
      </c>
      <c r="C105" s="120" t="s">
        <v>234</v>
      </c>
      <c r="D105" s="79">
        <v>252610075</v>
      </c>
      <c r="E105" s="121" t="s">
        <v>1046</v>
      </c>
      <c r="F105" s="122" t="s">
        <v>1047</v>
      </c>
      <c r="G105" s="86" t="s">
        <v>1047</v>
      </c>
      <c r="H105" s="123" t="s">
        <v>61</v>
      </c>
      <c r="I105" s="120" t="s">
        <v>809</v>
      </c>
      <c r="J105" s="130">
        <v>39769</v>
      </c>
      <c r="K105" s="120" t="s">
        <v>90</v>
      </c>
      <c r="L105" s="96" t="s">
        <v>63</v>
      </c>
      <c r="M105" s="133">
        <v>100</v>
      </c>
      <c r="N105" s="96"/>
      <c r="O105" s="96">
        <v>100</v>
      </c>
      <c r="P105" s="96"/>
      <c r="Q105" s="96"/>
      <c r="R105" s="96">
        <v>100</v>
      </c>
      <c r="S105" s="120"/>
      <c r="T105" s="96"/>
      <c r="U105" s="96"/>
      <c r="V105" s="96">
        <v>100</v>
      </c>
      <c r="W105" s="96"/>
      <c r="X105" s="96">
        <v>90</v>
      </c>
      <c r="Y105" s="96"/>
      <c r="Z105" s="137">
        <v>90</v>
      </c>
      <c r="AA105" s="120"/>
      <c r="AB105" s="120">
        <v>100</v>
      </c>
      <c r="AC105" s="96">
        <f t="shared" si="8"/>
        <v>780</v>
      </c>
      <c r="AD105" s="96">
        <f t="shared" si="9"/>
        <v>0</v>
      </c>
      <c r="AE105" s="96">
        <f t="shared" si="10"/>
        <v>624</v>
      </c>
      <c r="AF105" s="138">
        <f t="shared" si="11"/>
        <v>87.0618556701031</v>
      </c>
      <c r="AG105" s="77">
        <v>100</v>
      </c>
      <c r="AH105" s="77">
        <v>100</v>
      </c>
      <c r="AI105" s="96"/>
      <c r="AJ105" s="77">
        <v>85</v>
      </c>
      <c r="AK105" s="67">
        <f t="shared" si="12"/>
        <v>285</v>
      </c>
      <c r="AL105" s="67">
        <v>100</v>
      </c>
      <c r="AM105" s="68" t="s">
        <v>1048</v>
      </c>
      <c r="AN105" s="67">
        <f t="shared" si="13"/>
        <v>79.875</v>
      </c>
      <c r="AO105" s="114">
        <f t="shared" si="14"/>
        <v>83.4684278350515</v>
      </c>
      <c r="AP105" s="115">
        <f t="shared" si="15"/>
        <v>89.7096665786505</v>
      </c>
      <c r="AQ105" s="116">
        <v>89.7096665786505</v>
      </c>
      <c r="AR105" s="122" t="s">
        <v>1047</v>
      </c>
      <c r="AS105" s="68" t="s">
        <v>1047</v>
      </c>
    </row>
    <row r="106" ht="12.75" customHeight="1" spans="1:45">
      <c r="A106" s="96">
        <v>28</v>
      </c>
      <c r="B106" s="96">
        <v>28</v>
      </c>
      <c r="C106" s="120" t="s">
        <v>240</v>
      </c>
      <c r="D106" s="79">
        <v>252610076</v>
      </c>
      <c r="E106" s="121" t="s">
        <v>1049</v>
      </c>
      <c r="F106" s="122" t="s">
        <v>1050</v>
      </c>
      <c r="G106" s="86" t="s">
        <v>1050</v>
      </c>
      <c r="H106" s="123" t="s">
        <v>61</v>
      </c>
      <c r="I106" s="120" t="s">
        <v>809</v>
      </c>
      <c r="J106" s="130">
        <v>39862</v>
      </c>
      <c r="K106" s="120" t="s">
        <v>53</v>
      </c>
      <c r="L106" s="96" t="s">
        <v>63</v>
      </c>
      <c r="M106" s="133">
        <v>100</v>
      </c>
      <c r="N106" s="96">
        <v>1</v>
      </c>
      <c r="O106" s="96">
        <v>100</v>
      </c>
      <c r="P106" s="96"/>
      <c r="Q106" s="96"/>
      <c r="R106" s="96">
        <v>100</v>
      </c>
      <c r="S106" s="120"/>
      <c r="T106" s="96">
        <v>1</v>
      </c>
      <c r="U106" s="96"/>
      <c r="V106" s="96">
        <v>100</v>
      </c>
      <c r="W106" s="96">
        <v>3</v>
      </c>
      <c r="X106" s="96">
        <v>100</v>
      </c>
      <c r="Y106" s="96"/>
      <c r="Z106" s="137">
        <v>100</v>
      </c>
      <c r="AA106" s="120"/>
      <c r="AB106" s="120">
        <v>100</v>
      </c>
      <c r="AC106" s="96">
        <f t="shared" si="8"/>
        <v>800</v>
      </c>
      <c r="AD106" s="96">
        <f t="shared" si="9"/>
        <v>500</v>
      </c>
      <c r="AE106" s="96">
        <f t="shared" si="10"/>
        <v>740</v>
      </c>
      <c r="AF106" s="138">
        <f t="shared" si="11"/>
        <v>89.3041237113402</v>
      </c>
      <c r="AG106" s="77">
        <v>100</v>
      </c>
      <c r="AH106" s="77">
        <v>100</v>
      </c>
      <c r="AI106" s="96"/>
      <c r="AJ106" s="77">
        <v>90</v>
      </c>
      <c r="AK106" s="67">
        <f t="shared" si="12"/>
        <v>290</v>
      </c>
      <c r="AL106" s="67">
        <v>96</v>
      </c>
      <c r="AM106" s="68" t="s">
        <v>1051</v>
      </c>
      <c r="AN106" s="67">
        <f t="shared" si="13"/>
        <v>79.55</v>
      </c>
      <c r="AO106" s="114">
        <f t="shared" si="14"/>
        <v>84.4270618556701</v>
      </c>
      <c r="AP106" s="115">
        <f t="shared" si="15"/>
        <v>89.8882354353201</v>
      </c>
      <c r="AQ106" s="116">
        <v>89.8882354353201</v>
      </c>
      <c r="AR106" s="122" t="s">
        <v>1050</v>
      </c>
      <c r="AS106" s="68" t="s">
        <v>1050</v>
      </c>
    </row>
    <row r="107" ht="12.75" customHeight="1" spans="1:45">
      <c r="A107" s="96">
        <v>29</v>
      </c>
      <c r="B107" s="96">
        <v>30</v>
      </c>
      <c r="C107" s="120" t="s">
        <v>253</v>
      </c>
      <c r="D107" s="79">
        <v>252610077</v>
      </c>
      <c r="E107" s="121" t="s">
        <v>1052</v>
      </c>
      <c r="F107" s="122" t="s">
        <v>1053</v>
      </c>
      <c r="G107" s="86" t="s">
        <v>1053</v>
      </c>
      <c r="H107" s="123" t="s">
        <v>61</v>
      </c>
      <c r="I107" s="120" t="s">
        <v>809</v>
      </c>
      <c r="J107" s="130">
        <v>39566</v>
      </c>
      <c r="K107" s="120" t="s">
        <v>90</v>
      </c>
      <c r="L107" s="96" t="s">
        <v>63</v>
      </c>
      <c r="M107" s="133">
        <v>100</v>
      </c>
      <c r="N107" s="96"/>
      <c r="O107" s="96">
        <v>100</v>
      </c>
      <c r="P107" s="96"/>
      <c r="Q107" s="96"/>
      <c r="R107" s="96">
        <v>100</v>
      </c>
      <c r="S107" s="120"/>
      <c r="T107" s="96"/>
      <c r="U107" s="96">
        <v>2</v>
      </c>
      <c r="V107" s="96">
        <v>100</v>
      </c>
      <c r="W107" s="96">
        <v>3</v>
      </c>
      <c r="X107" s="96">
        <v>100</v>
      </c>
      <c r="Y107" s="96"/>
      <c r="Z107" s="137">
        <v>100</v>
      </c>
      <c r="AA107" s="120"/>
      <c r="AB107" s="120">
        <v>100</v>
      </c>
      <c r="AC107" s="96">
        <f t="shared" si="8"/>
        <v>800</v>
      </c>
      <c r="AD107" s="96">
        <f t="shared" si="9"/>
        <v>500</v>
      </c>
      <c r="AE107" s="96">
        <f t="shared" si="10"/>
        <v>740</v>
      </c>
      <c r="AF107" s="138">
        <f t="shared" si="11"/>
        <v>89.3041237113402</v>
      </c>
      <c r="AG107" s="77">
        <v>100</v>
      </c>
      <c r="AH107" s="77">
        <v>100</v>
      </c>
      <c r="AI107" s="96"/>
      <c r="AJ107" s="77">
        <v>90</v>
      </c>
      <c r="AK107" s="67">
        <f t="shared" si="12"/>
        <v>290</v>
      </c>
      <c r="AL107" s="67">
        <v>100</v>
      </c>
      <c r="AM107" s="68" t="s">
        <v>1054</v>
      </c>
      <c r="AN107" s="67">
        <f t="shared" si="13"/>
        <v>80.75</v>
      </c>
      <c r="AO107" s="114">
        <f t="shared" si="14"/>
        <v>85.0270618556701</v>
      </c>
      <c r="AP107" s="115">
        <f t="shared" si="15"/>
        <v>90</v>
      </c>
      <c r="AQ107" s="116">
        <v>90</v>
      </c>
      <c r="AR107" s="122" t="s">
        <v>1053</v>
      </c>
      <c r="AS107" s="68" t="s">
        <v>1053</v>
      </c>
    </row>
    <row r="108" ht="12.75" customHeight="1" spans="1:45">
      <c r="A108" s="96">
        <v>30</v>
      </c>
      <c r="B108" s="96">
        <v>31</v>
      </c>
      <c r="C108" s="120" t="s">
        <v>257</v>
      </c>
      <c r="D108" s="79">
        <v>252610078</v>
      </c>
      <c r="E108" s="121" t="s">
        <v>1055</v>
      </c>
      <c r="F108" s="122" t="s">
        <v>1056</v>
      </c>
      <c r="G108" s="86" t="s">
        <v>1056</v>
      </c>
      <c r="H108" s="123" t="s">
        <v>61</v>
      </c>
      <c r="I108" s="120" t="s">
        <v>801</v>
      </c>
      <c r="J108" s="130">
        <v>39851</v>
      </c>
      <c r="K108" s="120" t="s">
        <v>90</v>
      </c>
      <c r="L108" s="96" t="s">
        <v>63</v>
      </c>
      <c r="M108" s="133">
        <v>100</v>
      </c>
      <c r="N108" s="96"/>
      <c r="O108" s="96">
        <v>100</v>
      </c>
      <c r="P108" s="96"/>
      <c r="Q108" s="96"/>
      <c r="R108" s="96">
        <v>100</v>
      </c>
      <c r="S108" s="120"/>
      <c r="T108" s="96"/>
      <c r="U108" s="96"/>
      <c r="V108" s="96">
        <v>100</v>
      </c>
      <c r="W108" s="96"/>
      <c r="X108" s="96">
        <v>90</v>
      </c>
      <c r="Y108" s="96"/>
      <c r="Z108" s="137">
        <v>90</v>
      </c>
      <c r="AA108" s="120"/>
      <c r="AB108" s="120"/>
      <c r="AC108" s="96">
        <f t="shared" si="8"/>
        <v>680</v>
      </c>
      <c r="AD108" s="96">
        <f t="shared" si="9"/>
        <v>0</v>
      </c>
      <c r="AE108" s="96">
        <f t="shared" si="10"/>
        <v>544</v>
      </c>
      <c r="AF108" s="138">
        <f t="shared" si="11"/>
        <v>85.5154639175258</v>
      </c>
      <c r="AG108" s="96">
        <v>0</v>
      </c>
      <c r="AH108" s="96">
        <v>0</v>
      </c>
      <c r="AI108" s="96"/>
      <c r="AJ108" s="77">
        <v>90</v>
      </c>
      <c r="AK108" s="67">
        <f t="shared" si="12"/>
        <v>90</v>
      </c>
      <c r="AL108" s="67">
        <v>72</v>
      </c>
      <c r="AM108" s="68" t="s">
        <v>1057</v>
      </c>
      <c r="AN108" s="67">
        <f t="shared" si="13"/>
        <v>37.35</v>
      </c>
      <c r="AO108" s="114">
        <f t="shared" si="14"/>
        <v>61.4327319587629</v>
      </c>
      <c r="AP108" s="115">
        <f t="shared" si="15"/>
        <v>85.6049833169303</v>
      </c>
      <c r="AQ108" s="116">
        <v>85.6049833169303</v>
      </c>
      <c r="AR108" s="122" t="s">
        <v>1056</v>
      </c>
      <c r="AS108" s="68" t="s">
        <v>1056</v>
      </c>
    </row>
    <row r="109" ht="12.75" customHeight="1" spans="1:45">
      <c r="A109" s="96">
        <v>31</v>
      </c>
      <c r="B109" s="96">
        <v>32</v>
      </c>
      <c r="C109" s="120" t="s">
        <v>263</v>
      </c>
      <c r="D109" s="79">
        <v>252610079</v>
      </c>
      <c r="E109" s="121" t="s">
        <v>1058</v>
      </c>
      <c r="F109" s="122" t="s">
        <v>1059</v>
      </c>
      <c r="G109" s="86" t="s">
        <v>1060</v>
      </c>
      <c r="H109" s="123" t="s">
        <v>61</v>
      </c>
      <c r="I109" s="120" t="s">
        <v>809</v>
      </c>
      <c r="J109" s="130">
        <v>39889</v>
      </c>
      <c r="K109" s="120" t="s">
        <v>53</v>
      </c>
      <c r="L109" s="96" t="s">
        <v>63</v>
      </c>
      <c r="M109" s="133">
        <v>100</v>
      </c>
      <c r="N109" s="96"/>
      <c r="O109" s="96">
        <v>100</v>
      </c>
      <c r="P109" s="96"/>
      <c r="Q109" s="96"/>
      <c r="R109" s="96">
        <v>100</v>
      </c>
      <c r="S109" s="120"/>
      <c r="T109" s="96"/>
      <c r="U109" s="96"/>
      <c r="V109" s="96">
        <v>100</v>
      </c>
      <c r="W109" s="96"/>
      <c r="X109" s="96">
        <v>85</v>
      </c>
      <c r="Y109" s="96"/>
      <c r="Z109" s="137">
        <v>90</v>
      </c>
      <c r="AA109" s="120"/>
      <c r="AB109" s="120"/>
      <c r="AC109" s="96">
        <f t="shared" si="8"/>
        <v>675</v>
      </c>
      <c r="AD109" s="96">
        <f t="shared" si="9"/>
        <v>0</v>
      </c>
      <c r="AE109" s="96">
        <f t="shared" si="10"/>
        <v>540</v>
      </c>
      <c r="AF109" s="138">
        <f t="shared" si="11"/>
        <v>85.4381443298969</v>
      </c>
      <c r="AG109" s="77">
        <v>100</v>
      </c>
      <c r="AH109" s="77">
        <v>100</v>
      </c>
      <c r="AI109" s="96"/>
      <c r="AJ109" s="77">
        <v>88</v>
      </c>
      <c r="AK109" s="67">
        <f t="shared" si="12"/>
        <v>288</v>
      </c>
      <c r="AL109" s="67">
        <v>100</v>
      </c>
      <c r="AM109" s="68" t="s">
        <v>1061</v>
      </c>
      <c r="AN109" s="67">
        <f t="shared" si="13"/>
        <v>80.4</v>
      </c>
      <c r="AO109" s="114">
        <f t="shared" si="14"/>
        <v>82.9190721649485</v>
      </c>
      <c r="AP109" s="115">
        <f t="shared" si="15"/>
        <v>89.607335749778</v>
      </c>
      <c r="AQ109" s="116">
        <v>89.607335749778</v>
      </c>
      <c r="AR109" s="122" t="s">
        <v>1059</v>
      </c>
      <c r="AS109" s="68" t="s">
        <v>1060</v>
      </c>
    </row>
    <row r="110" ht="12.75" customHeight="1" spans="1:45">
      <c r="A110" s="96">
        <v>32</v>
      </c>
      <c r="B110" s="96">
        <v>33</v>
      </c>
      <c r="C110" s="120" t="s">
        <v>270</v>
      </c>
      <c r="D110" s="79">
        <v>252610080</v>
      </c>
      <c r="E110" s="121" t="s">
        <v>1062</v>
      </c>
      <c r="F110" s="122" t="s">
        <v>1063</v>
      </c>
      <c r="G110" s="86" t="s">
        <v>1063</v>
      </c>
      <c r="H110" s="123" t="s">
        <v>61</v>
      </c>
      <c r="I110" s="120" t="s">
        <v>901</v>
      </c>
      <c r="J110" s="130">
        <v>39654</v>
      </c>
      <c r="K110" s="120" t="s">
        <v>53</v>
      </c>
      <c r="L110" s="96" t="s">
        <v>63</v>
      </c>
      <c r="M110" s="133">
        <v>100</v>
      </c>
      <c r="N110" s="96"/>
      <c r="O110" s="96">
        <v>100</v>
      </c>
      <c r="P110" s="96"/>
      <c r="Q110" s="96"/>
      <c r="R110" s="96">
        <v>100</v>
      </c>
      <c r="S110" s="120"/>
      <c r="T110" s="96">
        <v>1</v>
      </c>
      <c r="U110" s="96">
        <v>3</v>
      </c>
      <c r="V110" s="96">
        <v>100</v>
      </c>
      <c r="W110" s="96"/>
      <c r="X110" s="96">
        <v>90</v>
      </c>
      <c r="Y110" s="96"/>
      <c r="Z110" s="137">
        <v>95</v>
      </c>
      <c r="AA110" s="120"/>
      <c r="AB110" s="120">
        <v>100</v>
      </c>
      <c r="AC110" s="96">
        <f t="shared" si="8"/>
        <v>785</v>
      </c>
      <c r="AD110" s="96">
        <f t="shared" si="9"/>
        <v>400</v>
      </c>
      <c r="AE110" s="96">
        <f t="shared" si="10"/>
        <v>708</v>
      </c>
      <c r="AF110" s="138">
        <f t="shared" si="11"/>
        <v>88.6855670103093</v>
      </c>
      <c r="AG110" s="77">
        <v>100</v>
      </c>
      <c r="AH110" s="77">
        <v>100</v>
      </c>
      <c r="AI110" s="96"/>
      <c r="AJ110" s="77">
        <v>85</v>
      </c>
      <c r="AK110" s="67">
        <f t="shared" si="12"/>
        <v>285</v>
      </c>
      <c r="AL110" s="67">
        <v>100</v>
      </c>
      <c r="AM110" s="68" t="s">
        <v>1064</v>
      </c>
      <c r="AN110" s="67">
        <f t="shared" si="13"/>
        <v>79.875</v>
      </c>
      <c r="AO110" s="114">
        <f t="shared" si="14"/>
        <v>84.2802835051546</v>
      </c>
      <c r="AP110" s="115">
        <f t="shared" si="15"/>
        <v>89.8608944045704</v>
      </c>
      <c r="AQ110" s="116">
        <v>89.8608944045704</v>
      </c>
      <c r="AR110" s="122" t="s">
        <v>1063</v>
      </c>
      <c r="AS110" s="68" t="s">
        <v>1063</v>
      </c>
    </row>
    <row r="111" ht="12.75" customHeight="1" spans="1:45">
      <c r="A111" s="96">
        <v>33</v>
      </c>
      <c r="B111" s="96">
        <v>34</v>
      </c>
      <c r="C111" s="120" t="s">
        <v>276</v>
      </c>
      <c r="D111" s="79">
        <v>252610081</v>
      </c>
      <c r="E111" s="121" t="s">
        <v>1065</v>
      </c>
      <c r="F111" s="122" t="s">
        <v>1066</v>
      </c>
      <c r="G111" s="86" t="s">
        <v>1066</v>
      </c>
      <c r="H111" s="123" t="s">
        <v>61</v>
      </c>
      <c r="I111" s="120" t="s">
        <v>809</v>
      </c>
      <c r="J111" s="130">
        <v>39675</v>
      </c>
      <c r="K111" s="120" t="s">
        <v>90</v>
      </c>
      <c r="L111" s="96" t="s">
        <v>63</v>
      </c>
      <c r="M111" s="133">
        <v>100</v>
      </c>
      <c r="N111" s="96"/>
      <c r="O111" s="96">
        <v>100</v>
      </c>
      <c r="P111" s="96">
        <v>1</v>
      </c>
      <c r="Q111" s="96"/>
      <c r="R111" s="96">
        <v>100</v>
      </c>
      <c r="S111" s="120"/>
      <c r="T111" s="96"/>
      <c r="U111" s="96">
        <v>1</v>
      </c>
      <c r="V111" s="96">
        <v>100</v>
      </c>
      <c r="W111" s="96"/>
      <c r="X111" s="96">
        <v>95</v>
      </c>
      <c r="Y111" s="96"/>
      <c r="Z111" s="137">
        <v>95</v>
      </c>
      <c r="AA111" s="120"/>
      <c r="AB111" s="120">
        <v>100</v>
      </c>
      <c r="AC111" s="96">
        <f t="shared" si="8"/>
        <v>790</v>
      </c>
      <c r="AD111" s="96">
        <f t="shared" si="9"/>
        <v>300</v>
      </c>
      <c r="AE111" s="96">
        <f t="shared" si="10"/>
        <v>692</v>
      </c>
      <c r="AF111" s="138">
        <f t="shared" si="11"/>
        <v>88.3762886597938</v>
      </c>
      <c r="AG111" s="77">
        <v>100</v>
      </c>
      <c r="AH111" s="77">
        <v>100</v>
      </c>
      <c r="AI111" s="96"/>
      <c r="AJ111" s="77">
        <v>85</v>
      </c>
      <c r="AK111" s="67">
        <f t="shared" si="12"/>
        <v>285</v>
      </c>
      <c r="AL111" s="67">
        <v>100</v>
      </c>
      <c r="AM111" s="68" t="s">
        <v>1067</v>
      </c>
      <c r="AN111" s="67">
        <f t="shared" si="13"/>
        <v>79.875</v>
      </c>
      <c r="AO111" s="114">
        <f t="shared" si="14"/>
        <v>84.1256443298969</v>
      </c>
      <c r="AP111" s="115">
        <f t="shared" si="15"/>
        <v>89.8320891043952</v>
      </c>
      <c r="AQ111" s="116">
        <v>89.8320891043952</v>
      </c>
      <c r="AR111" s="122" t="s">
        <v>1066</v>
      </c>
      <c r="AS111" s="68" t="s">
        <v>1066</v>
      </c>
    </row>
    <row r="112" s="65" customFormat="1" ht="12.75" customHeight="1" spans="1:45">
      <c r="A112" s="96">
        <v>34</v>
      </c>
      <c r="B112" s="96">
        <v>35</v>
      </c>
      <c r="C112" s="120" t="s">
        <v>906</v>
      </c>
      <c r="D112" s="79">
        <v>252610082</v>
      </c>
      <c r="E112" s="121" t="s">
        <v>1068</v>
      </c>
      <c r="F112" s="122" t="s">
        <v>1069</v>
      </c>
      <c r="G112" s="86" t="s">
        <v>1069</v>
      </c>
      <c r="H112" s="123" t="s">
        <v>61</v>
      </c>
      <c r="I112" s="120" t="s">
        <v>809</v>
      </c>
      <c r="J112" s="130">
        <v>39930</v>
      </c>
      <c r="K112" s="120" t="s">
        <v>90</v>
      </c>
      <c r="L112" s="96" t="s">
        <v>63</v>
      </c>
      <c r="M112" s="133">
        <v>100</v>
      </c>
      <c r="N112" s="96"/>
      <c r="O112" s="96">
        <v>100</v>
      </c>
      <c r="P112" s="96"/>
      <c r="Q112" s="96"/>
      <c r="R112" s="96">
        <v>100</v>
      </c>
      <c r="S112" s="120"/>
      <c r="T112" s="96"/>
      <c r="U112" s="96"/>
      <c r="V112" s="96">
        <v>100</v>
      </c>
      <c r="W112" s="96"/>
      <c r="X112" s="96">
        <v>90</v>
      </c>
      <c r="Y112" s="96"/>
      <c r="Z112" s="137">
        <v>90</v>
      </c>
      <c r="AA112" s="120"/>
      <c r="AB112" s="120">
        <v>100</v>
      </c>
      <c r="AC112" s="96">
        <f t="shared" si="8"/>
        <v>780</v>
      </c>
      <c r="AD112" s="96">
        <f t="shared" si="9"/>
        <v>0</v>
      </c>
      <c r="AE112" s="96">
        <f t="shared" si="10"/>
        <v>624</v>
      </c>
      <c r="AF112" s="138">
        <f t="shared" si="11"/>
        <v>87.0618556701031</v>
      </c>
      <c r="AG112" s="96">
        <v>100</v>
      </c>
      <c r="AH112" s="96">
        <v>100</v>
      </c>
      <c r="AI112" s="96"/>
      <c r="AJ112" s="96">
        <v>85</v>
      </c>
      <c r="AK112" s="67">
        <f t="shared" si="12"/>
        <v>285</v>
      </c>
      <c r="AL112" s="67">
        <v>88</v>
      </c>
      <c r="AM112" s="68" t="s">
        <v>1070</v>
      </c>
      <c r="AN112" s="67">
        <f t="shared" si="13"/>
        <v>76.275</v>
      </c>
      <c r="AO112" s="114">
        <f t="shared" si="14"/>
        <v>81.6684278350515</v>
      </c>
      <c r="AP112" s="115">
        <f t="shared" si="15"/>
        <v>89.3743728846108</v>
      </c>
      <c r="AQ112" s="117">
        <v>89.3743728846108</v>
      </c>
      <c r="AR112" s="122" t="s">
        <v>1069</v>
      </c>
      <c r="AS112" s="65" t="s">
        <v>1069</v>
      </c>
    </row>
    <row r="113" ht="12.75" customHeight="1" spans="1:45">
      <c r="A113" s="96">
        <v>35</v>
      </c>
      <c r="B113" s="96">
        <v>36</v>
      </c>
      <c r="C113" s="120" t="s">
        <v>910</v>
      </c>
      <c r="D113" s="79">
        <v>252610083</v>
      </c>
      <c r="E113" s="121" t="s">
        <v>1071</v>
      </c>
      <c r="F113" s="122" t="s">
        <v>1072</v>
      </c>
      <c r="G113" s="91" t="s">
        <v>1072</v>
      </c>
      <c r="H113" s="123" t="s">
        <v>76</v>
      </c>
      <c r="I113" s="120" t="s">
        <v>801</v>
      </c>
      <c r="J113" s="130">
        <v>39600</v>
      </c>
      <c r="K113" s="120" t="s">
        <v>77</v>
      </c>
      <c r="L113" s="96" t="s">
        <v>63</v>
      </c>
      <c r="M113" s="133"/>
      <c r="N113" s="96"/>
      <c r="O113" s="96">
        <v>100</v>
      </c>
      <c r="P113" s="96"/>
      <c r="Q113" s="96"/>
      <c r="R113" s="96">
        <v>100</v>
      </c>
      <c r="S113" s="120"/>
      <c r="T113" s="96"/>
      <c r="U113" s="96"/>
      <c r="V113" s="96">
        <v>100</v>
      </c>
      <c r="W113" s="96"/>
      <c r="X113" s="96">
        <v>85</v>
      </c>
      <c r="Y113" s="96"/>
      <c r="Z113" s="137"/>
      <c r="AA113" s="120"/>
      <c r="AB113" s="120"/>
      <c r="AC113" s="96">
        <f t="shared" si="8"/>
        <v>485</v>
      </c>
      <c r="AD113" s="96">
        <f t="shared" si="9"/>
        <v>0</v>
      </c>
      <c r="AE113" s="96">
        <f t="shared" si="10"/>
        <v>388</v>
      </c>
      <c r="AF113" s="138">
        <f t="shared" si="11"/>
        <v>82.5</v>
      </c>
      <c r="AG113" s="77">
        <v>100</v>
      </c>
      <c r="AH113" s="96">
        <v>0</v>
      </c>
      <c r="AI113" s="96"/>
      <c r="AJ113" s="77">
        <v>85</v>
      </c>
      <c r="AK113" s="67">
        <f t="shared" si="12"/>
        <v>185</v>
      </c>
      <c r="AN113" s="67">
        <f t="shared" si="13"/>
        <v>32.375</v>
      </c>
      <c r="AO113" s="114">
        <f t="shared" si="14"/>
        <v>57.4375</v>
      </c>
      <c r="AP113" s="115">
        <f t="shared" si="15"/>
        <v>84.8607743824864</v>
      </c>
      <c r="AQ113" s="116">
        <v>84.8607743824864</v>
      </c>
      <c r="AR113" s="122" t="s">
        <v>1072</v>
      </c>
      <c r="AS113" s="68" t="s">
        <v>1072</v>
      </c>
    </row>
    <row r="114" ht="12.75" customHeight="1" spans="1:45">
      <c r="A114" s="96">
        <v>36</v>
      </c>
      <c r="B114" s="96"/>
      <c r="C114" s="120"/>
      <c r="D114" s="79">
        <v>252610084</v>
      </c>
      <c r="E114" s="121" t="s">
        <v>1073</v>
      </c>
      <c r="F114" s="122" t="s">
        <v>1074</v>
      </c>
      <c r="G114" s="86" t="s">
        <v>1074</v>
      </c>
      <c r="H114" s="123" t="s">
        <v>61</v>
      </c>
      <c r="I114" s="120"/>
      <c r="J114" s="130"/>
      <c r="K114" s="120"/>
      <c r="L114" s="96"/>
      <c r="M114" s="96">
        <v>100</v>
      </c>
      <c r="N114" s="96"/>
      <c r="O114" s="96">
        <v>100</v>
      </c>
      <c r="P114" s="96"/>
      <c r="Q114" s="96"/>
      <c r="R114" s="96">
        <v>100</v>
      </c>
      <c r="S114" s="120"/>
      <c r="T114" s="96"/>
      <c r="U114" s="96"/>
      <c r="V114" s="96">
        <v>100</v>
      </c>
      <c r="W114" s="96"/>
      <c r="X114" s="96">
        <v>85</v>
      </c>
      <c r="Y114" s="96"/>
      <c r="Z114" s="137">
        <v>95</v>
      </c>
      <c r="AA114" s="120"/>
      <c r="AB114" s="120"/>
      <c r="AC114" s="96">
        <f t="shared" si="8"/>
        <v>680</v>
      </c>
      <c r="AD114" s="96">
        <f t="shared" si="9"/>
        <v>0</v>
      </c>
      <c r="AE114" s="96">
        <f t="shared" si="10"/>
        <v>544</v>
      </c>
      <c r="AF114" s="138">
        <f t="shared" si="11"/>
        <v>85.5154639175258</v>
      </c>
      <c r="AG114" s="77">
        <v>100</v>
      </c>
      <c r="AH114" s="77">
        <v>100</v>
      </c>
      <c r="AI114" s="96"/>
      <c r="AJ114" s="77">
        <v>85</v>
      </c>
      <c r="AK114" s="67">
        <f t="shared" si="12"/>
        <v>285</v>
      </c>
      <c r="AL114" s="65">
        <v>100</v>
      </c>
      <c r="AM114" s="65" t="s">
        <v>1075</v>
      </c>
      <c r="AN114" s="67">
        <f t="shared" si="13"/>
        <v>79.875</v>
      </c>
      <c r="AO114" s="114">
        <f t="shared" si="14"/>
        <v>82.6952319587629</v>
      </c>
      <c r="AP114" s="115">
        <f t="shared" si="15"/>
        <v>89.5656400777743</v>
      </c>
      <c r="AQ114" s="116">
        <v>89.5656400777743</v>
      </c>
      <c r="AR114" s="122" t="s">
        <v>1074</v>
      </c>
      <c r="AS114" s="68" t="s">
        <v>1074</v>
      </c>
    </row>
    <row r="115" ht="12.75" customHeight="1" spans="1:45">
      <c r="A115" s="96">
        <v>37</v>
      </c>
      <c r="B115" s="96"/>
      <c r="C115" s="120"/>
      <c r="D115" s="79">
        <v>252610085</v>
      </c>
      <c r="E115" s="124" t="s">
        <v>1076</v>
      </c>
      <c r="F115" s="122" t="s">
        <v>1077</v>
      </c>
      <c r="G115" s="86" t="s">
        <v>1077</v>
      </c>
      <c r="H115" s="123" t="s">
        <v>76</v>
      </c>
      <c r="I115" s="120"/>
      <c r="J115" s="130"/>
      <c r="K115" s="120"/>
      <c r="L115" s="96"/>
      <c r="M115" s="96">
        <v>100</v>
      </c>
      <c r="N115" s="96"/>
      <c r="O115" s="96">
        <v>100</v>
      </c>
      <c r="P115" s="96"/>
      <c r="Q115" s="96"/>
      <c r="R115" s="96">
        <v>100</v>
      </c>
      <c r="S115" s="120"/>
      <c r="T115" s="96"/>
      <c r="U115" s="96"/>
      <c r="V115" s="96"/>
      <c r="W115" s="96"/>
      <c r="X115" s="96">
        <v>90</v>
      </c>
      <c r="Y115" s="96"/>
      <c r="Z115" s="137">
        <v>90</v>
      </c>
      <c r="AA115" s="120"/>
      <c r="AB115" s="120">
        <v>100</v>
      </c>
      <c r="AC115" s="96">
        <f t="shared" si="8"/>
        <v>680</v>
      </c>
      <c r="AD115" s="96">
        <f t="shared" si="9"/>
        <v>0</v>
      </c>
      <c r="AE115" s="96">
        <f t="shared" si="10"/>
        <v>544</v>
      </c>
      <c r="AF115" s="138">
        <f t="shared" si="11"/>
        <v>85.5154639175258</v>
      </c>
      <c r="AG115" s="77">
        <v>100</v>
      </c>
      <c r="AH115" s="96">
        <v>0</v>
      </c>
      <c r="AI115" s="96"/>
      <c r="AJ115" s="77">
        <v>88</v>
      </c>
      <c r="AK115" s="67">
        <f t="shared" si="12"/>
        <v>188</v>
      </c>
      <c r="AL115" s="67">
        <v>100</v>
      </c>
      <c r="AM115" s="68" t="s">
        <v>1078</v>
      </c>
      <c r="AN115" s="67">
        <f t="shared" si="13"/>
        <v>62.9</v>
      </c>
      <c r="AO115" s="114">
        <f t="shared" si="14"/>
        <v>74.2077319587629</v>
      </c>
      <c r="AP115" s="115">
        <f t="shared" si="15"/>
        <v>87.9846371732399</v>
      </c>
      <c r="AQ115" s="116">
        <v>87.9846371732399</v>
      </c>
      <c r="AR115" s="122" t="s">
        <v>1077</v>
      </c>
      <c r="AS115" s="68" t="s">
        <v>1077</v>
      </c>
    </row>
    <row r="116" ht="12.75" customHeight="1" spans="1:45">
      <c r="A116" s="96">
        <v>38</v>
      </c>
      <c r="B116" s="96"/>
      <c r="C116" s="120"/>
      <c r="D116" s="79">
        <v>252610086</v>
      </c>
      <c r="E116" s="121" t="s">
        <v>1079</v>
      </c>
      <c r="F116" s="122" t="s">
        <v>1080</v>
      </c>
      <c r="G116" s="86" t="s">
        <v>1080</v>
      </c>
      <c r="H116" s="123" t="s">
        <v>76</v>
      </c>
      <c r="I116" s="120"/>
      <c r="J116" s="130"/>
      <c r="K116" s="120"/>
      <c r="L116" s="96"/>
      <c r="M116" s="96">
        <v>100</v>
      </c>
      <c r="N116" s="96"/>
      <c r="O116" s="96">
        <v>100</v>
      </c>
      <c r="P116" s="96"/>
      <c r="Q116" s="96"/>
      <c r="R116" s="96">
        <v>100</v>
      </c>
      <c r="S116" s="120"/>
      <c r="T116" s="96"/>
      <c r="U116" s="96"/>
      <c r="V116" s="96">
        <v>100</v>
      </c>
      <c r="W116" s="96"/>
      <c r="X116" s="96">
        <v>100</v>
      </c>
      <c r="Y116" s="96"/>
      <c r="Z116" s="137">
        <v>100</v>
      </c>
      <c r="AA116" s="120"/>
      <c r="AB116" s="120">
        <v>100</v>
      </c>
      <c r="AC116" s="96">
        <f t="shared" si="8"/>
        <v>800</v>
      </c>
      <c r="AD116" s="96">
        <f t="shared" si="9"/>
        <v>0</v>
      </c>
      <c r="AE116" s="96">
        <f t="shared" si="10"/>
        <v>640</v>
      </c>
      <c r="AF116" s="138">
        <f t="shared" si="11"/>
        <v>87.3711340206186</v>
      </c>
      <c r="AG116" s="77">
        <v>100</v>
      </c>
      <c r="AH116" s="96">
        <v>0</v>
      </c>
      <c r="AI116" s="96"/>
      <c r="AJ116" s="77">
        <v>90</v>
      </c>
      <c r="AK116" s="67">
        <f t="shared" si="12"/>
        <v>190</v>
      </c>
      <c r="AL116" s="67">
        <v>100</v>
      </c>
      <c r="AM116" s="68" t="s">
        <v>1081</v>
      </c>
      <c r="AN116" s="67">
        <f t="shared" si="13"/>
        <v>63.25</v>
      </c>
      <c r="AO116" s="114">
        <f t="shared" si="14"/>
        <v>75.3105670103093</v>
      </c>
      <c r="AP116" s="115">
        <f t="shared" si="15"/>
        <v>88.1900669723229</v>
      </c>
      <c r="AQ116" s="116">
        <v>88.1900669723229</v>
      </c>
      <c r="AR116" s="122" t="s">
        <v>1080</v>
      </c>
      <c r="AS116" s="68" t="s">
        <v>1080</v>
      </c>
    </row>
    <row r="117" ht="12.75" customHeight="1" spans="1:45">
      <c r="A117" s="96">
        <v>39</v>
      </c>
      <c r="B117" s="96"/>
      <c r="C117" s="120"/>
      <c r="D117" s="79">
        <v>252610087</v>
      </c>
      <c r="E117" s="124" t="s">
        <v>1082</v>
      </c>
      <c r="F117" s="122" t="s">
        <v>1083</v>
      </c>
      <c r="G117" s="86" t="s">
        <v>1083</v>
      </c>
      <c r="H117" s="123" t="s">
        <v>61</v>
      </c>
      <c r="I117" s="120"/>
      <c r="J117" s="130"/>
      <c r="K117" s="120"/>
      <c r="L117" s="96"/>
      <c r="M117" s="96">
        <v>100</v>
      </c>
      <c r="N117" s="96"/>
      <c r="O117" s="96">
        <v>100</v>
      </c>
      <c r="P117" s="96"/>
      <c r="Q117" s="96"/>
      <c r="R117" s="96">
        <v>100</v>
      </c>
      <c r="S117" s="120"/>
      <c r="T117" s="96"/>
      <c r="U117" s="96"/>
      <c r="V117" s="96">
        <v>100</v>
      </c>
      <c r="W117" s="96"/>
      <c r="X117" s="96">
        <v>95</v>
      </c>
      <c r="Y117" s="96"/>
      <c r="Z117" s="137">
        <v>95</v>
      </c>
      <c r="AA117" s="120"/>
      <c r="AB117" s="120">
        <v>100</v>
      </c>
      <c r="AC117" s="96">
        <f t="shared" si="8"/>
        <v>790</v>
      </c>
      <c r="AD117" s="96">
        <f t="shared" si="9"/>
        <v>0</v>
      </c>
      <c r="AE117" s="96">
        <f t="shared" si="10"/>
        <v>632</v>
      </c>
      <c r="AF117" s="138">
        <f t="shared" si="11"/>
        <v>87.2164948453608</v>
      </c>
      <c r="AG117" s="77">
        <v>100</v>
      </c>
      <c r="AH117" s="77">
        <v>100</v>
      </c>
      <c r="AI117" s="96"/>
      <c r="AJ117" s="77">
        <v>85</v>
      </c>
      <c r="AK117" s="67">
        <f t="shared" si="12"/>
        <v>285</v>
      </c>
      <c r="AL117" s="67">
        <v>100</v>
      </c>
      <c r="AM117" s="68" t="s">
        <v>1084</v>
      </c>
      <c r="AN117" s="67">
        <f t="shared" si="13"/>
        <v>79.875</v>
      </c>
      <c r="AO117" s="114">
        <f t="shared" si="14"/>
        <v>83.5457474226804</v>
      </c>
      <c r="AP117" s="115">
        <f t="shared" si="15"/>
        <v>89.7240692287381</v>
      </c>
      <c r="AQ117" s="116">
        <v>89.7240692287381</v>
      </c>
      <c r="AR117" s="122" t="s">
        <v>1083</v>
      </c>
      <c r="AS117" s="68" t="s">
        <v>1083</v>
      </c>
    </row>
    <row r="118" ht="12.75" customHeight="1" spans="1:45">
      <c r="A118" s="96">
        <v>40</v>
      </c>
      <c r="B118" s="96"/>
      <c r="C118" s="120"/>
      <c r="D118" s="79">
        <v>252610088</v>
      </c>
      <c r="E118" s="121" t="s">
        <v>1085</v>
      </c>
      <c r="F118" s="122" t="s">
        <v>1086</v>
      </c>
      <c r="G118" s="86" t="s">
        <v>1086</v>
      </c>
      <c r="H118" s="123" t="s">
        <v>61</v>
      </c>
      <c r="I118" s="120"/>
      <c r="J118" s="130"/>
      <c r="K118" s="120"/>
      <c r="L118" s="96"/>
      <c r="M118" s="96">
        <v>100</v>
      </c>
      <c r="N118" s="96"/>
      <c r="O118" s="96">
        <v>100</v>
      </c>
      <c r="P118" s="96"/>
      <c r="Q118" s="96"/>
      <c r="R118" s="96">
        <v>100</v>
      </c>
      <c r="S118" s="120"/>
      <c r="T118" s="96"/>
      <c r="U118" s="96"/>
      <c r="V118" s="96">
        <v>100</v>
      </c>
      <c r="W118" s="96"/>
      <c r="X118" s="96">
        <v>85</v>
      </c>
      <c r="Y118" s="96"/>
      <c r="Z118" s="137">
        <v>90</v>
      </c>
      <c r="AA118" s="120"/>
      <c r="AB118" s="120"/>
      <c r="AC118" s="96">
        <f t="shared" si="8"/>
        <v>675</v>
      </c>
      <c r="AD118" s="96">
        <f t="shared" si="9"/>
        <v>0</v>
      </c>
      <c r="AE118" s="96">
        <f t="shared" si="10"/>
        <v>540</v>
      </c>
      <c r="AF118" s="138">
        <f t="shared" si="11"/>
        <v>85.4381443298969</v>
      </c>
      <c r="AG118" s="96">
        <v>0</v>
      </c>
      <c r="AH118" s="96">
        <v>0</v>
      </c>
      <c r="AI118" s="96"/>
      <c r="AJ118" s="77">
        <v>85</v>
      </c>
      <c r="AK118" s="67">
        <f t="shared" si="12"/>
        <v>85</v>
      </c>
      <c r="AL118" s="67">
        <v>56</v>
      </c>
      <c r="AM118" s="68" t="s">
        <v>1087</v>
      </c>
      <c r="AN118" s="67">
        <f t="shared" si="13"/>
        <v>31.675</v>
      </c>
      <c r="AO118" s="114">
        <f t="shared" si="14"/>
        <v>58.5565721649485</v>
      </c>
      <c r="AP118" s="115">
        <f t="shared" si="15"/>
        <v>85.0692287380878</v>
      </c>
      <c r="AQ118" s="116">
        <v>85.0692287380878</v>
      </c>
      <c r="AR118" s="122" t="s">
        <v>1086</v>
      </c>
      <c r="AS118" s="68" t="s">
        <v>1086</v>
      </c>
    </row>
    <row r="119" ht="12.75" customHeight="1" spans="1:45">
      <c r="A119" s="96">
        <v>41</v>
      </c>
      <c r="B119" s="96"/>
      <c r="C119" s="120"/>
      <c r="D119" s="79">
        <v>252610089</v>
      </c>
      <c r="E119" s="121" t="s">
        <v>1088</v>
      </c>
      <c r="F119" s="122" t="s">
        <v>1089</v>
      </c>
      <c r="G119" s="86" t="s">
        <v>1089</v>
      </c>
      <c r="H119" s="123" t="s">
        <v>61</v>
      </c>
      <c r="I119" s="120"/>
      <c r="J119" s="130"/>
      <c r="K119" s="120"/>
      <c r="L119" s="96"/>
      <c r="M119" s="96">
        <v>100</v>
      </c>
      <c r="N119" s="96"/>
      <c r="O119" s="96">
        <v>100</v>
      </c>
      <c r="P119" s="96"/>
      <c r="Q119" s="96"/>
      <c r="R119" s="96">
        <v>100</v>
      </c>
      <c r="S119" s="120"/>
      <c r="T119" s="96"/>
      <c r="U119" s="96"/>
      <c r="V119" s="96">
        <v>100</v>
      </c>
      <c r="W119" s="96"/>
      <c r="X119" s="96">
        <v>85</v>
      </c>
      <c r="Y119" s="96"/>
      <c r="Z119" s="137">
        <v>100</v>
      </c>
      <c r="AA119" s="120"/>
      <c r="AB119" s="120">
        <v>100</v>
      </c>
      <c r="AC119" s="96">
        <f t="shared" si="8"/>
        <v>785</v>
      </c>
      <c r="AD119" s="96">
        <f t="shared" si="9"/>
        <v>0</v>
      </c>
      <c r="AE119" s="96">
        <f t="shared" si="10"/>
        <v>628</v>
      </c>
      <c r="AF119" s="138">
        <f t="shared" si="11"/>
        <v>87.139175257732</v>
      </c>
      <c r="AG119" s="77">
        <v>100</v>
      </c>
      <c r="AH119" s="77">
        <v>100</v>
      </c>
      <c r="AI119" s="96"/>
      <c r="AJ119" s="77">
        <v>85</v>
      </c>
      <c r="AK119" s="67">
        <f t="shared" si="12"/>
        <v>285</v>
      </c>
      <c r="AL119" s="67">
        <v>84</v>
      </c>
      <c r="AM119" s="68" t="s">
        <v>1090</v>
      </c>
      <c r="AN119" s="67">
        <f t="shared" si="13"/>
        <v>75.075</v>
      </c>
      <c r="AO119" s="114">
        <f t="shared" si="14"/>
        <v>81.107087628866</v>
      </c>
      <c r="AP119" s="115">
        <f t="shared" si="15"/>
        <v>89.2698096449747</v>
      </c>
      <c r="AQ119" s="116">
        <v>89.2698096449747</v>
      </c>
      <c r="AR119" s="122" t="s">
        <v>1089</v>
      </c>
      <c r="AS119" s="68" t="s">
        <v>1089</v>
      </c>
    </row>
    <row r="120" ht="12.75" customHeight="1" spans="1:45">
      <c r="A120" s="96">
        <v>42</v>
      </c>
      <c r="B120" s="96"/>
      <c r="C120" s="120"/>
      <c r="D120" s="79">
        <v>252610090</v>
      </c>
      <c r="E120" s="121" t="s">
        <v>1091</v>
      </c>
      <c r="F120" s="122" t="s">
        <v>1092</v>
      </c>
      <c r="G120" s="86" t="s">
        <v>1092</v>
      </c>
      <c r="H120" s="123" t="s">
        <v>76</v>
      </c>
      <c r="I120" s="120"/>
      <c r="J120" s="130"/>
      <c r="K120" s="120"/>
      <c r="L120" s="96"/>
      <c r="M120" s="96"/>
      <c r="N120" s="96"/>
      <c r="O120" s="96"/>
      <c r="P120" s="96"/>
      <c r="Q120" s="96"/>
      <c r="R120" s="96"/>
      <c r="S120" s="120"/>
      <c r="T120" s="96"/>
      <c r="U120" s="96"/>
      <c r="V120" s="96"/>
      <c r="W120" s="96"/>
      <c r="X120" s="96"/>
      <c r="Y120" s="96"/>
      <c r="Z120" s="137"/>
      <c r="AA120" s="120"/>
      <c r="AB120" s="120"/>
      <c r="AC120" s="96">
        <f t="shared" si="8"/>
        <v>0</v>
      </c>
      <c r="AD120" s="96">
        <f t="shared" si="9"/>
        <v>0</v>
      </c>
      <c r="AE120" s="96">
        <f t="shared" si="10"/>
        <v>0</v>
      </c>
      <c r="AF120" s="138">
        <v>0</v>
      </c>
      <c r="AG120" s="96">
        <v>0</v>
      </c>
      <c r="AH120" s="96">
        <v>0</v>
      </c>
      <c r="AI120" s="96"/>
      <c r="AJ120" s="77">
        <v>85</v>
      </c>
      <c r="AK120" s="67">
        <f t="shared" si="12"/>
        <v>85</v>
      </c>
      <c r="AL120" s="67">
        <v>52</v>
      </c>
      <c r="AM120" s="68" t="s">
        <v>1093</v>
      </c>
      <c r="AN120" s="67">
        <f t="shared" si="13"/>
        <v>30.475</v>
      </c>
      <c r="AO120" s="114">
        <f t="shared" si="14"/>
        <v>15.2375</v>
      </c>
      <c r="AP120" s="115">
        <f t="shared" si="15"/>
        <v>77</v>
      </c>
      <c r="AQ120" s="116">
        <v>77</v>
      </c>
      <c r="AR120" s="122" t="s">
        <v>1092</v>
      </c>
      <c r="AS120" s="68" t="s">
        <v>1092</v>
      </c>
    </row>
    <row r="121" ht="12.75" customHeight="1" spans="1:45">
      <c r="A121" s="96">
        <v>43</v>
      </c>
      <c r="B121" s="96"/>
      <c r="C121" s="120"/>
      <c r="D121" s="79">
        <v>252610091</v>
      </c>
      <c r="E121" s="121" t="s">
        <v>1094</v>
      </c>
      <c r="F121" s="122" t="s">
        <v>1095</v>
      </c>
      <c r="G121" s="86" t="s">
        <v>1095</v>
      </c>
      <c r="H121" s="123" t="s">
        <v>61</v>
      </c>
      <c r="I121" s="120"/>
      <c r="J121" s="130"/>
      <c r="K121" s="120"/>
      <c r="L121" s="96"/>
      <c r="M121" s="96">
        <v>100</v>
      </c>
      <c r="N121" s="96"/>
      <c r="O121" s="96">
        <v>100</v>
      </c>
      <c r="P121" s="96"/>
      <c r="Q121" s="96"/>
      <c r="R121" s="96">
        <v>100</v>
      </c>
      <c r="S121" s="120"/>
      <c r="T121" s="96"/>
      <c r="U121" s="96"/>
      <c r="V121" s="96">
        <v>100</v>
      </c>
      <c r="W121" s="96"/>
      <c r="X121" s="96">
        <v>85</v>
      </c>
      <c r="Y121" s="96"/>
      <c r="Z121" s="137">
        <v>95</v>
      </c>
      <c r="AA121" s="120"/>
      <c r="AB121" s="120">
        <v>100</v>
      </c>
      <c r="AC121" s="96">
        <f t="shared" si="8"/>
        <v>780</v>
      </c>
      <c r="AD121" s="96">
        <f t="shared" si="9"/>
        <v>0</v>
      </c>
      <c r="AE121" s="96">
        <f t="shared" si="10"/>
        <v>624</v>
      </c>
      <c r="AF121" s="138">
        <f t="shared" ref="AF121:AF126" si="16">75+((AE121-$AE$128)/($AE$127-$AE$128)*(90-75))</f>
        <v>87.0618556701031</v>
      </c>
      <c r="AG121" s="77">
        <v>100</v>
      </c>
      <c r="AH121" s="77">
        <v>100</v>
      </c>
      <c r="AI121" s="96"/>
      <c r="AJ121" s="77">
        <v>85</v>
      </c>
      <c r="AK121" s="67">
        <f t="shared" si="12"/>
        <v>285</v>
      </c>
      <c r="AL121" s="67">
        <v>80</v>
      </c>
      <c r="AM121" s="68" t="s">
        <v>1096</v>
      </c>
      <c r="AN121" s="67">
        <f t="shared" si="13"/>
        <v>73.875</v>
      </c>
      <c r="AO121" s="114">
        <f t="shared" si="14"/>
        <v>80.4684278350515</v>
      </c>
      <c r="AP121" s="115">
        <f t="shared" si="15"/>
        <v>89.150843755251</v>
      </c>
      <c r="AQ121" s="116">
        <v>89.150843755251</v>
      </c>
      <c r="AR121" s="122" t="s">
        <v>1095</v>
      </c>
      <c r="AS121" s="68" t="s">
        <v>1095</v>
      </c>
    </row>
    <row r="122" ht="12.75" customHeight="1" spans="1:45">
      <c r="A122" s="96">
        <v>44</v>
      </c>
      <c r="B122" s="96"/>
      <c r="C122" s="120"/>
      <c r="D122" s="79">
        <v>252610092</v>
      </c>
      <c r="E122" s="121" t="s">
        <v>1097</v>
      </c>
      <c r="F122" s="122" t="s">
        <v>1098</v>
      </c>
      <c r="G122" s="86" t="s">
        <v>1098</v>
      </c>
      <c r="H122" s="123" t="s">
        <v>76</v>
      </c>
      <c r="I122" s="120"/>
      <c r="J122" s="130"/>
      <c r="K122" s="120"/>
      <c r="L122" s="96"/>
      <c r="M122" s="96">
        <v>100</v>
      </c>
      <c r="N122" s="96"/>
      <c r="O122" s="96">
        <v>100</v>
      </c>
      <c r="P122" s="96"/>
      <c r="Q122" s="96"/>
      <c r="R122" s="96">
        <v>100</v>
      </c>
      <c r="S122" s="120"/>
      <c r="T122" s="96"/>
      <c r="U122" s="96"/>
      <c r="V122" s="96"/>
      <c r="W122" s="96"/>
      <c r="X122" s="96">
        <v>85</v>
      </c>
      <c r="Y122" s="96"/>
      <c r="Z122" s="137">
        <v>90</v>
      </c>
      <c r="AA122" s="120"/>
      <c r="AB122" s="120"/>
      <c r="AC122" s="96">
        <f t="shared" si="8"/>
        <v>575</v>
      </c>
      <c r="AD122" s="96">
        <f t="shared" si="9"/>
        <v>0</v>
      </c>
      <c r="AE122" s="96">
        <f t="shared" si="10"/>
        <v>460</v>
      </c>
      <c r="AF122" s="138">
        <f t="shared" si="16"/>
        <v>83.8917525773196</v>
      </c>
      <c r="AG122" s="96">
        <v>0</v>
      </c>
      <c r="AH122" s="96">
        <v>0</v>
      </c>
      <c r="AI122" s="96"/>
      <c r="AJ122" s="77"/>
      <c r="AK122" s="67">
        <f t="shared" si="12"/>
        <v>0</v>
      </c>
      <c r="AN122" s="67">
        <f t="shared" si="13"/>
        <v>0</v>
      </c>
      <c r="AO122" s="114">
        <f t="shared" si="14"/>
        <v>41.9458762886598</v>
      </c>
      <c r="AP122" s="115">
        <f t="shared" si="15"/>
        <v>81.9750834153484</v>
      </c>
      <c r="AQ122" s="116">
        <v>81.9750834153484</v>
      </c>
      <c r="AR122" s="122" t="s">
        <v>1098</v>
      </c>
      <c r="AS122" s="68" t="s">
        <v>1098</v>
      </c>
    </row>
    <row r="123" ht="12.75" customHeight="1" spans="1:45">
      <c r="A123" s="96">
        <v>45</v>
      </c>
      <c r="B123" s="96"/>
      <c r="C123" s="120"/>
      <c r="D123" s="79">
        <v>252610093</v>
      </c>
      <c r="E123" s="121" t="s">
        <v>1099</v>
      </c>
      <c r="F123" s="122" t="s">
        <v>1100</v>
      </c>
      <c r="G123" s="86" t="s">
        <v>1100</v>
      </c>
      <c r="H123" s="123" t="s">
        <v>76</v>
      </c>
      <c r="I123" s="120"/>
      <c r="J123" s="130"/>
      <c r="K123" s="120"/>
      <c r="L123" s="96"/>
      <c r="M123" s="96">
        <v>100</v>
      </c>
      <c r="N123" s="96"/>
      <c r="O123" s="96">
        <v>100</v>
      </c>
      <c r="P123" s="96"/>
      <c r="Q123" s="96"/>
      <c r="R123" s="96">
        <v>100</v>
      </c>
      <c r="S123" s="120"/>
      <c r="T123" s="96">
        <v>1</v>
      </c>
      <c r="U123" s="96"/>
      <c r="V123" s="96">
        <v>100</v>
      </c>
      <c r="W123" s="96">
        <v>3</v>
      </c>
      <c r="X123" s="96">
        <v>100</v>
      </c>
      <c r="Y123" s="96"/>
      <c r="Z123" s="137">
        <v>95</v>
      </c>
      <c r="AA123" s="120"/>
      <c r="AB123" s="120">
        <v>100</v>
      </c>
      <c r="AC123" s="96">
        <f t="shared" si="8"/>
        <v>795</v>
      </c>
      <c r="AD123" s="96">
        <f t="shared" si="9"/>
        <v>400</v>
      </c>
      <c r="AE123" s="96">
        <f t="shared" si="10"/>
        <v>716</v>
      </c>
      <c r="AF123" s="138">
        <f t="shared" si="16"/>
        <v>88.840206185567</v>
      </c>
      <c r="AG123" s="77">
        <v>100</v>
      </c>
      <c r="AH123" s="96">
        <v>0</v>
      </c>
      <c r="AI123" s="96"/>
      <c r="AJ123" s="77">
        <v>90</v>
      </c>
      <c r="AK123" s="67">
        <f t="shared" si="12"/>
        <v>190</v>
      </c>
      <c r="AL123" s="67">
        <v>96</v>
      </c>
      <c r="AM123" s="68" t="s">
        <v>1101</v>
      </c>
      <c r="AN123" s="67">
        <f t="shared" si="13"/>
        <v>62.05</v>
      </c>
      <c r="AO123" s="114">
        <f t="shared" si="14"/>
        <v>75.4451030927835</v>
      </c>
      <c r="AP123" s="115">
        <f t="shared" si="15"/>
        <v>88.2151275834754</v>
      </c>
      <c r="AQ123" s="116">
        <v>88.2151275834754</v>
      </c>
      <c r="AR123" s="122" t="s">
        <v>1100</v>
      </c>
      <c r="AS123" s="68" t="s">
        <v>1100</v>
      </c>
    </row>
    <row r="124" ht="12.75" customHeight="1" spans="1:45">
      <c r="A124" s="96">
        <v>46</v>
      </c>
      <c r="B124" s="96"/>
      <c r="C124" s="120"/>
      <c r="D124" s="79">
        <v>252610094</v>
      </c>
      <c r="E124" s="121" t="s">
        <v>1102</v>
      </c>
      <c r="F124" s="122" t="s">
        <v>1103</v>
      </c>
      <c r="G124" s="86" t="s">
        <v>1103</v>
      </c>
      <c r="H124" s="123" t="s">
        <v>61</v>
      </c>
      <c r="I124" s="120"/>
      <c r="J124" s="130"/>
      <c r="K124" s="120"/>
      <c r="L124" s="96"/>
      <c r="M124" s="96">
        <v>100</v>
      </c>
      <c r="N124" s="96"/>
      <c r="O124" s="96">
        <v>100</v>
      </c>
      <c r="P124" s="96"/>
      <c r="Q124" s="96"/>
      <c r="R124" s="96">
        <v>100</v>
      </c>
      <c r="S124" s="120"/>
      <c r="T124" s="96"/>
      <c r="U124" s="96"/>
      <c r="V124" s="96">
        <v>100</v>
      </c>
      <c r="W124" s="96"/>
      <c r="X124" s="96">
        <v>95</v>
      </c>
      <c r="Y124" s="96"/>
      <c r="Z124" s="137">
        <v>100</v>
      </c>
      <c r="AA124" s="120"/>
      <c r="AB124" s="120">
        <v>100</v>
      </c>
      <c r="AC124" s="96">
        <f t="shared" si="8"/>
        <v>795</v>
      </c>
      <c r="AD124" s="96">
        <f t="shared" si="9"/>
        <v>0</v>
      </c>
      <c r="AE124" s="96">
        <f t="shared" si="10"/>
        <v>636</v>
      </c>
      <c r="AF124" s="138">
        <f t="shared" si="16"/>
        <v>87.2938144329897</v>
      </c>
      <c r="AG124" s="77">
        <v>100</v>
      </c>
      <c r="AH124" s="77">
        <v>100</v>
      </c>
      <c r="AI124" s="96"/>
      <c r="AJ124" s="77">
        <v>85</v>
      </c>
      <c r="AK124" s="67">
        <f t="shared" si="12"/>
        <v>285</v>
      </c>
      <c r="AL124" s="67">
        <v>80</v>
      </c>
      <c r="AM124" s="68" t="s">
        <v>1104</v>
      </c>
      <c r="AN124" s="67">
        <f t="shared" si="13"/>
        <v>73.875</v>
      </c>
      <c r="AO124" s="114">
        <f t="shared" si="14"/>
        <v>80.5844072164948</v>
      </c>
      <c r="AP124" s="115">
        <f t="shared" si="15"/>
        <v>89.1724477303824</v>
      </c>
      <c r="AQ124" s="116">
        <v>89.1724477303824</v>
      </c>
      <c r="AR124" s="122" t="s">
        <v>1103</v>
      </c>
      <c r="AS124" s="68" t="s">
        <v>1103</v>
      </c>
    </row>
    <row r="125" ht="12.75" customHeight="1" spans="1:45">
      <c r="A125" s="96">
        <v>47</v>
      </c>
      <c r="B125" s="96"/>
      <c r="C125" s="120"/>
      <c r="D125" s="79">
        <v>252610095</v>
      </c>
      <c r="E125" s="121" t="s">
        <v>1105</v>
      </c>
      <c r="F125" s="122" t="s">
        <v>1106</v>
      </c>
      <c r="G125" s="86" t="s">
        <v>1106</v>
      </c>
      <c r="H125" s="123" t="s">
        <v>61</v>
      </c>
      <c r="I125" s="120"/>
      <c r="J125" s="130"/>
      <c r="K125" s="120"/>
      <c r="L125" s="96"/>
      <c r="M125" s="96">
        <v>100</v>
      </c>
      <c r="N125" s="96">
        <v>1</v>
      </c>
      <c r="O125" s="96">
        <v>100</v>
      </c>
      <c r="P125" s="96"/>
      <c r="Q125" s="96"/>
      <c r="R125" s="96">
        <v>100</v>
      </c>
      <c r="S125" s="120"/>
      <c r="T125" s="96"/>
      <c r="U125" s="96"/>
      <c r="V125" s="96">
        <v>100</v>
      </c>
      <c r="W125" s="96"/>
      <c r="X125" s="96">
        <v>100</v>
      </c>
      <c r="Y125" s="96"/>
      <c r="Z125" s="137">
        <v>100</v>
      </c>
      <c r="AA125" s="120"/>
      <c r="AB125" s="120">
        <v>100</v>
      </c>
      <c r="AC125" s="96">
        <f t="shared" si="8"/>
        <v>800</v>
      </c>
      <c r="AD125" s="96">
        <f t="shared" si="9"/>
        <v>100</v>
      </c>
      <c r="AE125" s="96">
        <f t="shared" si="10"/>
        <v>660</v>
      </c>
      <c r="AF125" s="138">
        <f t="shared" si="16"/>
        <v>87.7577319587629</v>
      </c>
      <c r="AG125" s="77">
        <v>100</v>
      </c>
      <c r="AH125" s="77">
        <v>100</v>
      </c>
      <c r="AI125" s="96"/>
      <c r="AJ125" s="77">
        <v>90</v>
      </c>
      <c r="AK125" s="67">
        <f t="shared" si="12"/>
        <v>290</v>
      </c>
      <c r="AL125" s="67">
        <v>100</v>
      </c>
      <c r="AM125" s="68" t="s">
        <v>1107</v>
      </c>
      <c r="AN125" s="67">
        <f t="shared" si="13"/>
        <v>80.75</v>
      </c>
      <c r="AO125" s="114">
        <f t="shared" si="14"/>
        <v>84.2538659793814</v>
      </c>
      <c r="AP125" s="115">
        <f t="shared" si="15"/>
        <v>89.8559734991238</v>
      </c>
      <c r="AQ125" s="116">
        <v>89.8559734991238</v>
      </c>
      <c r="AR125" s="122" t="s">
        <v>1106</v>
      </c>
      <c r="AS125" s="68" t="s">
        <v>1106</v>
      </c>
    </row>
    <row r="126" ht="12.75" customHeight="1" spans="1:45">
      <c r="A126" s="96">
        <v>48</v>
      </c>
      <c r="B126" s="96"/>
      <c r="C126" s="120"/>
      <c r="D126" s="79">
        <v>252610096</v>
      </c>
      <c r="E126" s="124" t="s">
        <v>1108</v>
      </c>
      <c r="F126" s="122" t="s">
        <v>1109</v>
      </c>
      <c r="G126" s="86" t="s">
        <v>1109</v>
      </c>
      <c r="H126" s="123" t="s">
        <v>61</v>
      </c>
      <c r="I126" s="120"/>
      <c r="J126" s="130"/>
      <c r="K126" s="120"/>
      <c r="L126" s="96"/>
      <c r="M126" s="96">
        <v>100</v>
      </c>
      <c r="N126" s="96"/>
      <c r="O126" s="96">
        <v>100</v>
      </c>
      <c r="P126" s="96"/>
      <c r="Q126" s="96"/>
      <c r="R126" s="96">
        <v>100</v>
      </c>
      <c r="S126" s="120"/>
      <c r="T126" s="96"/>
      <c r="U126" s="96"/>
      <c r="V126" s="96">
        <v>100</v>
      </c>
      <c r="W126" s="96"/>
      <c r="X126" s="96">
        <v>90</v>
      </c>
      <c r="Y126" s="96"/>
      <c r="Z126" s="137">
        <v>90</v>
      </c>
      <c r="AA126" s="120"/>
      <c r="AB126" s="120"/>
      <c r="AC126" s="96">
        <f t="shared" si="8"/>
        <v>680</v>
      </c>
      <c r="AD126" s="96">
        <f t="shared" si="9"/>
        <v>0</v>
      </c>
      <c r="AE126" s="96">
        <f t="shared" si="10"/>
        <v>544</v>
      </c>
      <c r="AF126" s="138">
        <f t="shared" si="16"/>
        <v>85.5154639175258</v>
      </c>
      <c r="AG126" s="96">
        <v>0</v>
      </c>
      <c r="AH126" s="96">
        <v>0</v>
      </c>
      <c r="AI126" s="96"/>
      <c r="AJ126" s="77">
        <v>85</v>
      </c>
      <c r="AK126" s="67">
        <f t="shared" si="12"/>
        <v>85</v>
      </c>
      <c r="AL126" s="67">
        <v>80</v>
      </c>
      <c r="AM126" s="68" t="s">
        <v>1110</v>
      </c>
      <c r="AN126" s="67">
        <f t="shared" si="13"/>
        <v>38.875</v>
      </c>
      <c r="AO126" s="114">
        <f t="shared" si="14"/>
        <v>62.1952319587629</v>
      </c>
      <c r="AP126" s="115">
        <f t="shared" si="15"/>
        <v>85.747017451211</v>
      </c>
      <c r="AQ126" s="116">
        <v>85.747017451211</v>
      </c>
      <c r="AR126" s="122" t="s">
        <v>1109</v>
      </c>
      <c r="AS126" s="68" t="s">
        <v>1109</v>
      </c>
    </row>
    <row r="127" ht="12.75" customHeight="1" spans="4:34">
      <c r="D127" s="81"/>
      <c r="E127" s="126"/>
      <c r="F127" s="127"/>
      <c r="G127" s="128"/>
      <c r="H127" s="129">
        <f>COUNTIF(H79:H126,"L")</f>
        <v>20</v>
      </c>
      <c r="J127" s="98"/>
      <c r="AD127" s="65" t="s">
        <v>284</v>
      </c>
      <c r="AE127" s="68">
        <f>MAX(AE79:AE126)</f>
        <v>776</v>
      </c>
      <c r="AF127" s="139"/>
      <c r="AG127" s="67">
        <f>COUNT(AG79:AG126)</f>
        <v>48</v>
      </c>
      <c r="AH127" s="67">
        <f>COUNT(AH79:AH126)</f>
        <v>48</v>
      </c>
    </row>
    <row r="128" ht="12.75" customHeight="1" spans="4:42">
      <c r="D128" s="81"/>
      <c r="E128" s="126"/>
      <c r="F128" s="127"/>
      <c r="G128" s="128"/>
      <c r="H128" s="129">
        <f>COUNTIF(H79:H126,"P")</f>
        <v>28</v>
      </c>
      <c r="J128" s="98"/>
      <c r="AD128" s="65" t="s">
        <v>286</v>
      </c>
      <c r="AE128" s="68">
        <f>MIN(AE79:AE126)</f>
        <v>0</v>
      </c>
      <c r="AF128" s="139"/>
      <c r="AG128" s="67">
        <f>COUNTIF(AG79:AG126,100)</f>
        <v>39</v>
      </c>
      <c r="AH128" s="67">
        <f>COUNTIF(AH79:AH126,100)</f>
        <v>30</v>
      </c>
      <c r="AO128" s="68">
        <f>MAX(AO79:AO126)</f>
        <v>85.0270618556701</v>
      </c>
      <c r="AP128" s="67">
        <f>MAX(AP79:AP126)</f>
        <v>90</v>
      </c>
    </row>
    <row r="129" ht="12.75" customHeight="1" spans="4:42">
      <c r="D129" s="65" t="s">
        <v>525</v>
      </c>
      <c r="G129" s="94" t="s">
        <v>954</v>
      </c>
      <c r="J129" s="98"/>
      <c r="M129" s="67" t="s">
        <v>526</v>
      </c>
      <c r="AG129" s="144">
        <f>AG128/AG127</f>
        <v>0.8125</v>
      </c>
      <c r="AH129" s="145">
        <f>AH128/AH127</f>
        <v>0.625</v>
      </c>
      <c r="AO129" s="68">
        <f>MIN(AO79:AO126)</f>
        <v>15.2375</v>
      </c>
      <c r="AP129" s="67">
        <f>MIN(AP79:AP126)</f>
        <v>77</v>
      </c>
    </row>
    <row r="130" ht="12.75" customHeight="1" spans="7:10">
      <c r="G130" s="94"/>
      <c r="J130" s="98"/>
    </row>
    <row r="131" ht="12.75" customHeight="1" spans="7:10">
      <c r="G131" s="94"/>
      <c r="J131" s="98"/>
    </row>
    <row r="132" ht="12.75" customHeight="1" spans="7:10">
      <c r="G132" s="94"/>
      <c r="J132" s="98"/>
    </row>
    <row r="133" ht="12.75" customHeight="1" spans="4:13">
      <c r="D133" s="118" t="s">
        <v>527</v>
      </c>
      <c r="G133" s="94" t="s">
        <v>528</v>
      </c>
      <c r="J133" s="98"/>
      <c r="M133" s="67" t="s">
        <v>955</v>
      </c>
    </row>
    <row r="134" ht="12.75" customHeight="1" spans="4:10">
      <c r="D134" s="119" t="s">
        <v>530</v>
      </c>
      <c r="J134" s="98"/>
    </row>
    <row r="135" ht="12.75" customHeight="1" spans="1:17">
      <c r="A135" s="69" t="s">
        <v>0</v>
      </c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</row>
    <row r="136" ht="12.75" customHeight="1" spans="1:17">
      <c r="A136" s="69" t="s">
        <v>1</v>
      </c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</row>
    <row r="137" ht="12.75" customHeight="1" spans="1:17">
      <c r="A137" s="69" t="s">
        <v>2</v>
      </c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</row>
    <row r="138" ht="16.5" customHeight="1" spans="1:28">
      <c r="A138" s="70" t="s">
        <v>3</v>
      </c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</row>
    <row r="139" ht="12.75" customHeight="1" spans="1:17">
      <c r="A139" s="71" t="s">
        <v>4</v>
      </c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</row>
    <row r="140" customHeight="1" spans="1:17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</row>
    <row r="141" ht="12.75" customHeight="1" spans="1:17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</row>
    <row r="142" ht="12.75" customHeight="1" spans="1:17">
      <c r="A142" s="72" t="s">
        <v>5</v>
      </c>
      <c r="B142" s="72"/>
      <c r="C142" s="72"/>
      <c r="D142" s="72"/>
      <c r="E142" s="72"/>
      <c r="F142" s="72"/>
      <c r="G142" s="72"/>
      <c r="H142" s="72"/>
      <c r="I142" s="72"/>
      <c r="J142" s="72"/>
      <c r="K142" s="72"/>
      <c r="L142" s="72"/>
      <c r="M142" s="72"/>
      <c r="N142" s="72"/>
      <c r="O142" s="72"/>
      <c r="P142" s="72"/>
      <c r="Q142" s="72"/>
    </row>
    <row r="143" ht="12.75" customHeight="1" spans="1:17">
      <c r="A143" s="72"/>
      <c r="B143" s="72"/>
      <c r="C143" s="72"/>
      <c r="D143" s="72"/>
      <c r="E143" s="72"/>
      <c r="F143" s="72"/>
      <c r="G143" s="72"/>
      <c r="H143" s="72"/>
      <c r="I143" s="72"/>
      <c r="J143" s="72"/>
      <c r="K143" s="72"/>
      <c r="L143" s="72"/>
      <c r="M143" s="72"/>
      <c r="N143" s="72"/>
      <c r="O143" s="72"/>
      <c r="P143" s="72"/>
      <c r="Q143" s="72"/>
    </row>
    <row r="144" ht="12.75" customHeight="1" spans="1:13">
      <c r="A144" s="68"/>
      <c r="B144" s="73"/>
      <c r="D144" s="74" t="s">
        <v>1111</v>
      </c>
      <c r="E144" s="82"/>
      <c r="G144" s="73" t="s">
        <v>7</v>
      </c>
      <c r="H144" s="83" t="s">
        <v>8</v>
      </c>
      <c r="M144" s="132" t="s">
        <v>1112</v>
      </c>
    </row>
    <row r="145" ht="24" customHeight="1" spans="1:43">
      <c r="A145" s="75" t="s">
        <v>10</v>
      </c>
      <c r="B145" s="75" t="s">
        <v>11</v>
      </c>
      <c r="C145" s="76" t="s">
        <v>12</v>
      </c>
      <c r="D145" s="76" t="s">
        <v>13</v>
      </c>
      <c r="E145" s="76" t="s">
        <v>14</v>
      </c>
      <c r="F145" s="76" t="s">
        <v>17</v>
      </c>
      <c r="G145" s="76" t="s">
        <v>18</v>
      </c>
      <c r="H145" s="76" t="s">
        <v>19</v>
      </c>
      <c r="I145" s="76" t="s">
        <v>20</v>
      </c>
      <c r="J145" s="76" t="s">
        <v>21</v>
      </c>
      <c r="K145" s="75" t="s">
        <v>22</v>
      </c>
      <c r="L145" s="75" t="s">
        <v>23</v>
      </c>
      <c r="M145" s="100" t="s">
        <v>783</v>
      </c>
      <c r="N145" s="101" t="s">
        <v>784</v>
      </c>
      <c r="O145" s="96" t="s">
        <v>1113</v>
      </c>
      <c r="P145" s="101" t="s">
        <v>784</v>
      </c>
      <c r="Q145" s="101"/>
      <c r="R145" s="77"/>
      <c r="S145" s="78"/>
      <c r="T145" s="77" t="s">
        <v>1114</v>
      </c>
      <c r="U145" s="141" t="s">
        <v>1115</v>
      </c>
      <c r="V145" s="141" t="s">
        <v>1116</v>
      </c>
      <c r="W145" s="77"/>
      <c r="X145" s="77" t="s">
        <v>1117</v>
      </c>
      <c r="Y145" s="67" t="s">
        <v>788</v>
      </c>
      <c r="AC145" s="104" t="s">
        <v>38</v>
      </c>
      <c r="AD145" s="105" t="s">
        <v>39</v>
      </c>
      <c r="AE145" s="107" t="s">
        <v>40</v>
      </c>
      <c r="AF145" s="108" t="s">
        <v>967</v>
      </c>
      <c r="AG145" s="96" t="s">
        <v>1118</v>
      </c>
      <c r="AH145" s="101" t="s">
        <v>794</v>
      </c>
      <c r="AI145" s="77" t="s">
        <v>1119</v>
      </c>
      <c r="AJ145" s="96" t="s">
        <v>969</v>
      </c>
      <c r="AQ145" s="68" t="s">
        <v>798</v>
      </c>
    </row>
    <row r="146" ht="12.75" customHeight="1" spans="1:45">
      <c r="A146" s="96">
        <v>1</v>
      </c>
      <c r="B146" s="96">
        <v>1</v>
      </c>
      <c r="C146" s="120" t="s">
        <v>55</v>
      </c>
      <c r="D146" s="79">
        <v>252610097</v>
      </c>
      <c r="E146" s="121" t="s">
        <v>1120</v>
      </c>
      <c r="F146" s="122" t="s">
        <v>1121</v>
      </c>
      <c r="G146" s="86" t="s">
        <v>1121</v>
      </c>
      <c r="H146" s="123" t="s">
        <v>76</v>
      </c>
      <c r="I146" s="120" t="s">
        <v>801</v>
      </c>
      <c r="J146" s="130">
        <v>39691</v>
      </c>
      <c r="K146" s="120" t="s">
        <v>62</v>
      </c>
      <c r="L146" s="96" t="s">
        <v>63</v>
      </c>
      <c r="M146" s="133">
        <v>100</v>
      </c>
      <c r="N146" s="77"/>
      <c r="O146" s="77"/>
      <c r="P146" s="77"/>
      <c r="Q146" s="77"/>
      <c r="R146" s="77"/>
      <c r="S146" s="78"/>
      <c r="T146" s="77"/>
      <c r="U146" s="77"/>
      <c r="V146" s="77">
        <v>100</v>
      </c>
      <c r="W146" s="77"/>
      <c r="X146" s="77"/>
      <c r="AA146" s="68">
        <v>1</v>
      </c>
      <c r="AC146" s="77">
        <f t="shared" ref="AC146:AC193" si="17">M146+O146+U146+V146+Y146+Z146</f>
        <v>200</v>
      </c>
      <c r="AD146" s="96">
        <f t="shared" ref="AD146:AD193" si="18">(AA146+X146+T146+P146+N146)*100</f>
        <v>100</v>
      </c>
      <c r="AE146" s="77">
        <f t="shared" ref="AE146:AE193" si="19">(0.8*AC146)+(0.2*AD146)</f>
        <v>180</v>
      </c>
      <c r="AF146" s="143">
        <f t="shared" ref="AF146:AF190" si="20">75+((AE146-$AE$195)/($AE$194-$AE$195)*(92-75))</f>
        <v>80.4642857142857</v>
      </c>
      <c r="AG146" s="77">
        <v>0</v>
      </c>
      <c r="AH146" s="96">
        <v>100</v>
      </c>
      <c r="AI146" s="77"/>
      <c r="AJ146" s="77">
        <v>85</v>
      </c>
      <c r="AK146" s="67">
        <f t="shared" ref="AK146:AK193" si="21">SUM(AG146:AJ146)</f>
        <v>185</v>
      </c>
      <c r="AL146" s="68">
        <v>100</v>
      </c>
      <c r="AM146" s="68" t="s">
        <v>1122</v>
      </c>
      <c r="AN146" s="67">
        <f t="shared" ref="AN146:AN193" si="22">((70%*AK146)/4)+(30%*AL146)</f>
        <v>62.375</v>
      </c>
      <c r="AO146" s="114">
        <f t="shared" ref="AO146:AO193" si="23">((50%*AF146)+(50%*AN146))</f>
        <v>71.4196428571429</v>
      </c>
      <c r="AP146" s="115">
        <f t="shared" ref="AP146:AP193" si="24">77+((AO146-$AO$196)/($AO$195-$AO$196)*(90-77))</f>
        <v>85.8502463054187</v>
      </c>
      <c r="AQ146" s="116">
        <v>86.5000958772771</v>
      </c>
      <c r="AR146" s="122" t="s">
        <v>1121</v>
      </c>
      <c r="AS146" s="68" t="s">
        <v>1121</v>
      </c>
    </row>
    <row r="147" ht="12.75" customHeight="1" spans="1:45">
      <c r="A147" s="96">
        <v>2</v>
      </c>
      <c r="B147" s="96">
        <v>2</v>
      </c>
      <c r="C147" s="120" t="s">
        <v>65</v>
      </c>
      <c r="D147" s="79">
        <v>252610098</v>
      </c>
      <c r="E147" s="121" t="s">
        <v>1123</v>
      </c>
      <c r="F147" s="122" t="s">
        <v>1124</v>
      </c>
      <c r="G147" s="86" t="s">
        <v>1124</v>
      </c>
      <c r="H147" s="123" t="s">
        <v>61</v>
      </c>
      <c r="I147" s="120" t="s">
        <v>805</v>
      </c>
      <c r="J147" s="130">
        <v>39698</v>
      </c>
      <c r="K147" s="120" t="s">
        <v>53</v>
      </c>
      <c r="L147" s="96" t="s">
        <v>63</v>
      </c>
      <c r="M147" s="133">
        <v>100</v>
      </c>
      <c r="N147" s="77"/>
      <c r="O147" s="77">
        <v>100</v>
      </c>
      <c r="P147" s="77"/>
      <c r="Q147" s="77"/>
      <c r="R147" s="96"/>
      <c r="S147" s="96"/>
      <c r="T147" s="96"/>
      <c r="U147" s="96">
        <v>100</v>
      </c>
      <c r="V147" s="96">
        <v>100</v>
      </c>
      <c r="W147" s="96"/>
      <c r="X147" s="96"/>
      <c r="Y147" s="65">
        <v>100</v>
      </c>
      <c r="Z147" s="65"/>
      <c r="AA147" s="65">
        <v>1</v>
      </c>
      <c r="AB147" s="65"/>
      <c r="AC147" s="77">
        <f t="shared" si="17"/>
        <v>500</v>
      </c>
      <c r="AD147" s="96">
        <f t="shared" si="18"/>
        <v>100</v>
      </c>
      <c r="AE147" s="77">
        <f t="shared" si="19"/>
        <v>420</v>
      </c>
      <c r="AF147" s="143">
        <f t="shared" si="20"/>
        <v>87.75</v>
      </c>
      <c r="AG147" s="77">
        <v>0</v>
      </c>
      <c r="AH147" s="96">
        <v>0</v>
      </c>
      <c r="AI147" s="77"/>
      <c r="AJ147" s="77">
        <v>85</v>
      </c>
      <c r="AK147" s="67">
        <f t="shared" si="21"/>
        <v>85</v>
      </c>
      <c r="AL147" s="68">
        <v>8</v>
      </c>
      <c r="AM147" s="68" t="s">
        <v>1125</v>
      </c>
      <c r="AN147" s="67">
        <f t="shared" si="22"/>
        <v>17.275</v>
      </c>
      <c r="AO147" s="114">
        <f t="shared" si="23"/>
        <v>52.5125</v>
      </c>
      <c r="AP147" s="115">
        <f t="shared" si="24"/>
        <v>80.6344827586207</v>
      </c>
      <c r="AQ147" s="116">
        <v>82.1011185682327</v>
      </c>
      <c r="AR147" s="122" t="s">
        <v>1124</v>
      </c>
      <c r="AS147" s="68" t="s">
        <v>1124</v>
      </c>
    </row>
    <row r="148" ht="12.75" customHeight="1" spans="1:45">
      <c r="A148" s="96">
        <v>3</v>
      </c>
      <c r="B148" s="96">
        <v>4</v>
      </c>
      <c r="C148" s="120" t="s">
        <v>71</v>
      </c>
      <c r="D148" s="79">
        <v>252610099</v>
      </c>
      <c r="E148" s="121" t="s">
        <v>1126</v>
      </c>
      <c r="F148" s="122" t="s">
        <v>1127</v>
      </c>
      <c r="G148" s="86" t="s">
        <v>1127</v>
      </c>
      <c r="H148" s="123" t="s">
        <v>61</v>
      </c>
      <c r="I148" s="120" t="s">
        <v>809</v>
      </c>
      <c r="J148" s="130">
        <v>39684</v>
      </c>
      <c r="K148" s="120" t="s">
        <v>77</v>
      </c>
      <c r="L148" s="96" t="s">
        <v>63</v>
      </c>
      <c r="M148" s="133">
        <v>100</v>
      </c>
      <c r="N148" s="77"/>
      <c r="O148" s="77"/>
      <c r="P148" s="77"/>
      <c r="Q148" s="77"/>
      <c r="R148" s="77"/>
      <c r="S148" s="78"/>
      <c r="T148" s="77"/>
      <c r="U148" s="77">
        <v>100</v>
      </c>
      <c r="V148" s="77"/>
      <c r="W148" s="77"/>
      <c r="X148" s="77"/>
      <c r="Y148" s="67">
        <v>100</v>
      </c>
      <c r="AC148" s="77">
        <f t="shared" si="17"/>
        <v>300</v>
      </c>
      <c r="AD148" s="96">
        <f t="shared" si="18"/>
        <v>0</v>
      </c>
      <c r="AE148" s="77">
        <f t="shared" si="19"/>
        <v>240</v>
      </c>
      <c r="AF148" s="143">
        <f t="shared" si="20"/>
        <v>82.2857142857143</v>
      </c>
      <c r="AG148" s="77">
        <v>100</v>
      </c>
      <c r="AH148" s="96">
        <v>100</v>
      </c>
      <c r="AI148" s="77"/>
      <c r="AJ148" s="77">
        <v>85</v>
      </c>
      <c r="AK148" s="67">
        <f t="shared" si="21"/>
        <v>285</v>
      </c>
      <c r="AL148" s="68">
        <v>32</v>
      </c>
      <c r="AM148" s="68" t="s">
        <v>1128</v>
      </c>
      <c r="AN148" s="67">
        <f t="shared" si="22"/>
        <v>59.475</v>
      </c>
      <c r="AO148" s="114">
        <f t="shared" si="23"/>
        <v>70.8803571428572</v>
      </c>
      <c r="AP148" s="115">
        <f t="shared" si="24"/>
        <v>85.7014778325123</v>
      </c>
      <c r="AQ148" s="116">
        <v>86.3746244806648</v>
      </c>
      <c r="AR148" s="122" t="s">
        <v>1127</v>
      </c>
      <c r="AS148" s="68" t="s">
        <v>1127</v>
      </c>
    </row>
    <row r="149" ht="12.75" customHeight="1" spans="1:45">
      <c r="A149" s="96">
        <v>4</v>
      </c>
      <c r="B149" s="96">
        <v>5</v>
      </c>
      <c r="C149" s="120" t="s">
        <v>79</v>
      </c>
      <c r="D149" s="79">
        <v>252610100</v>
      </c>
      <c r="E149" s="121" t="s">
        <v>1129</v>
      </c>
      <c r="F149" s="122" t="s">
        <v>1130</v>
      </c>
      <c r="G149" s="86" t="s">
        <v>1130</v>
      </c>
      <c r="H149" s="123" t="s">
        <v>76</v>
      </c>
      <c r="I149" s="120" t="s">
        <v>801</v>
      </c>
      <c r="J149" s="130">
        <v>39616</v>
      </c>
      <c r="K149" s="120" t="s">
        <v>53</v>
      </c>
      <c r="L149" s="96" t="s">
        <v>63</v>
      </c>
      <c r="M149" s="133">
        <v>100</v>
      </c>
      <c r="N149" s="77"/>
      <c r="O149" s="77"/>
      <c r="P149" s="77">
        <v>1</v>
      </c>
      <c r="Q149" s="77"/>
      <c r="R149" s="77"/>
      <c r="S149" s="78"/>
      <c r="T149" s="77"/>
      <c r="U149" s="77">
        <v>100</v>
      </c>
      <c r="V149" s="77">
        <v>100</v>
      </c>
      <c r="W149" s="77"/>
      <c r="X149" s="77">
        <v>1</v>
      </c>
      <c r="Y149" s="67">
        <v>100</v>
      </c>
      <c r="Z149" s="67">
        <v>100</v>
      </c>
      <c r="AA149" s="68">
        <v>1</v>
      </c>
      <c r="AC149" s="77">
        <f t="shared" si="17"/>
        <v>500</v>
      </c>
      <c r="AD149" s="96">
        <f t="shared" si="18"/>
        <v>300</v>
      </c>
      <c r="AE149" s="77">
        <f t="shared" si="19"/>
        <v>460</v>
      </c>
      <c r="AF149" s="143">
        <f t="shared" si="20"/>
        <v>88.9642857142857</v>
      </c>
      <c r="AG149" s="77">
        <v>100</v>
      </c>
      <c r="AH149" s="96">
        <v>100</v>
      </c>
      <c r="AI149" s="77"/>
      <c r="AJ149" s="77">
        <v>90</v>
      </c>
      <c r="AK149" s="67">
        <f t="shared" si="21"/>
        <v>290</v>
      </c>
      <c r="AL149" s="68">
        <v>100</v>
      </c>
      <c r="AM149" s="68" t="s">
        <v>1131</v>
      </c>
      <c r="AN149" s="67">
        <f t="shared" si="22"/>
        <v>80.75</v>
      </c>
      <c r="AO149" s="114">
        <f t="shared" si="23"/>
        <v>84.8571428571429</v>
      </c>
      <c r="AP149" s="115">
        <f t="shared" si="24"/>
        <v>89.5571428571428</v>
      </c>
      <c r="AQ149" s="116">
        <v>89.6264940875679</v>
      </c>
      <c r="AR149" s="122" t="s">
        <v>1130</v>
      </c>
      <c r="AS149" s="68" t="s">
        <v>1130</v>
      </c>
    </row>
    <row r="150" ht="12.75" customHeight="1" spans="1:45">
      <c r="A150" s="96">
        <v>5</v>
      </c>
      <c r="B150" s="96">
        <v>6</v>
      </c>
      <c r="C150" s="120" t="s">
        <v>85</v>
      </c>
      <c r="D150" s="79">
        <v>252610101</v>
      </c>
      <c r="E150" s="121" t="s">
        <v>1132</v>
      </c>
      <c r="F150" s="122" t="s">
        <v>1133</v>
      </c>
      <c r="G150" s="86" t="s">
        <v>1133</v>
      </c>
      <c r="H150" s="123" t="s">
        <v>61</v>
      </c>
      <c r="I150" s="120" t="s">
        <v>809</v>
      </c>
      <c r="J150" s="130">
        <v>39948</v>
      </c>
      <c r="K150" s="120" t="s">
        <v>90</v>
      </c>
      <c r="L150" s="96" t="s">
        <v>63</v>
      </c>
      <c r="M150" s="133">
        <v>100</v>
      </c>
      <c r="N150" s="77"/>
      <c r="O150" s="77"/>
      <c r="P150" s="77"/>
      <c r="Q150" s="77"/>
      <c r="R150" s="77"/>
      <c r="S150" s="78"/>
      <c r="T150" s="77"/>
      <c r="U150" s="77">
        <v>100</v>
      </c>
      <c r="V150" s="77">
        <v>100</v>
      </c>
      <c r="W150" s="77"/>
      <c r="X150" s="77"/>
      <c r="Y150" s="67">
        <v>100</v>
      </c>
      <c r="Z150" s="67">
        <v>100</v>
      </c>
      <c r="AC150" s="77">
        <f t="shared" si="17"/>
        <v>500</v>
      </c>
      <c r="AD150" s="96">
        <f t="shared" si="18"/>
        <v>0</v>
      </c>
      <c r="AE150" s="77">
        <f t="shared" si="19"/>
        <v>400</v>
      </c>
      <c r="AF150" s="143">
        <f t="shared" si="20"/>
        <v>87.1428571428571</v>
      </c>
      <c r="AG150" s="77">
        <v>100</v>
      </c>
      <c r="AH150" s="96">
        <v>100</v>
      </c>
      <c r="AI150" s="77"/>
      <c r="AJ150" s="77">
        <v>90</v>
      </c>
      <c r="AK150" s="67">
        <f t="shared" si="21"/>
        <v>290</v>
      </c>
      <c r="AL150" s="68">
        <v>100</v>
      </c>
      <c r="AM150" s="68" t="s">
        <v>1134</v>
      </c>
      <c r="AN150" s="67">
        <f t="shared" si="22"/>
        <v>80.75</v>
      </c>
      <c r="AO150" s="114">
        <f t="shared" si="23"/>
        <v>83.9464285714286</v>
      </c>
      <c r="AP150" s="115">
        <f t="shared" si="24"/>
        <v>89.3059113300493</v>
      </c>
      <c r="AQ150" s="116">
        <v>89.4146053052093</v>
      </c>
      <c r="AR150" s="122" t="s">
        <v>1133</v>
      </c>
      <c r="AS150" s="68" t="s">
        <v>1133</v>
      </c>
    </row>
    <row r="151" ht="12.75" customHeight="1" spans="1:45">
      <c r="A151" s="96">
        <v>6</v>
      </c>
      <c r="B151" s="96">
        <v>7</v>
      </c>
      <c r="C151" s="120" t="s">
        <v>92</v>
      </c>
      <c r="D151" s="79">
        <v>252610102</v>
      </c>
      <c r="E151" s="124" t="s">
        <v>1135</v>
      </c>
      <c r="F151" s="122" t="s">
        <v>1136</v>
      </c>
      <c r="G151" s="86" t="s">
        <v>1136</v>
      </c>
      <c r="H151" s="123" t="s">
        <v>61</v>
      </c>
      <c r="I151" s="120" t="s">
        <v>809</v>
      </c>
      <c r="J151" s="130">
        <v>39904</v>
      </c>
      <c r="K151" s="120" t="s">
        <v>90</v>
      </c>
      <c r="L151" s="96" t="s">
        <v>63</v>
      </c>
      <c r="M151" s="133">
        <v>100</v>
      </c>
      <c r="N151" s="77"/>
      <c r="O151" s="77"/>
      <c r="P151" s="77">
        <v>1</v>
      </c>
      <c r="Q151" s="77"/>
      <c r="R151" s="77"/>
      <c r="S151" s="78"/>
      <c r="T151" s="77"/>
      <c r="U151" s="77">
        <v>100</v>
      </c>
      <c r="V151" s="77">
        <v>100</v>
      </c>
      <c r="W151" s="77"/>
      <c r="X151" s="77"/>
      <c r="Y151" s="67">
        <v>100</v>
      </c>
      <c r="Z151" s="67">
        <v>100</v>
      </c>
      <c r="AA151" s="68">
        <v>1</v>
      </c>
      <c r="AC151" s="77">
        <f t="shared" si="17"/>
        <v>500</v>
      </c>
      <c r="AD151" s="96">
        <f t="shared" si="18"/>
        <v>200</v>
      </c>
      <c r="AE151" s="77">
        <f t="shared" si="19"/>
        <v>440</v>
      </c>
      <c r="AF151" s="143">
        <f t="shared" si="20"/>
        <v>88.3571428571429</v>
      </c>
      <c r="AG151" s="77">
        <v>100</v>
      </c>
      <c r="AH151" s="96">
        <v>100</v>
      </c>
      <c r="AI151" s="77"/>
      <c r="AJ151" s="77">
        <v>90</v>
      </c>
      <c r="AK151" s="67">
        <f t="shared" si="21"/>
        <v>290</v>
      </c>
      <c r="AL151" s="68">
        <v>96</v>
      </c>
      <c r="AM151" s="68" t="s">
        <v>1136</v>
      </c>
      <c r="AN151" s="67">
        <f t="shared" si="22"/>
        <v>79.55</v>
      </c>
      <c r="AO151" s="114">
        <f t="shared" si="23"/>
        <v>83.9535714285714</v>
      </c>
      <c r="AP151" s="115">
        <f t="shared" si="24"/>
        <v>89.307881773399</v>
      </c>
      <c r="AQ151" s="116">
        <v>89.4162671780122</v>
      </c>
      <c r="AR151" s="122" t="s">
        <v>1136</v>
      </c>
      <c r="AS151" s="68" t="s">
        <v>1136</v>
      </c>
    </row>
    <row r="152" ht="12.75" customHeight="1" spans="1:45">
      <c r="A152" s="96">
        <v>7</v>
      </c>
      <c r="B152" s="96">
        <v>8</v>
      </c>
      <c r="C152" s="120" t="s">
        <v>98</v>
      </c>
      <c r="D152" s="79">
        <v>252610103</v>
      </c>
      <c r="E152" s="124" t="s">
        <v>1137</v>
      </c>
      <c r="F152" s="122" t="s">
        <v>1138</v>
      </c>
      <c r="G152" s="86" t="s">
        <v>1138</v>
      </c>
      <c r="H152" s="123" t="s">
        <v>76</v>
      </c>
      <c r="I152" s="120" t="s">
        <v>801</v>
      </c>
      <c r="J152" s="130">
        <v>39710</v>
      </c>
      <c r="K152" s="120" t="s">
        <v>53</v>
      </c>
      <c r="L152" s="96" t="s">
        <v>63</v>
      </c>
      <c r="M152" s="133">
        <v>100</v>
      </c>
      <c r="N152" s="77"/>
      <c r="O152" s="77"/>
      <c r="P152" s="77"/>
      <c r="Q152" s="77"/>
      <c r="R152" s="77"/>
      <c r="S152" s="78"/>
      <c r="T152" s="77">
        <v>1</v>
      </c>
      <c r="U152" s="77"/>
      <c r="V152" s="77">
        <v>100</v>
      </c>
      <c r="W152" s="77"/>
      <c r="X152" s="77"/>
      <c r="Y152" s="67">
        <v>100</v>
      </c>
      <c r="Z152" s="67">
        <v>100</v>
      </c>
      <c r="AC152" s="77">
        <f t="shared" si="17"/>
        <v>400</v>
      </c>
      <c r="AD152" s="96">
        <f t="shared" si="18"/>
        <v>100</v>
      </c>
      <c r="AE152" s="77">
        <f t="shared" si="19"/>
        <v>340</v>
      </c>
      <c r="AF152" s="143">
        <f t="shared" si="20"/>
        <v>85.3214285714286</v>
      </c>
      <c r="AG152" s="77">
        <v>100</v>
      </c>
      <c r="AH152" s="96">
        <v>100</v>
      </c>
      <c r="AI152" s="77">
        <v>1</v>
      </c>
      <c r="AJ152" s="77">
        <v>90</v>
      </c>
      <c r="AK152" s="67">
        <f t="shared" si="21"/>
        <v>291</v>
      </c>
      <c r="AL152" s="68">
        <v>100</v>
      </c>
      <c r="AM152" s="68" t="s">
        <v>1139</v>
      </c>
      <c r="AN152" s="67">
        <f t="shared" si="22"/>
        <v>80.925</v>
      </c>
      <c r="AO152" s="114">
        <f t="shared" si="23"/>
        <v>83.1232142857143</v>
      </c>
      <c r="AP152" s="115">
        <f t="shared" si="24"/>
        <v>89.0788177339901</v>
      </c>
      <c r="AQ152" s="116">
        <v>89.2230744646852</v>
      </c>
      <c r="AR152" s="122" t="s">
        <v>1138</v>
      </c>
      <c r="AS152" s="68" t="s">
        <v>1138</v>
      </c>
    </row>
    <row r="153" ht="12.75" customHeight="1" spans="1:45">
      <c r="A153" s="96">
        <v>8</v>
      </c>
      <c r="B153" s="96">
        <v>9</v>
      </c>
      <c r="C153" s="120" t="s">
        <v>104</v>
      </c>
      <c r="D153" s="79">
        <v>252610104</v>
      </c>
      <c r="E153" s="121" t="s">
        <v>1140</v>
      </c>
      <c r="F153" s="122" t="s">
        <v>1141</v>
      </c>
      <c r="G153" s="86" t="s">
        <v>1141</v>
      </c>
      <c r="H153" s="123" t="s">
        <v>76</v>
      </c>
      <c r="I153" s="120" t="s">
        <v>809</v>
      </c>
      <c r="J153" s="130">
        <v>39542</v>
      </c>
      <c r="K153" s="120" t="s">
        <v>77</v>
      </c>
      <c r="L153" s="96" t="s">
        <v>63</v>
      </c>
      <c r="M153" s="133">
        <v>100</v>
      </c>
      <c r="N153" s="77"/>
      <c r="O153" s="77"/>
      <c r="P153" s="77"/>
      <c r="Q153" s="77"/>
      <c r="R153" s="77"/>
      <c r="S153" s="78"/>
      <c r="T153" s="77"/>
      <c r="U153" s="77"/>
      <c r="V153" s="77"/>
      <c r="W153" s="77"/>
      <c r="X153" s="77"/>
      <c r="AC153" s="77">
        <f t="shared" si="17"/>
        <v>100</v>
      </c>
      <c r="AD153" s="96">
        <f t="shared" si="18"/>
        <v>0</v>
      </c>
      <c r="AE153" s="77">
        <f t="shared" si="19"/>
        <v>80</v>
      </c>
      <c r="AF153" s="143">
        <f t="shared" si="20"/>
        <v>77.4285714285714</v>
      </c>
      <c r="AG153" s="77">
        <v>0</v>
      </c>
      <c r="AH153" s="96">
        <v>0</v>
      </c>
      <c r="AI153" s="77"/>
      <c r="AJ153" s="77"/>
      <c r="AK153" s="67">
        <f t="shared" si="21"/>
        <v>0</v>
      </c>
      <c r="AL153" s="68">
        <v>76</v>
      </c>
      <c r="AM153" s="68" t="s">
        <v>1142</v>
      </c>
      <c r="AN153" s="67">
        <f t="shared" si="22"/>
        <v>22.8</v>
      </c>
      <c r="AO153" s="114">
        <f t="shared" si="23"/>
        <v>50.1142857142857</v>
      </c>
      <c r="AP153" s="115">
        <f t="shared" si="24"/>
        <v>79.9729064039409</v>
      </c>
      <c r="AQ153" s="116">
        <v>81.5431447746884</v>
      </c>
      <c r="AR153" s="122" t="s">
        <v>1141</v>
      </c>
      <c r="AS153" s="68" t="s">
        <v>1141</v>
      </c>
    </row>
    <row r="154" ht="12.75" customHeight="1" spans="1:45">
      <c r="A154" s="96">
        <v>9</v>
      </c>
      <c r="B154" s="96">
        <v>10</v>
      </c>
      <c r="C154" s="120" t="s">
        <v>110</v>
      </c>
      <c r="D154" s="79">
        <v>252610105</v>
      </c>
      <c r="E154" s="121" t="s">
        <v>1143</v>
      </c>
      <c r="F154" s="122" t="s">
        <v>1144</v>
      </c>
      <c r="G154" s="86" t="s">
        <v>1144</v>
      </c>
      <c r="H154" s="123" t="s">
        <v>76</v>
      </c>
      <c r="I154" s="120" t="s">
        <v>809</v>
      </c>
      <c r="J154" s="130">
        <v>39886</v>
      </c>
      <c r="K154" s="120" t="s">
        <v>90</v>
      </c>
      <c r="L154" s="96" t="s">
        <v>63</v>
      </c>
      <c r="M154" s="133">
        <v>100</v>
      </c>
      <c r="N154" s="77"/>
      <c r="O154" s="77"/>
      <c r="P154" s="77"/>
      <c r="Q154" s="77"/>
      <c r="R154" s="77"/>
      <c r="S154" s="78"/>
      <c r="T154" s="77"/>
      <c r="U154" s="77">
        <v>100</v>
      </c>
      <c r="V154" s="77"/>
      <c r="W154" s="77"/>
      <c r="X154" s="77"/>
      <c r="AC154" s="77">
        <f t="shared" si="17"/>
        <v>200</v>
      </c>
      <c r="AD154" s="96">
        <f t="shared" si="18"/>
        <v>0</v>
      </c>
      <c r="AE154" s="77">
        <f t="shared" si="19"/>
        <v>160</v>
      </c>
      <c r="AF154" s="143">
        <f t="shared" si="20"/>
        <v>79.8571428571429</v>
      </c>
      <c r="AG154" s="77">
        <v>0</v>
      </c>
      <c r="AH154" s="96">
        <v>100</v>
      </c>
      <c r="AI154" s="77"/>
      <c r="AJ154" s="77">
        <v>85</v>
      </c>
      <c r="AK154" s="67">
        <f t="shared" si="21"/>
        <v>185</v>
      </c>
      <c r="AL154" s="68">
        <v>88</v>
      </c>
      <c r="AM154" s="68" t="s">
        <v>1145</v>
      </c>
      <c r="AN154" s="67">
        <f t="shared" si="22"/>
        <v>58.775</v>
      </c>
      <c r="AO154" s="114">
        <f t="shared" si="23"/>
        <v>69.3160714285714</v>
      </c>
      <c r="AP154" s="115">
        <f t="shared" si="24"/>
        <v>85.2699507389163</v>
      </c>
      <c r="AQ154" s="116">
        <v>86.0106743368488</v>
      </c>
      <c r="AR154" s="122" t="s">
        <v>1144</v>
      </c>
      <c r="AS154" s="68" t="s">
        <v>1144</v>
      </c>
    </row>
    <row r="155" ht="12.75" customHeight="1" spans="1:45">
      <c r="A155" s="96">
        <v>10</v>
      </c>
      <c r="B155" s="96">
        <v>11</v>
      </c>
      <c r="C155" s="120" t="s">
        <v>117</v>
      </c>
      <c r="D155" s="79">
        <v>252610106</v>
      </c>
      <c r="E155" s="121" t="s">
        <v>1146</v>
      </c>
      <c r="F155" s="122" t="s">
        <v>1147</v>
      </c>
      <c r="G155" s="86" t="s">
        <v>1147</v>
      </c>
      <c r="H155" s="123" t="s">
        <v>61</v>
      </c>
      <c r="I155" s="120" t="s">
        <v>832</v>
      </c>
      <c r="J155" s="130">
        <v>39944</v>
      </c>
      <c r="K155" s="120" t="s">
        <v>77</v>
      </c>
      <c r="L155" s="96" t="s">
        <v>63</v>
      </c>
      <c r="M155" s="133">
        <v>100</v>
      </c>
      <c r="N155" s="77"/>
      <c r="O155" s="77"/>
      <c r="P155" s="77"/>
      <c r="Q155" s="77"/>
      <c r="R155" s="77"/>
      <c r="S155" s="78"/>
      <c r="T155" s="77"/>
      <c r="U155" s="77">
        <v>100</v>
      </c>
      <c r="V155" s="77">
        <v>100</v>
      </c>
      <c r="W155" s="77"/>
      <c r="X155" s="77"/>
      <c r="Y155" s="67">
        <v>100</v>
      </c>
      <c r="Z155" s="67">
        <v>100</v>
      </c>
      <c r="AA155" s="68">
        <v>1</v>
      </c>
      <c r="AC155" s="77">
        <f t="shared" si="17"/>
        <v>500</v>
      </c>
      <c r="AD155" s="96">
        <f t="shared" si="18"/>
        <v>100</v>
      </c>
      <c r="AE155" s="77">
        <f t="shared" si="19"/>
        <v>420</v>
      </c>
      <c r="AF155" s="143">
        <f t="shared" si="20"/>
        <v>87.75</v>
      </c>
      <c r="AG155" s="77">
        <v>100</v>
      </c>
      <c r="AH155" s="96">
        <v>100</v>
      </c>
      <c r="AI155" s="77"/>
      <c r="AJ155" s="77">
        <v>85</v>
      </c>
      <c r="AK155" s="67">
        <f t="shared" si="21"/>
        <v>285</v>
      </c>
      <c r="AL155" s="68">
        <v>96</v>
      </c>
      <c r="AM155" s="68" t="s">
        <v>1148</v>
      </c>
      <c r="AN155" s="67">
        <f t="shared" si="22"/>
        <v>78.675</v>
      </c>
      <c r="AO155" s="114">
        <f t="shared" si="23"/>
        <v>83.2125</v>
      </c>
      <c r="AP155" s="115">
        <f t="shared" si="24"/>
        <v>89.1034482758621</v>
      </c>
      <c r="AQ155" s="116">
        <v>89.2438478747204</v>
      </c>
      <c r="AR155" s="122" t="s">
        <v>1147</v>
      </c>
      <c r="AS155" s="68" t="s">
        <v>1147</v>
      </c>
    </row>
    <row r="156" ht="12.75" customHeight="1" spans="1:45">
      <c r="A156" s="96">
        <v>11</v>
      </c>
      <c r="B156" s="96">
        <v>12</v>
      </c>
      <c r="C156" s="120" t="s">
        <v>124</v>
      </c>
      <c r="D156" s="79">
        <v>252610107</v>
      </c>
      <c r="E156" s="121" t="s">
        <v>1149</v>
      </c>
      <c r="F156" s="122" t="s">
        <v>1150</v>
      </c>
      <c r="G156" s="86" t="s">
        <v>1150</v>
      </c>
      <c r="H156" s="123" t="s">
        <v>61</v>
      </c>
      <c r="I156" s="120" t="s">
        <v>809</v>
      </c>
      <c r="J156" s="130">
        <v>39825</v>
      </c>
      <c r="K156" s="120" t="s">
        <v>130</v>
      </c>
      <c r="L156" s="96" t="s">
        <v>63</v>
      </c>
      <c r="M156" s="133">
        <v>100</v>
      </c>
      <c r="N156" s="77"/>
      <c r="O156" s="77"/>
      <c r="P156" s="77"/>
      <c r="Q156" s="77"/>
      <c r="R156" s="77"/>
      <c r="S156" s="78"/>
      <c r="T156" s="77"/>
      <c r="U156" s="77"/>
      <c r="V156" s="77"/>
      <c r="W156" s="77"/>
      <c r="X156" s="77"/>
      <c r="Z156" s="67">
        <v>100</v>
      </c>
      <c r="AC156" s="77">
        <f t="shared" si="17"/>
        <v>200</v>
      </c>
      <c r="AD156" s="96">
        <f t="shared" si="18"/>
        <v>0</v>
      </c>
      <c r="AE156" s="77">
        <f t="shared" si="19"/>
        <v>160</v>
      </c>
      <c r="AF156" s="143">
        <f t="shared" si="20"/>
        <v>79.8571428571429</v>
      </c>
      <c r="AG156" s="77">
        <v>0</v>
      </c>
      <c r="AH156" s="96">
        <v>100</v>
      </c>
      <c r="AI156" s="77"/>
      <c r="AJ156" s="77">
        <v>85</v>
      </c>
      <c r="AK156" s="67">
        <f t="shared" si="21"/>
        <v>185</v>
      </c>
      <c r="AL156" s="68">
        <v>92</v>
      </c>
      <c r="AM156" s="68" t="s">
        <v>1150</v>
      </c>
      <c r="AN156" s="67">
        <f t="shared" si="22"/>
        <v>59.975</v>
      </c>
      <c r="AO156" s="114">
        <f t="shared" si="23"/>
        <v>69.9160714285714</v>
      </c>
      <c r="AP156" s="115">
        <f t="shared" si="24"/>
        <v>85.4354679802956</v>
      </c>
      <c r="AQ156" s="116">
        <v>86.1502716522851</v>
      </c>
      <c r="AR156" s="122" t="s">
        <v>1150</v>
      </c>
      <c r="AS156" s="68" t="s">
        <v>1150</v>
      </c>
    </row>
    <row r="157" ht="12.75" customHeight="1" spans="1:45">
      <c r="A157" s="96">
        <v>12</v>
      </c>
      <c r="B157" s="96">
        <v>13</v>
      </c>
      <c r="C157" s="120" t="s">
        <v>132</v>
      </c>
      <c r="D157" s="79">
        <v>252610108</v>
      </c>
      <c r="E157" s="121" t="s">
        <v>1151</v>
      </c>
      <c r="F157" s="122" t="s">
        <v>1152</v>
      </c>
      <c r="G157" s="86" t="s">
        <v>1152</v>
      </c>
      <c r="H157" s="123" t="s">
        <v>61</v>
      </c>
      <c r="I157" s="120" t="s">
        <v>809</v>
      </c>
      <c r="J157" s="130">
        <v>39925</v>
      </c>
      <c r="K157" s="120" t="s">
        <v>90</v>
      </c>
      <c r="L157" s="96" t="s">
        <v>63</v>
      </c>
      <c r="M157" s="133">
        <v>100</v>
      </c>
      <c r="N157" s="77"/>
      <c r="O157" s="77"/>
      <c r="P157" s="77"/>
      <c r="Q157" s="77"/>
      <c r="R157" s="77"/>
      <c r="S157" s="78"/>
      <c r="T157" s="77"/>
      <c r="U157" s="77"/>
      <c r="V157" s="77"/>
      <c r="W157" s="77"/>
      <c r="X157" s="77"/>
      <c r="Y157" s="67">
        <v>100</v>
      </c>
      <c r="AC157" s="77">
        <f t="shared" si="17"/>
        <v>200</v>
      </c>
      <c r="AD157" s="96">
        <f t="shared" si="18"/>
        <v>0</v>
      </c>
      <c r="AE157" s="77">
        <f t="shared" si="19"/>
        <v>160</v>
      </c>
      <c r="AF157" s="143">
        <f t="shared" si="20"/>
        <v>79.8571428571429</v>
      </c>
      <c r="AG157" s="77">
        <v>0</v>
      </c>
      <c r="AH157" s="96">
        <v>100</v>
      </c>
      <c r="AI157" s="77"/>
      <c r="AJ157" s="77">
        <v>85</v>
      </c>
      <c r="AK157" s="67">
        <f t="shared" si="21"/>
        <v>185</v>
      </c>
      <c r="AL157" s="68">
        <v>92</v>
      </c>
      <c r="AM157" s="68" t="s">
        <v>1153</v>
      </c>
      <c r="AN157" s="67">
        <f t="shared" si="22"/>
        <v>59.975</v>
      </c>
      <c r="AO157" s="114">
        <f t="shared" si="23"/>
        <v>69.9160714285714</v>
      </c>
      <c r="AP157" s="115">
        <f t="shared" si="24"/>
        <v>85.4354679802956</v>
      </c>
      <c r="AQ157" s="116">
        <v>86.1502716522851</v>
      </c>
      <c r="AR157" s="122" t="s">
        <v>1152</v>
      </c>
      <c r="AS157" s="68" t="s">
        <v>1152</v>
      </c>
    </row>
    <row r="158" ht="12.75" customHeight="1" spans="1:45">
      <c r="A158" s="96">
        <v>13</v>
      </c>
      <c r="B158" s="96">
        <v>14</v>
      </c>
      <c r="C158" s="120" t="s">
        <v>138</v>
      </c>
      <c r="D158" s="79">
        <v>252610109</v>
      </c>
      <c r="E158" s="121" t="s">
        <v>1154</v>
      </c>
      <c r="F158" s="122" t="s">
        <v>1155</v>
      </c>
      <c r="G158" s="86" t="s">
        <v>1155</v>
      </c>
      <c r="H158" s="123" t="s">
        <v>76</v>
      </c>
      <c r="I158" s="131" t="s">
        <v>809</v>
      </c>
      <c r="J158" s="130">
        <v>39836</v>
      </c>
      <c r="K158" s="120" t="s">
        <v>144</v>
      </c>
      <c r="L158" s="96" t="s">
        <v>63</v>
      </c>
      <c r="M158" s="133">
        <v>100</v>
      </c>
      <c r="N158" s="77"/>
      <c r="O158" s="77">
        <v>100</v>
      </c>
      <c r="P158" s="77">
        <v>1</v>
      </c>
      <c r="Q158" s="77"/>
      <c r="R158" s="77"/>
      <c r="S158" s="78"/>
      <c r="T158" s="77"/>
      <c r="U158" s="77"/>
      <c r="V158" s="142">
        <v>100</v>
      </c>
      <c r="W158" s="77"/>
      <c r="X158" s="77"/>
      <c r="Y158" s="67">
        <v>100</v>
      </c>
      <c r="Z158" s="67">
        <v>100</v>
      </c>
      <c r="AC158" s="77">
        <f t="shared" si="17"/>
        <v>500</v>
      </c>
      <c r="AD158" s="96">
        <f t="shared" si="18"/>
        <v>100</v>
      </c>
      <c r="AE158" s="77">
        <f t="shared" si="19"/>
        <v>420</v>
      </c>
      <c r="AF158" s="143">
        <f t="shared" si="20"/>
        <v>87.75</v>
      </c>
      <c r="AG158" s="77">
        <v>100</v>
      </c>
      <c r="AH158" s="96">
        <v>100</v>
      </c>
      <c r="AI158" s="77"/>
      <c r="AJ158" s="77">
        <v>90</v>
      </c>
      <c r="AK158" s="67">
        <f t="shared" si="21"/>
        <v>290</v>
      </c>
      <c r="AL158" s="68">
        <v>100</v>
      </c>
      <c r="AM158" s="68" t="s">
        <v>1156</v>
      </c>
      <c r="AN158" s="67">
        <f t="shared" si="22"/>
        <v>80.75</v>
      </c>
      <c r="AO158" s="114">
        <f t="shared" si="23"/>
        <v>84.25</v>
      </c>
      <c r="AP158" s="115">
        <f t="shared" si="24"/>
        <v>89.3896551724138</v>
      </c>
      <c r="AQ158" s="116">
        <v>89.4852348993289</v>
      </c>
      <c r="AR158" s="122" t="s">
        <v>1155</v>
      </c>
      <c r="AS158" s="68" t="s">
        <v>1155</v>
      </c>
    </row>
    <row r="159" ht="12.75" customHeight="1" spans="1:45">
      <c r="A159" s="96">
        <v>14</v>
      </c>
      <c r="B159" s="96">
        <v>15</v>
      </c>
      <c r="C159" s="120" t="s">
        <v>146</v>
      </c>
      <c r="D159" s="79">
        <v>252610110</v>
      </c>
      <c r="E159" s="124"/>
      <c r="F159" s="122" t="s">
        <v>1157</v>
      </c>
      <c r="G159" s="86" t="s">
        <v>1158</v>
      </c>
      <c r="H159" s="123" t="s">
        <v>61</v>
      </c>
      <c r="I159" s="120" t="s">
        <v>801</v>
      </c>
      <c r="J159" s="130">
        <v>39668</v>
      </c>
      <c r="K159" s="120" t="s">
        <v>90</v>
      </c>
      <c r="L159" s="96" t="s">
        <v>63</v>
      </c>
      <c r="M159" s="133">
        <v>100</v>
      </c>
      <c r="N159" s="77"/>
      <c r="O159" s="77">
        <v>100</v>
      </c>
      <c r="P159" s="77"/>
      <c r="Q159" s="77"/>
      <c r="R159" s="77"/>
      <c r="S159" s="78"/>
      <c r="T159" s="77"/>
      <c r="U159" s="77">
        <v>100</v>
      </c>
      <c r="V159" s="77"/>
      <c r="W159" s="77"/>
      <c r="X159" s="77"/>
      <c r="Y159" s="67">
        <v>100</v>
      </c>
      <c r="Z159" s="67">
        <v>100</v>
      </c>
      <c r="AA159" s="68">
        <v>1</v>
      </c>
      <c r="AC159" s="77">
        <f t="shared" si="17"/>
        <v>500</v>
      </c>
      <c r="AD159" s="96">
        <f t="shared" si="18"/>
        <v>100</v>
      </c>
      <c r="AE159" s="77">
        <f t="shared" si="19"/>
        <v>420</v>
      </c>
      <c r="AF159" s="143">
        <f t="shared" si="20"/>
        <v>87.75</v>
      </c>
      <c r="AG159" s="77">
        <v>100</v>
      </c>
      <c r="AH159" s="96">
        <v>100</v>
      </c>
      <c r="AI159" s="77"/>
      <c r="AJ159" s="77">
        <v>85</v>
      </c>
      <c r="AK159" s="67">
        <f t="shared" si="21"/>
        <v>285</v>
      </c>
      <c r="AL159" s="68">
        <v>100</v>
      </c>
      <c r="AM159" s="68" t="s">
        <v>1159</v>
      </c>
      <c r="AN159" s="67">
        <f t="shared" si="22"/>
        <v>79.875</v>
      </c>
      <c r="AO159" s="114">
        <f t="shared" si="23"/>
        <v>83.8125</v>
      </c>
      <c r="AP159" s="115">
        <f t="shared" si="24"/>
        <v>89.2689655172414</v>
      </c>
      <c r="AQ159" s="116">
        <v>89.3834451901566</v>
      </c>
      <c r="AR159" s="122" t="s">
        <v>1157</v>
      </c>
      <c r="AS159" s="68" t="s">
        <v>1158</v>
      </c>
    </row>
    <row r="160" ht="12.75" customHeight="1" spans="1:45">
      <c r="A160" s="96">
        <v>15</v>
      </c>
      <c r="B160" s="96">
        <v>16</v>
      </c>
      <c r="C160" s="120" t="s">
        <v>153</v>
      </c>
      <c r="D160" s="79">
        <v>252610111</v>
      </c>
      <c r="E160" s="121" t="s">
        <v>1160</v>
      </c>
      <c r="F160" s="122" t="s">
        <v>1161</v>
      </c>
      <c r="G160" s="86" t="s">
        <v>1161</v>
      </c>
      <c r="H160" s="123" t="s">
        <v>61</v>
      </c>
      <c r="I160" s="120" t="s">
        <v>809</v>
      </c>
      <c r="J160" s="130">
        <v>39654</v>
      </c>
      <c r="K160" s="120" t="s">
        <v>130</v>
      </c>
      <c r="L160" s="96" t="s">
        <v>63</v>
      </c>
      <c r="M160" s="133">
        <v>100</v>
      </c>
      <c r="N160" s="77"/>
      <c r="O160" s="77">
        <v>100</v>
      </c>
      <c r="P160" s="77"/>
      <c r="Q160" s="77"/>
      <c r="R160" s="77"/>
      <c r="S160" s="78"/>
      <c r="T160" s="77"/>
      <c r="U160" s="77">
        <v>100</v>
      </c>
      <c r="V160" s="77">
        <v>100</v>
      </c>
      <c r="W160" s="77"/>
      <c r="X160" s="77"/>
      <c r="Y160" s="67">
        <v>100</v>
      </c>
      <c r="Z160" s="67">
        <v>100</v>
      </c>
      <c r="AA160" s="68">
        <v>1</v>
      </c>
      <c r="AC160" s="77">
        <f t="shared" si="17"/>
        <v>600</v>
      </c>
      <c r="AD160" s="96">
        <f t="shared" si="18"/>
        <v>100</v>
      </c>
      <c r="AE160" s="77">
        <f t="shared" si="19"/>
        <v>500</v>
      </c>
      <c r="AF160" s="143">
        <f t="shared" si="20"/>
        <v>90.1785714285714</v>
      </c>
      <c r="AG160" s="77">
        <v>100</v>
      </c>
      <c r="AH160" s="96">
        <v>100</v>
      </c>
      <c r="AI160" s="77">
        <v>1</v>
      </c>
      <c r="AJ160" s="77">
        <v>90</v>
      </c>
      <c r="AK160" s="67">
        <f t="shared" si="21"/>
        <v>291</v>
      </c>
      <c r="AL160" s="68">
        <v>84</v>
      </c>
      <c r="AM160" s="68" t="s">
        <v>1162</v>
      </c>
      <c r="AN160" s="67">
        <f t="shared" si="22"/>
        <v>76.125</v>
      </c>
      <c r="AO160" s="114">
        <f t="shared" si="23"/>
        <v>83.1517857142857</v>
      </c>
      <c r="AP160" s="115">
        <f t="shared" si="24"/>
        <v>89.0866995073892</v>
      </c>
      <c r="AQ160" s="116">
        <v>89.2297219558965</v>
      </c>
      <c r="AR160" s="122" t="s">
        <v>1161</v>
      </c>
      <c r="AS160" s="68" t="s">
        <v>1161</v>
      </c>
    </row>
    <row r="161" ht="12.75" customHeight="1" spans="1:45">
      <c r="A161" s="96">
        <v>16</v>
      </c>
      <c r="B161" s="96">
        <v>17</v>
      </c>
      <c r="C161" s="120" t="s">
        <v>850</v>
      </c>
      <c r="D161" s="79">
        <v>252610112</v>
      </c>
      <c r="E161" s="121" t="s">
        <v>1163</v>
      </c>
      <c r="F161" s="122" t="s">
        <v>1164</v>
      </c>
      <c r="G161" s="86" t="s">
        <v>1164</v>
      </c>
      <c r="H161" s="123" t="s">
        <v>61</v>
      </c>
      <c r="I161" s="120" t="s">
        <v>801</v>
      </c>
      <c r="J161" s="130">
        <v>39732</v>
      </c>
      <c r="K161" s="120" t="s">
        <v>90</v>
      </c>
      <c r="L161" s="96" t="s">
        <v>63</v>
      </c>
      <c r="M161" s="133">
        <v>100</v>
      </c>
      <c r="N161" s="77">
        <v>1</v>
      </c>
      <c r="O161" s="77">
        <v>100</v>
      </c>
      <c r="P161" s="77">
        <v>2</v>
      </c>
      <c r="Q161" s="77"/>
      <c r="R161" s="77"/>
      <c r="S161" s="78"/>
      <c r="T161" s="77"/>
      <c r="U161" s="77">
        <v>100</v>
      </c>
      <c r="V161" s="77">
        <v>100</v>
      </c>
      <c r="W161" s="77"/>
      <c r="X161" s="77"/>
      <c r="Y161" s="67">
        <v>100</v>
      </c>
      <c r="Z161" s="67">
        <v>100</v>
      </c>
      <c r="AA161" s="68">
        <v>1</v>
      </c>
      <c r="AC161" s="77">
        <f t="shared" si="17"/>
        <v>600</v>
      </c>
      <c r="AD161" s="96">
        <f t="shared" si="18"/>
        <v>400</v>
      </c>
      <c r="AE161" s="77">
        <f t="shared" si="19"/>
        <v>560</v>
      </c>
      <c r="AF161" s="143">
        <f t="shared" si="20"/>
        <v>92</v>
      </c>
      <c r="AG161" s="77">
        <v>100</v>
      </c>
      <c r="AH161" s="96">
        <v>100</v>
      </c>
      <c r="AI161" s="77">
        <v>2</v>
      </c>
      <c r="AJ161" s="77">
        <v>90</v>
      </c>
      <c r="AK161" s="67">
        <f t="shared" si="21"/>
        <v>292</v>
      </c>
      <c r="AL161" s="68">
        <v>96</v>
      </c>
      <c r="AM161" s="68" t="s">
        <v>1165</v>
      </c>
      <c r="AN161" s="67">
        <f t="shared" si="22"/>
        <v>79.9</v>
      </c>
      <c r="AO161" s="114">
        <f t="shared" si="23"/>
        <v>85.95</v>
      </c>
      <c r="AP161" s="115">
        <f t="shared" si="24"/>
        <v>89.8586206896552</v>
      </c>
      <c r="AQ161" s="116">
        <v>89.8807606263982</v>
      </c>
      <c r="AR161" s="122" t="s">
        <v>1164</v>
      </c>
      <c r="AS161" s="68" t="s">
        <v>1164</v>
      </c>
    </row>
    <row r="162" ht="12.75" customHeight="1" spans="1:45">
      <c r="A162" s="96">
        <v>17</v>
      </c>
      <c r="B162" s="96">
        <v>18</v>
      </c>
      <c r="C162" s="120" t="s">
        <v>165</v>
      </c>
      <c r="D162" s="79">
        <v>252610113</v>
      </c>
      <c r="E162" s="121" t="s">
        <v>1166</v>
      </c>
      <c r="F162" s="122" t="s">
        <v>1167</v>
      </c>
      <c r="G162" s="86" t="s">
        <v>1167</v>
      </c>
      <c r="H162" s="123" t="s">
        <v>76</v>
      </c>
      <c r="I162" s="120" t="s">
        <v>809</v>
      </c>
      <c r="J162" s="130">
        <v>39765</v>
      </c>
      <c r="K162" s="120" t="s">
        <v>171</v>
      </c>
      <c r="L162" s="96" t="s">
        <v>63</v>
      </c>
      <c r="M162" s="133">
        <v>100</v>
      </c>
      <c r="N162" s="77"/>
      <c r="O162" s="77"/>
      <c r="P162" s="77"/>
      <c r="Q162" s="77"/>
      <c r="R162" s="77"/>
      <c r="S162" s="78"/>
      <c r="T162" s="77"/>
      <c r="U162" s="77"/>
      <c r="V162" s="77"/>
      <c r="W162" s="77"/>
      <c r="X162" s="77"/>
      <c r="Z162" s="67">
        <v>100</v>
      </c>
      <c r="AC162" s="77">
        <f t="shared" si="17"/>
        <v>200</v>
      </c>
      <c r="AD162" s="96">
        <f t="shared" si="18"/>
        <v>0</v>
      </c>
      <c r="AE162" s="77">
        <f t="shared" si="19"/>
        <v>160</v>
      </c>
      <c r="AF162" s="143">
        <f t="shared" si="20"/>
        <v>79.8571428571429</v>
      </c>
      <c r="AG162" s="77">
        <v>0</v>
      </c>
      <c r="AH162" s="96">
        <v>0</v>
      </c>
      <c r="AI162" s="77"/>
      <c r="AJ162" s="77">
        <v>85</v>
      </c>
      <c r="AK162" s="67">
        <f t="shared" si="21"/>
        <v>85</v>
      </c>
      <c r="AL162" s="68">
        <v>92</v>
      </c>
      <c r="AM162" s="68" t="s">
        <v>1168</v>
      </c>
      <c r="AN162" s="67">
        <f t="shared" si="22"/>
        <v>42.475</v>
      </c>
      <c r="AO162" s="114">
        <f t="shared" si="23"/>
        <v>61.1660714285714</v>
      </c>
      <c r="AP162" s="115">
        <f t="shared" si="24"/>
        <v>83.0216748768473</v>
      </c>
      <c r="AQ162" s="116">
        <v>84.1144774688399</v>
      </c>
      <c r="AR162" s="122" t="s">
        <v>1167</v>
      </c>
      <c r="AS162" s="68" t="s">
        <v>1167</v>
      </c>
    </row>
    <row r="163" ht="12.75" customHeight="1" spans="1:45">
      <c r="A163" s="96">
        <v>18</v>
      </c>
      <c r="B163" s="96">
        <v>19</v>
      </c>
      <c r="C163" s="120" t="s">
        <v>173</v>
      </c>
      <c r="D163" s="79">
        <v>252610114</v>
      </c>
      <c r="E163" s="124" t="s">
        <v>1169</v>
      </c>
      <c r="F163" s="122" t="s">
        <v>1170</v>
      </c>
      <c r="G163" s="86" t="s">
        <v>1171</v>
      </c>
      <c r="H163" s="123" t="s">
        <v>61</v>
      </c>
      <c r="I163" s="131" t="s">
        <v>809</v>
      </c>
      <c r="J163" s="130">
        <v>39736</v>
      </c>
      <c r="K163" s="120" t="s">
        <v>144</v>
      </c>
      <c r="L163" s="96" t="s">
        <v>63</v>
      </c>
      <c r="M163" s="133">
        <v>100</v>
      </c>
      <c r="N163" s="77"/>
      <c r="O163" s="77">
        <v>100</v>
      </c>
      <c r="P163" s="77"/>
      <c r="Q163" s="77"/>
      <c r="R163" s="77"/>
      <c r="S163" s="78"/>
      <c r="T163" s="77">
        <v>2</v>
      </c>
      <c r="U163" s="77">
        <v>100</v>
      </c>
      <c r="V163" s="77">
        <v>100</v>
      </c>
      <c r="W163" s="77"/>
      <c r="X163" s="77">
        <v>1</v>
      </c>
      <c r="Y163" s="67">
        <v>100</v>
      </c>
      <c r="Z163" s="67">
        <v>100</v>
      </c>
      <c r="AA163" s="68">
        <v>1</v>
      </c>
      <c r="AC163" s="77">
        <f t="shared" si="17"/>
        <v>600</v>
      </c>
      <c r="AD163" s="96">
        <f t="shared" si="18"/>
        <v>400</v>
      </c>
      <c r="AE163" s="77">
        <f t="shared" si="19"/>
        <v>560</v>
      </c>
      <c r="AF163" s="143">
        <f t="shared" si="20"/>
        <v>92</v>
      </c>
      <c r="AG163" s="77">
        <v>100</v>
      </c>
      <c r="AH163" s="96">
        <v>100</v>
      </c>
      <c r="AI163" s="77">
        <v>1</v>
      </c>
      <c r="AJ163" s="77">
        <v>90</v>
      </c>
      <c r="AK163" s="67">
        <f t="shared" si="21"/>
        <v>291</v>
      </c>
      <c r="AL163" s="68">
        <v>100</v>
      </c>
      <c r="AM163" s="68" t="s">
        <v>1172</v>
      </c>
      <c r="AN163" s="67">
        <f t="shared" si="22"/>
        <v>80.925</v>
      </c>
      <c r="AO163" s="114">
        <f t="shared" si="23"/>
        <v>86.4625</v>
      </c>
      <c r="AP163" s="115">
        <f t="shared" si="24"/>
        <v>90</v>
      </c>
      <c r="AQ163" s="116">
        <v>90</v>
      </c>
      <c r="AR163" s="122" t="s">
        <v>1170</v>
      </c>
      <c r="AS163" s="68" t="s">
        <v>1171</v>
      </c>
    </row>
    <row r="164" ht="12.75" customHeight="1" spans="1:45">
      <c r="A164" s="96">
        <v>19</v>
      </c>
      <c r="B164" s="96">
        <v>20</v>
      </c>
      <c r="C164" s="120" t="s">
        <v>180</v>
      </c>
      <c r="D164" s="79">
        <v>252610115</v>
      </c>
      <c r="E164" s="121" t="s">
        <v>1173</v>
      </c>
      <c r="F164" s="122" t="s">
        <v>1174</v>
      </c>
      <c r="G164" s="86" t="s">
        <v>1174</v>
      </c>
      <c r="H164" s="123" t="s">
        <v>76</v>
      </c>
      <c r="I164" s="120" t="s">
        <v>801</v>
      </c>
      <c r="J164" s="130">
        <v>39768</v>
      </c>
      <c r="K164" s="120" t="s">
        <v>77</v>
      </c>
      <c r="L164" s="96" t="s">
        <v>63</v>
      </c>
      <c r="M164" s="133">
        <v>100</v>
      </c>
      <c r="N164" s="77">
        <v>1</v>
      </c>
      <c r="O164" s="77"/>
      <c r="P164" s="77"/>
      <c r="Q164" s="77"/>
      <c r="R164" s="77"/>
      <c r="S164" s="78"/>
      <c r="T164" s="77"/>
      <c r="U164" s="77"/>
      <c r="V164" s="77"/>
      <c r="W164" s="77"/>
      <c r="X164" s="77"/>
      <c r="AC164" s="77">
        <f t="shared" si="17"/>
        <v>100</v>
      </c>
      <c r="AD164" s="96">
        <f t="shared" si="18"/>
        <v>100</v>
      </c>
      <c r="AE164" s="77">
        <f t="shared" si="19"/>
        <v>100</v>
      </c>
      <c r="AF164" s="143">
        <f t="shared" si="20"/>
        <v>78.0357142857143</v>
      </c>
      <c r="AG164" s="77">
        <v>100</v>
      </c>
      <c r="AH164" s="96">
        <v>100</v>
      </c>
      <c r="AI164" s="77">
        <v>2</v>
      </c>
      <c r="AJ164" s="77">
        <v>90</v>
      </c>
      <c r="AK164" s="67">
        <f t="shared" si="21"/>
        <v>292</v>
      </c>
      <c r="AL164" s="68">
        <v>100</v>
      </c>
      <c r="AM164" s="68" t="s">
        <v>1175</v>
      </c>
      <c r="AN164" s="67">
        <f t="shared" si="22"/>
        <v>81.1</v>
      </c>
      <c r="AO164" s="114">
        <f t="shared" si="23"/>
        <v>79.5678571428572</v>
      </c>
      <c r="AP164" s="115">
        <f t="shared" si="24"/>
        <v>88.0980295566502</v>
      </c>
      <c r="AQ164" s="116">
        <v>88.3958772770853</v>
      </c>
      <c r="AR164" s="122" t="s">
        <v>1174</v>
      </c>
      <c r="AS164" s="68" t="s">
        <v>1174</v>
      </c>
    </row>
    <row r="165" ht="12.75" customHeight="1" spans="1:45">
      <c r="A165" s="96">
        <v>20</v>
      </c>
      <c r="B165" s="96">
        <v>21</v>
      </c>
      <c r="C165" s="120" t="s">
        <v>186</v>
      </c>
      <c r="D165" s="79">
        <v>252610116</v>
      </c>
      <c r="E165" s="121" t="s">
        <v>1176</v>
      </c>
      <c r="F165" s="122" t="s">
        <v>1177</v>
      </c>
      <c r="G165" s="86" t="s">
        <v>1177</v>
      </c>
      <c r="H165" s="123" t="s">
        <v>61</v>
      </c>
      <c r="I165" s="120" t="s">
        <v>809</v>
      </c>
      <c r="J165" s="130">
        <v>39896</v>
      </c>
      <c r="K165" s="120" t="s">
        <v>90</v>
      </c>
      <c r="L165" s="96" t="s">
        <v>63</v>
      </c>
      <c r="M165" s="133">
        <v>100</v>
      </c>
      <c r="N165" s="77"/>
      <c r="O165" s="77">
        <v>100</v>
      </c>
      <c r="P165" s="77"/>
      <c r="Q165" s="77"/>
      <c r="R165" s="77"/>
      <c r="S165" s="78"/>
      <c r="T165" s="77">
        <v>2</v>
      </c>
      <c r="U165" s="77">
        <v>100</v>
      </c>
      <c r="V165" s="77">
        <v>100</v>
      </c>
      <c r="W165" s="77"/>
      <c r="X165" s="77"/>
      <c r="Y165" s="67">
        <v>100</v>
      </c>
      <c r="Z165" s="67">
        <v>100</v>
      </c>
      <c r="AA165" s="68">
        <v>1</v>
      </c>
      <c r="AC165" s="77">
        <f t="shared" si="17"/>
        <v>600</v>
      </c>
      <c r="AD165" s="96">
        <f t="shared" si="18"/>
        <v>300</v>
      </c>
      <c r="AE165" s="77">
        <f t="shared" si="19"/>
        <v>540</v>
      </c>
      <c r="AF165" s="143">
        <f t="shared" si="20"/>
        <v>91.3928571428571</v>
      </c>
      <c r="AG165" s="77">
        <v>100</v>
      </c>
      <c r="AH165" s="96">
        <v>100</v>
      </c>
      <c r="AI165" s="96"/>
      <c r="AJ165" s="77">
        <v>90</v>
      </c>
      <c r="AK165" s="67">
        <f t="shared" si="21"/>
        <v>290</v>
      </c>
      <c r="AL165" s="68">
        <v>100</v>
      </c>
      <c r="AM165" s="68" t="s">
        <v>1178</v>
      </c>
      <c r="AN165" s="67">
        <f t="shared" si="22"/>
        <v>80.75</v>
      </c>
      <c r="AO165" s="114">
        <f t="shared" si="23"/>
        <v>86.0714285714286</v>
      </c>
      <c r="AP165" s="115">
        <f t="shared" si="24"/>
        <v>89.892118226601</v>
      </c>
      <c r="AQ165" s="116">
        <v>89.909012464046</v>
      </c>
      <c r="AR165" s="122" t="s">
        <v>1177</v>
      </c>
      <c r="AS165" s="68" t="s">
        <v>1177</v>
      </c>
    </row>
    <row r="166" ht="12.75" customHeight="1" spans="1:45">
      <c r="A166" s="96">
        <v>21</v>
      </c>
      <c r="B166" s="96">
        <v>22</v>
      </c>
      <c r="C166" s="120" t="s">
        <v>192</v>
      </c>
      <c r="D166" s="79">
        <v>252610117</v>
      </c>
      <c r="E166" s="121" t="s">
        <v>1179</v>
      </c>
      <c r="F166" s="122" t="s">
        <v>1180</v>
      </c>
      <c r="G166" s="86" t="s">
        <v>1180</v>
      </c>
      <c r="H166" s="123" t="s">
        <v>61</v>
      </c>
      <c r="I166" s="120" t="s">
        <v>809</v>
      </c>
      <c r="J166" s="130">
        <v>40031</v>
      </c>
      <c r="K166" s="120" t="s">
        <v>90</v>
      </c>
      <c r="L166" s="96" t="s">
        <v>63</v>
      </c>
      <c r="M166" s="133">
        <v>100</v>
      </c>
      <c r="N166" s="77"/>
      <c r="O166" s="77">
        <v>100</v>
      </c>
      <c r="P166" s="77"/>
      <c r="Q166" s="77"/>
      <c r="R166" s="77"/>
      <c r="S166" s="78"/>
      <c r="T166" s="77"/>
      <c r="U166" s="77">
        <v>100</v>
      </c>
      <c r="V166" s="77">
        <v>100</v>
      </c>
      <c r="W166" s="77"/>
      <c r="X166" s="77"/>
      <c r="Y166" s="67">
        <v>100</v>
      </c>
      <c r="Z166" s="67">
        <v>100</v>
      </c>
      <c r="AC166" s="77">
        <f t="shared" si="17"/>
        <v>600</v>
      </c>
      <c r="AD166" s="96">
        <f t="shared" si="18"/>
        <v>0</v>
      </c>
      <c r="AE166" s="77">
        <f t="shared" si="19"/>
        <v>480</v>
      </c>
      <c r="AF166" s="143">
        <f t="shared" si="20"/>
        <v>89.5714285714286</v>
      </c>
      <c r="AG166" s="77">
        <v>100</v>
      </c>
      <c r="AH166" s="96">
        <v>100</v>
      </c>
      <c r="AI166" s="96"/>
      <c r="AJ166" s="77">
        <v>90</v>
      </c>
      <c r="AK166" s="67">
        <f t="shared" si="21"/>
        <v>290</v>
      </c>
      <c r="AL166" s="68">
        <v>100</v>
      </c>
      <c r="AM166" s="68" t="s">
        <v>1181</v>
      </c>
      <c r="AN166" s="67">
        <f t="shared" si="22"/>
        <v>80.75</v>
      </c>
      <c r="AO166" s="114">
        <f t="shared" si="23"/>
        <v>85.1607142857143</v>
      </c>
      <c r="AP166" s="115">
        <f t="shared" si="24"/>
        <v>89.6408866995074</v>
      </c>
      <c r="AQ166" s="116">
        <v>89.6971236816874</v>
      </c>
      <c r="AR166" s="122" t="s">
        <v>1180</v>
      </c>
      <c r="AS166" s="68" t="s">
        <v>1180</v>
      </c>
    </row>
    <row r="167" ht="12.75" customHeight="1" spans="1:45">
      <c r="A167" s="96">
        <v>22</v>
      </c>
      <c r="B167" s="96">
        <v>296</v>
      </c>
      <c r="C167" s="120" t="s">
        <v>200</v>
      </c>
      <c r="D167" s="79">
        <v>252610118</v>
      </c>
      <c r="E167" s="124" t="s">
        <v>1182</v>
      </c>
      <c r="F167" s="122" t="s">
        <v>1183</v>
      </c>
      <c r="G167" s="86" t="s">
        <v>1183</v>
      </c>
      <c r="H167" s="123" t="s">
        <v>61</v>
      </c>
      <c r="I167" s="120" t="s">
        <v>809</v>
      </c>
      <c r="J167" s="130">
        <v>39926</v>
      </c>
      <c r="K167" s="120" t="s">
        <v>171</v>
      </c>
      <c r="L167" s="96" t="s">
        <v>63</v>
      </c>
      <c r="M167" s="133">
        <v>100</v>
      </c>
      <c r="N167" s="77"/>
      <c r="O167" s="77">
        <v>100</v>
      </c>
      <c r="P167" s="77"/>
      <c r="Q167" s="77"/>
      <c r="R167" s="77"/>
      <c r="S167" s="78"/>
      <c r="T167" s="77"/>
      <c r="U167" s="77">
        <v>100</v>
      </c>
      <c r="V167" s="77">
        <v>100</v>
      </c>
      <c r="W167" s="77"/>
      <c r="X167" s="77"/>
      <c r="Y167" s="67">
        <v>100</v>
      </c>
      <c r="AC167" s="77">
        <f t="shared" si="17"/>
        <v>500</v>
      </c>
      <c r="AD167" s="96">
        <f t="shared" si="18"/>
        <v>0</v>
      </c>
      <c r="AE167" s="77">
        <f t="shared" si="19"/>
        <v>400</v>
      </c>
      <c r="AF167" s="143">
        <f t="shared" si="20"/>
        <v>87.1428571428571</v>
      </c>
      <c r="AG167" s="77">
        <v>100</v>
      </c>
      <c r="AH167" s="96">
        <v>100</v>
      </c>
      <c r="AI167" s="96"/>
      <c r="AJ167" s="77">
        <v>85</v>
      </c>
      <c r="AK167" s="67">
        <f t="shared" si="21"/>
        <v>285</v>
      </c>
      <c r="AL167" s="68">
        <v>100</v>
      </c>
      <c r="AM167" s="68" t="s">
        <v>1184</v>
      </c>
      <c r="AN167" s="67">
        <f t="shared" si="22"/>
        <v>79.875</v>
      </c>
      <c r="AO167" s="114">
        <f t="shared" si="23"/>
        <v>83.5089285714286</v>
      </c>
      <c r="AP167" s="115">
        <f t="shared" si="24"/>
        <v>89.1852216748768</v>
      </c>
      <c r="AQ167" s="116">
        <v>89.3128155960371</v>
      </c>
      <c r="AR167" s="122" t="s">
        <v>1183</v>
      </c>
      <c r="AS167" s="68" t="s">
        <v>1183</v>
      </c>
    </row>
    <row r="168" ht="12.75" customHeight="1" spans="1:45">
      <c r="A168" s="96">
        <v>23</v>
      </c>
      <c r="B168" s="96">
        <v>23</v>
      </c>
      <c r="C168" s="120" t="s">
        <v>206</v>
      </c>
      <c r="D168" s="79">
        <v>252610119</v>
      </c>
      <c r="E168" s="121" t="s">
        <v>1185</v>
      </c>
      <c r="F168" s="122" t="s">
        <v>1186</v>
      </c>
      <c r="G168" s="86" t="s">
        <v>1186</v>
      </c>
      <c r="H168" s="123" t="s">
        <v>76</v>
      </c>
      <c r="I168" s="120" t="s">
        <v>809</v>
      </c>
      <c r="J168" s="130">
        <v>39669</v>
      </c>
      <c r="K168" s="120" t="s">
        <v>130</v>
      </c>
      <c r="L168" s="96" t="s">
        <v>63</v>
      </c>
      <c r="M168" s="133">
        <v>100</v>
      </c>
      <c r="N168" s="77">
        <v>2</v>
      </c>
      <c r="O168" s="77"/>
      <c r="P168" s="77"/>
      <c r="Q168" s="77"/>
      <c r="R168" s="77"/>
      <c r="S168" s="78"/>
      <c r="T168" s="77">
        <v>2</v>
      </c>
      <c r="U168" s="77">
        <v>100</v>
      </c>
      <c r="V168" s="77">
        <v>100</v>
      </c>
      <c r="W168" s="77"/>
      <c r="X168" s="77">
        <v>1</v>
      </c>
      <c r="AC168" s="77">
        <f t="shared" si="17"/>
        <v>300</v>
      </c>
      <c r="AD168" s="96">
        <f t="shared" si="18"/>
        <v>500</v>
      </c>
      <c r="AE168" s="77">
        <f t="shared" si="19"/>
        <v>340</v>
      </c>
      <c r="AF168" s="143">
        <f t="shared" si="20"/>
        <v>85.3214285714286</v>
      </c>
      <c r="AG168" s="77">
        <v>0</v>
      </c>
      <c r="AH168" s="96">
        <v>100</v>
      </c>
      <c r="AI168" s="96"/>
      <c r="AJ168" s="77">
        <v>90</v>
      </c>
      <c r="AK168" s="67">
        <f t="shared" si="21"/>
        <v>190</v>
      </c>
      <c r="AL168" s="68">
        <v>56</v>
      </c>
      <c r="AM168" s="68" t="s">
        <v>1187</v>
      </c>
      <c r="AN168" s="67">
        <f t="shared" si="22"/>
        <v>50.05</v>
      </c>
      <c r="AO168" s="114">
        <f t="shared" si="23"/>
        <v>67.6857142857143</v>
      </c>
      <c r="AP168" s="115">
        <f t="shared" si="24"/>
        <v>84.820197044335</v>
      </c>
      <c r="AQ168" s="116">
        <v>85.6313518696069</v>
      </c>
      <c r="AR168" s="122" t="s">
        <v>1186</v>
      </c>
      <c r="AS168" s="68" t="s">
        <v>1186</v>
      </c>
    </row>
    <row r="169" ht="12.75" customHeight="1" spans="1:45">
      <c r="A169" s="96">
        <v>24</v>
      </c>
      <c r="B169" s="96">
        <v>24</v>
      </c>
      <c r="C169" s="120" t="s">
        <v>213</v>
      </c>
      <c r="D169" s="79">
        <v>252610120</v>
      </c>
      <c r="E169" s="121" t="s">
        <v>1188</v>
      </c>
      <c r="F169" s="122" t="s">
        <v>1189</v>
      </c>
      <c r="G169" s="86" t="s">
        <v>1189</v>
      </c>
      <c r="H169" s="123" t="s">
        <v>76</v>
      </c>
      <c r="I169" s="120" t="s">
        <v>809</v>
      </c>
      <c r="J169" s="130">
        <v>39911</v>
      </c>
      <c r="K169" s="120" t="s">
        <v>53</v>
      </c>
      <c r="L169" s="96" t="s">
        <v>63</v>
      </c>
      <c r="M169" s="133">
        <v>100</v>
      </c>
      <c r="N169" s="77"/>
      <c r="O169" s="77"/>
      <c r="P169" s="77"/>
      <c r="Q169" s="77"/>
      <c r="R169" s="77"/>
      <c r="S169" s="78"/>
      <c r="T169" s="77"/>
      <c r="U169" s="77">
        <v>100</v>
      </c>
      <c r="V169" s="77"/>
      <c r="W169" s="77"/>
      <c r="X169" s="77"/>
      <c r="AC169" s="77">
        <f t="shared" si="17"/>
        <v>200</v>
      </c>
      <c r="AD169" s="96">
        <f t="shared" si="18"/>
        <v>0</v>
      </c>
      <c r="AE169" s="77">
        <f t="shared" si="19"/>
        <v>160</v>
      </c>
      <c r="AF169" s="143">
        <f t="shared" si="20"/>
        <v>79.8571428571429</v>
      </c>
      <c r="AG169" s="77">
        <v>100</v>
      </c>
      <c r="AH169" s="96">
        <v>100</v>
      </c>
      <c r="AI169" s="96"/>
      <c r="AJ169" s="77"/>
      <c r="AK169" s="67">
        <f t="shared" si="21"/>
        <v>200</v>
      </c>
      <c r="AL169" s="68">
        <v>84</v>
      </c>
      <c r="AM169" s="68" t="s">
        <v>1190</v>
      </c>
      <c r="AN169" s="67">
        <f t="shared" si="22"/>
        <v>60.2</v>
      </c>
      <c r="AO169" s="114">
        <f t="shared" si="23"/>
        <v>70.0285714285714</v>
      </c>
      <c r="AP169" s="115">
        <f t="shared" si="24"/>
        <v>85.4665024630542</v>
      </c>
      <c r="AQ169" s="116">
        <v>86.1764461489294</v>
      </c>
      <c r="AR169" s="122" t="s">
        <v>1189</v>
      </c>
      <c r="AS169" s="68" t="s">
        <v>1189</v>
      </c>
    </row>
    <row r="170" ht="12.75" customHeight="1" spans="1:45">
      <c r="A170" s="96">
        <v>25</v>
      </c>
      <c r="B170" s="96">
        <v>25</v>
      </c>
      <c r="C170" s="120" t="s">
        <v>220</v>
      </c>
      <c r="D170" s="79">
        <v>252610121</v>
      </c>
      <c r="E170" s="121" t="s">
        <v>1191</v>
      </c>
      <c r="F170" s="122" t="s">
        <v>1192</v>
      </c>
      <c r="G170" s="86" t="s">
        <v>1192</v>
      </c>
      <c r="H170" s="123" t="s">
        <v>76</v>
      </c>
      <c r="I170" s="120" t="s">
        <v>805</v>
      </c>
      <c r="J170" s="130">
        <v>39728</v>
      </c>
      <c r="K170" s="120" t="s">
        <v>90</v>
      </c>
      <c r="L170" s="96" t="s">
        <v>63</v>
      </c>
      <c r="M170" s="133">
        <v>100</v>
      </c>
      <c r="N170" s="77"/>
      <c r="O170" s="77"/>
      <c r="P170" s="77"/>
      <c r="Q170" s="77"/>
      <c r="R170" s="77"/>
      <c r="S170" s="78"/>
      <c r="T170" s="77"/>
      <c r="U170" s="77">
        <v>100</v>
      </c>
      <c r="V170" s="77">
        <v>100</v>
      </c>
      <c r="W170" s="77"/>
      <c r="X170" s="77"/>
      <c r="AC170" s="77">
        <f t="shared" si="17"/>
        <v>300</v>
      </c>
      <c r="AD170" s="96">
        <f t="shared" si="18"/>
        <v>0</v>
      </c>
      <c r="AE170" s="77">
        <f t="shared" si="19"/>
        <v>240</v>
      </c>
      <c r="AF170" s="143">
        <f t="shared" si="20"/>
        <v>82.2857142857143</v>
      </c>
      <c r="AG170" s="77">
        <v>0</v>
      </c>
      <c r="AH170" s="96">
        <v>0</v>
      </c>
      <c r="AI170" s="96"/>
      <c r="AJ170" s="77"/>
      <c r="AK170" s="67">
        <f t="shared" si="21"/>
        <v>0</v>
      </c>
      <c r="AL170" s="68">
        <v>60</v>
      </c>
      <c r="AM170" s="68" t="s">
        <v>1193</v>
      </c>
      <c r="AN170" s="67">
        <f t="shared" si="22"/>
        <v>18</v>
      </c>
      <c r="AO170" s="114">
        <f t="shared" si="23"/>
        <v>50.1428571428571</v>
      </c>
      <c r="AP170" s="115">
        <f t="shared" si="24"/>
        <v>79.9807881773399</v>
      </c>
      <c r="AQ170" s="116">
        <v>81.5497922658997</v>
      </c>
      <c r="AR170" s="122" t="s">
        <v>1192</v>
      </c>
      <c r="AS170" s="68" t="s">
        <v>1192</v>
      </c>
    </row>
    <row r="171" ht="12.75" customHeight="1" spans="1:45">
      <c r="A171" s="96">
        <v>26</v>
      </c>
      <c r="B171" s="96">
        <v>26</v>
      </c>
      <c r="C171" s="120" t="s">
        <v>227</v>
      </c>
      <c r="D171" s="79">
        <v>252610122</v>
      </c>
      <c r="E171" s="121" t="s">
        <v>1194</v>
      </c>
      <c r="F171" s="122" t="s">
        <v>1195</v>
      </c>
      <c r="G171" s="86" t="s">
        <v>1195</v>
      </c>
      <c r="H171" s="123" t="s">
        <v>76</v>
      </c>
      <c r="I171" s="120" t="s">
        <v>801</v>
      </c>
      <c r="J171" s="130">
        <v>39846</v>
      </c>
      <c r="K171" s="120" t="s">
        <v>77</v>
      </c>
      <c r="L171" s="96" t="s">
        <v>63</v>
      </c>
      <c r="M171" s="133">
        <v>100</v>
      </c>
      <c r="N171" s="77"/>
      <c r="O171" s="77"/>
      <c r="P171" s="77"/>
      <c r="Q171" s="77"/>
      <c r="R171" s="77"/>
      <c r="S171" s="78"/>
      <c r="T171" s="77"/>
      <c r="U171" s="77"/>
      <c r="V171" s="77">
        <v>100</v>
      </c>
      <c r="W171" s="77"/>
      <c r="X171" s="77"/>
      <c r="AA171" s="68">
        <v>1</v>
      </c>
      <c r="AC171" s="77">
        <f t="shared" si="17"/>
        <v>200</v>
      </c>
      <c r="AD171" s="96">
        <f t="shared" si="18"/>
        <v>100</v>
      </c>
      <c r="AE171" s="77">
        <f t="shared" si="19"/>
        <v>180</v>
      </c>
      <c r="AF171" s="143">
        <f t="shared" si="20"/>
        <v>80.4642857142857</v>
      </c>
      <c r="AG171" s="77">
        <v>100</v>
      </c>
      <c r="AH171" s="96">
        <v>100</v>
      </c>
      <c r="AI171" s="96"/>
      <c r="AJ171" s="77">
        <v>85</v>
      </c>
      <c r="AK171" s="67">
        <f t="shared" si="21"/>
        <v>285</v>
      </c>
      <c r="AL171" s="68">
        <v>100</v>
      </c>
      <c r="AM171" s="68" t="s">
        <v>1196</v>
      </c>
      <c r="AN171" s="67">
        <f t="shared" si="22"/>
        <v>79.875</v>
      </c>
      <c r="AO171" s="114">
        <f t="shared" si="23"/>
        <v>80.1696428571429</v>
      </c>
      <c r="AP171" s="115">
        <f t="shared" si="24"/>
        <v>88.264039408867</v>
      </c>
      <c r="AQ171" s="116">
        <v>88.5358900607223</v>
      </c>
      <c r="AR171" s="122" t="s">
        <v>1195</v>
      </c>
      <c r="AS171" s="68" t="s">
        <v>1195</v>
      </c>
    </row>
    <row r="172" ht="12.75" customHeight="1" spans="1:45">
      <c r="A172" s="96">
        <v>27</v>
      </c>
      <c r="B172" s="96">
        <v>27</v>
      </c>
      <c r="C172" s="120" t="s">
        <v>234</v>
      </c>
      <c r="D172" s="79">
        <v>252610123</v>
      </c>
      <c r="E172" s="121" t="s">
        <v>1197</v>
      </c>
      <c r="F172" s="140" t="s">
        <v>1198</v>
      </c>
      <c r="G172" s="86" t="s">
        <v>1198</v>
      </c>
      <c r="H172" s="123" t="s">
        <v>76</v>
      </c>
      <c r="I172" s="120" t="s">
        <v>809</v>
      </c>
      <c r="J172" s="130">
        <v>39769</v>
      </c>
      <c r="K172" s="120" t="s">
        <v>90</v>
      </c>
      <c r="L172" s="96" t="s">
        <v>63</v>
      </c>
      <c r="M172" s="133">
        <v>100</v>
      </c>
      <c r="N172" s="77"/>
      <c r="O172" s="77"/>
      <c r="P172" s="77"/>
      <c r="Q172" s="77"/>
      <c r="R172" s="77"/>
      <c r="S172" s="78"/>
      <c r="T172" s="77"/>
      <c r="U172" s="77"/>
      <c r="V172" s="77"/>
      <c r="W172" s="77"/>
      <c r="X172" s="77"/>
      <c r="Y172" s="67">
        <v>100</v>
      </c>
      <c r="Z172" s="67">
        <v>100</v>
      </c>
      <c r="AC172" s="77">
        <f t="shared" si="17"/>
        <v>300</v>
      </c>
      <c r="AD172" s="96">
        <f t="shared" si="18"/>
        <v>0</v>
      </c>
      <c r="AE172" s="77">
        <f t="shared" si="19"/>
        <v>240</v>
      </c>
      <c r="AF172" s="143">
        <f t="shared" si="20"/>
        <v>82.2857142857143</v>
      </c>
      <c r="AG172" s="77">
        <v>100</v>
      </c>
      <c r="AH172" s="96">
        <v>100</v>
      </c>
      <c r="AI172" s="96"/>
      <c r="AJ172" s="77">
        <v>85</v>
      </c>
      <c r="AK172" s="67">
        <f t="shared" si="21"/>
        <v>285</v>
      </c>
      <c r="AL172" s="68">
        <v>100</v>
      </c>
      <c r="AM172" s="68" t="s">
        <v>1199</v>
      </c>
      <c r="AN172" s="67">
        <f t="shared" si="22"/>
        <v>79.875</v>
      </c>
      <c r="AO172" s="114">
        <f t="shared" si="23"/>
        <v>81.0803571428571</v>
      </c>
      <c r="AP172" s="115">
        <f t="shared" si="24"/>
        <v>88.5152709359606</v>
      </c>
      <c r="AQ172" s="116">
        <v>88.7477788430809</v>
      </c>
      <c r="AR172" s="140" t="s">
        <v>1198</v>
      </c>
      <c r="AS172" s="68" t="s">
        <v>1198</v>
      </c>
    </row>
    <row r="173" ht="12.75" customHeight="1" spans="1:45">
      <c r="A173" s="96">
        <v>28</v>
      </c>
      <c r="B173" s="96">
        <v>28</v>
      </c>
      <c r="C173" s="120" t="s">
        <v>240</v>
      </c>
      <c r="D173" s="79">
        <v>252610124</v>
      </c>
      <c r="E173" s="121" t="s">
        <v>1200</v>
      </c>
      <c r="F173" s="122" t="s">
        <v>1201</v>
      </c>
      <c r="G173" s="86" t="s">
        <v>1201</v>
      </c>
      <c r="H173" s="125" t="s">
        <v>61</v>
      </c>
      <c r="I173" s="120" t="s">
        <v>809</v>
      </c>
      <c r="J173" s="130">
        <v>39862</v>
      </c>
      <c r="K173" s="120" t="s">
        <v>53</v>
      </c>
      <c r="L173" s="96" t="s">
        <v>63</v>
      </c>
      <c r="M173" s="133">
        <v>100</v>
      </c>
      <c r="N173" s="77"/>
      <c r="O173" s="77"/>
      <c r="P173" s="77"/>
      <c r="Q173" s="77"/>
      <c r="R173" s="77"/>
      <c r="S173" s="78"/>
      <c r="T173" s="77"/>
      <c r="U173" s="77">
        <v>100</v>
      </c>
      <c r="V173" s="77">
        <v>100</v>
      </c>
      <c r="W173" s="77"/>
      <c r="X173" s="77"/>
      <c r="Y173" s="67">
        <v>100</v>
      </c>
      <c r="Z173" s="67">
        <v>100</v>
      </c>
      <c r="AC173" s="77">
        <f t="shared" si="17"/>
        <v>500</v>
      </c>
      <c r="AD173" s="96">
        <f t="shared" si="18"/>
        <v>0</v>
      </c>
      <c r="AE173" s="77">
        <f t="shared" si="19"/>
        <v>400</v>
      </c>
      <c r="AF173" s="143">
        <f t="shared" si="20"/>
        <v>87.1428571428571</v>
      </c>
      <c r="AG173" s="77">
        <v>100</v>
      </c>
      <c r="AH173" s="96">
        <v>100</v>
      </c>
      <c r="AI173" s="96"/>
      <c r="AJ173" s="77">
        <v>90</v>
      </c>
      <c r="AK173" s="67">
        <f t="shared" si="21"/>
        <v>290</v>
      </c>
      <c r="AL173" s="68">
        <v>92</v>
      </c>
      <c r="AM173" s="68" t="s">
        <v>1202</v>
      </c>
      <c r="AN173" s="67">
        <f t="shared" si="22"/>
        <v>78.35</v>
      </c>
      <c r="AO173" s="114">
        <f t="shared" si="23"/>
        <v>82.7464285714286</v>
      </c>
      <c r="AP173" s="115">
        <f t="shared" si="24"/>
        <v>88.9748768472906</v>
      </c>
      <c r="AQ173" s="116">
        <v>89.1354106743368</v>
      </c>
      <c r="AR173" s="122" t="s">
        <v>1201</v>
      </c>
      <c r="AS173" s="68" t="s">
        <v>1201</v>
      </c>
    </row>
    <row r="174" ht="12.75" customHeight="1" spans="1:45">
      <c r="A174" s="96">
        <v>29</v>
      </c>
      <c r="B174" s="96">
        <v>30</v>
      </c>
      <c r="C174" s="120" t="s">
        <v>253</v>
      </c>
      <c r="D174" s="79">
        <v>252610125</v>
      </c>
      <c r="E174" s="121" t="s">
        <v>1203</v>
      </c>
      <c r="F174" s="122" t="s">
        <v>1204</v>
      </c>
      <c r="G174" s="86" t="s">
        <v>1204</v>
      </c>
      <c r="H174" s="123" t="s">
        <v>61</v>
      </c>
      <c r="I174" s="120" t="s">
        <v>809</v>
      </c>
      <c r="J174" s="130">
        <v>39566</v>
      </c>
      <c r="K174" s="120" t="s">
        <v>90</v>
      </c>
      <c r="L174" s="96" t="s">
        <v>63</v>
      </c>
      <c r="M174" s="133">
        <v>100</v>
      </c>
      <c r="N174" s="77"/>
      <c r="O174" s="77"/>
      <c r="P174" s="77"/>
      <c r="Q174" s="77"/>
      <c r="R174" s="77"/>
      <c r="S174" s="78"/>
      <c r="T174" s="77"/>
      <c r="U174" s="77">
        <v>100</v>
      </c>
      <c r="V174" s="77">
        <v>100</v>
      </c>
      <c r="W174" s="77"/>
      <c r="X174" s="77"/>
      <c r="Y174" s="67">
        <v>100</v>
      </c>
      <c r="AA174" s="68">
        <v>1</v>
      </c>
      <c r="AC174" s="77">
        <f t="shared" si="17"/>
        <v>400</v>
      </c>
      <c r="AD174" s="96">
        <f t="shared" si="18"/>
        <v>100</v>
      </c>
      <c r="AE174" s="77">
        <f t="shared" si="19"/>
        <v>340</v>
      </c>
      <c r="AF174" s="143">
        <f t="shared" si="20"/>
        <v>85.3214285714286</v>
      </c>
      <c r="AG174" s="77">
        <v>100</v>
      </c>
      <c r="AH174" s="96">
        <v>100</v>
      </c>
      <c r="AI174" s="96"/>
      <c r="AJ174" s="77">
        <v>85</v>
      </c>
      <c r="AK174" s="67">
        <f t="shared" si="21"/>
        <v>285</v>
      </c>
      <c r="AL174" s="68">
        <v>48</v>
      </c>
      <c r="AM174" s="68" t="s">
        <v>1205</v>
      </c>
      <c r="AN174" s="67">
        <f t="shared" si="22"/>
        <v>64.275</v>
      </c>
      <c r="AO174" s="114">
        <f t="shared" si="23"/>
        <v>74.7982142857143</v>
      </c>
      <c r="AP174" s="115">
        <f t="shared" si="24"/>
        <v>86.7822660098522</v>
      </c>
      <c r="AQ174" s="116">
        <v>87.2861617130073</v>
      </c>
      <c r="AR174" s="122" t="s">
        <v>1204</v>
      </c>
      <c r="AS174" s="68" t="s">
        <v>1204</v>
      </c>
    </row>
    <row r="175" ht="12.75" customHeight="1" spans="1:45">
      <c r="A175" s="96">
        <v>30</v>
      </c>
      <c r="B175" s="96">
        <v>31</v>
      </c>
      <c r="C175" s="120" t="s">
        <v>257</v>
      </c>
      <c r="D175" s="79">
        <v>252610126</v>
      </c>
      <c r="E175" s="121" t="s">
        <v>1206</v>
      </c>
      <c r="F175" s="122" t="s">
        <v>1207</v>
      </c>
      <c r="G175" s="86" t="s">
        <v>1207</v>
      </c>
      <c r="H175" s="123" t="s">
        <v>61</v>
      </c>
      <c r="I175" s="120" t="s">
        <v>801</v>
      </c>
      <c r="J175" s="130">
        <v>39851</v>
      </c>
      <c r="K175" s="120" t="s">
        <v>90</v>
      </c>
      <c r="L175" s="96" t="s">
        <v>63</v>
      </c>
      <c r="M175" s="133">
        <v>100</v>
      </c>
      <c r="N175" s="77"/>
      <c r="O175" s="77"/>
      <c r="P175" s="77"/>
      <c r="Q175" s="77"/>
      <c r="R175" s="77"/>
      <c r="S175" s="78"/>
      <c r="T175" s="77"/>
      <c r="U175" s="77">
        <v>100</v>
      </c>
      <c r="V175" s="77">
        <v>100</v>
      </c>
      <c r="W175" s="77"/>
      <c r="X175" s="77"/>
      <c r="Y175" s="67">
        <v>100</v>
      </c>
      <c r="Z175" s="67">
        <v>100</v>
      </c>
      <c r="AA175" s="68">
        <v>1</v>
      </c>
      <c r="AC175" s="77">
        <f t="shared" si="17"/>
        <v>500</v>
      </c>
      <c r="AD175" s="96">
        <f t="shared" si="18"/>
        <v>100</v>
      </c>
      <c r="AE175" s="77">
        <f t="shared" si="19"/>
        <v>420</v>
      </c>
      <c r="AF175" s="143">
        <f t="shared" si="20"/>
        <v>87.75</v>
      </c>
      <c r="AG175" s="77">
        <v>100</v>
      </c>
      <c r="AH175" s="96">
        <v>100</v>
      </c>
      <c r="AI175" s="96"/>
      <c r="AJ175" s="77">
        <v>85</v>
      </c>
      <c r="AK175" s="67">
        <f t="shared" si="21"/>
        <v>285</v>
      </c>
      <c r="AL175" s="68">
        <v>56</v>
      </c>
      <c r="AM175" s="68" t="s">
        <v>1208</v>
      </c>
      <c r="AN175" s="67">
        <f t="shared" si="22"/>
        <v>66.675</v>
      </c>
      <c r="AO175" s="114">
        <f t="shared" si="23"/>
        <v>77.2125</v>
      </c>
      <c r="AP175" s="115">
        <f t="shared" si="24"/>
        <v>87.448275862069</v>
      </c>
      <c r="AQ175" s="116">
        <v>87.8478747203579</v>
      </c>
      <c r="AR175" s="122" t="s">
        <v>1207</v>
      </c>
      <c r="AS175" s="68" t="s">
        <v>1207</v>
      </c>
    </row>
    <row r="176" ht="12.75" customHeight="1" spans="1:45">
      <c r="A176" s="96">
        <v>31</v>
      </c>
      <c r="B176" s="96">
        <v>32</v>
      </c>
      <c r="C176" s="120" t="s">
        <v>263</v>
      </c>
      <c r="D176" s="79">
        <v>252610127</v>
      </c>
      <c r="E176" s="121" t="s">
        <v>1209</v>
      </c>
      <c r="F176" s="122" t="s">
        <v>1210</v>
      </c>
      <c r="G176" s="86" t="s">
        <v>1210</v>
      </c>
      <c r="H176" s="123" t="s">
        <v>61</v>
      </c>
      <c r="I176" s="120" t="s">
        <v>809</v>
      </c>
      <c r="J176" s="130">
        <v>39889</v>
      </c>
      <c r="K176" s="120" t="s">
        <v>53</v>
      </c>
      <c r="L176" s="96" t="s">
        <v>63</v>
      </c>
      <c r="M176" s="133">
        <v>100</v>
      </c>
      <c r="N176" s="77"/>
      <c r="O176" s="77">
        <v>100</v>
      </c>
      <c r="P176" s="77"/>
      <c r="Q176" s="77"/>
      <c r="R176" s="77"/>
      <c r="S176" s="78"/>
      <c r="T176" s="77"/>
      <c r="U176" s="77">
        <v>100</v>
      </c>
      <c r="V176" s="77">
        <v>100</v>
      </c>
      <c r="W176" s="77"/>
      <c r="X176" s="77"/>
      <c r="Y176" s="67">
        <v>100</v>
      </c>
      <c r="AC176" s="77">
        <f t="shared" si="17"/>
        <v>500</v>
      </c>
      <c r="AD176" s="96">
        <f t="shared" si="18"/>
        <v>0</v>
      </c>
      <c r="AE176" s="77">
        <f t="shared" si="19"/>
        <v>400</v>
      </c>
      <c r="AF176" s="143">
        <f t="shared" si="20"/>
        <v>87.1428571428571</v>
      </c>
      <c r="AG176" s="77">
        <v>100</v>
      </c>
      <c r="AH176" s="96">
        <v>100</v>
      </c>
      <c r="AI176" s="96"/>
      <c r="AJ176" s="77">
        <v>90</v>
      </c>
      <c r="AK176" s="67">
        <f t="shared" si="21"/>
        <v>290</v>
      </c>
      <c r="AL176" s="68">
        <v>100</v>
      </c>
      <c r="AM176" s="68" t="s">
        <v>1211</v>
      </c>
      <c r="AN176" s="67">
        <f t="shared" si="22"/>
        <v>80.75</v>
      </c>
      <c r="AO176" s="114">
        <f t="shared" si="23"/>
        <v>83.9464285714286</v>
      </c>
      <c r="AP176" s="115">
        <f t="shared" si="24"/>
        <v>89.3059113300493</v>
      </c>
      <c r="AQ176" s="116">
        <v>89.4146053052093</v>
      </c>
      <c r="AR176" s="122" t="s">
        <v>1210</v>
      </c>
      <c r="AS176" s="68" t="s">
        <v>1210</v>
      </c>
    </row>
    <row r="177" ht="12.75" customHeight="1" spans="1:45">
      <c r="A177" s="96">
        <v>32</v>
      </c>
      <c r="B177" s="96">
        <v>33</v>
      </c>
      <c r="C177" s="120" t="s">
        <v>270</v>
      </c>
      <c r="D177" s="79">
        <v>252610128</v>
      </c>
      <c r="E177" s="121" t="s">
        <v>1212</v>
      </c>
      <c r="F177" s="122" t="s">
        <v>1213</v>
      </c>
      <c r="G177" s="86" t="s">
        <v>1213</v>
      </c>
      <c r="H177" s="123" t="s">
        <v>61</v>
      </c>
      <c r="I177" s="120" t="s">
        <v>901</v>
      </c>
      <c r="J177" s="130">
        <v>39654</v>
      </c>
      <c r="K177" s="120" t="s">
        <v>53</v>
      </c>
      <c r="L177" s="96" t="s">
        <v>63</v>
      </c>
      <c r="M177" s="133">
        <v>100</v>
      </c>
      <c r="N177" s="77"/>
      <c r="O177" s="77"/>
      <c r="P177" s="77"/>
      <c r="Q177" s="77"/>
      <c r="R177" s="77"/>
      <c r="S177" s="78"/>
      <c r="T177" s="77"/>
      <c r="U177" s="77">
        <v>100</v>
      </c>
      <c r="V177" s="77">
        <v>100</v>
      </c>
      <c r="W177" s="77"/>
      <c r="X177" s="77"/>
      <c r="Y177" s="67">
        <v>100</v>
      </c>
      <c r="Z177" s="67">
        <v>100</v>
      </c>
      <c r="AA177" s="68">
        <v>1</v>
      </c>
      <c r="AC177" s="77">
        <f t="shared" si="17"/>
        <v>500</v>
      </c>
      <c r="AD177" s="96">
        <f t="shared" si="18"/>
        <v>100</v>
      </c>
      <c r="AE177" s="77">
        <f t="shared" si="19"/>
        <v>420</v>
      </c>
      <c r="AF177" s="143">
        <f t="shared" si="20"/>
        <v>87.75</v>
      </c>
      <c r="AG177" s="77">
        <v>100</v>
      </c>
      <c r="AH177" s="96">
        <v>0</v>
      </c>
      <c r="AI177" s="96"/>
      <c r="AJ177" s="77"/>
      <c r="AK177" s="67">
        <f t="shared" si="21"/>
        <v>100</v>
      </c>
      <c r="AL177" s="68">
        <v>28</v>
      </c>
      <c r="AM177" s="68" t="s">
        <v>1214</v>
      </c>
      <c r="AN177" s="67">
        <f t="shared" si="22"/>
        <v>25.9</v>
      </c>
      <c r="AO177" s="114">
        <f t="shared" si="23"/>
        <v>56.825</v>
      </c>
      <c r="AP177" s="115">
        <f t="shared" si="24"/>
        <v>81.8241379310345</v>
      </c>
      <c r="AQ177" s="116">
        <v>83.1044742729306</v>
      </c>
      <c r="AR177" s="122" t="s">
        <v>1213</v>
      </c>
      <c r="AS177" s="68" t="s">
        <v>1213</v>
      </c>
    </row>
    <row r="178" ht="12.75" customHeight="1" spans="1:45">
      <c r="A178" s="96">
        <v>33</v>
      </c>
      <c r="B178" s="96">
        <v>34</v>
      </c>
      <c r="C178" s="120" t="s">
        <v>276</v>
      </c>
      <c r="D178" s="79">
        <v>252610129</v>
      </c>
      <c r="E178" s="121" t="s">
        <v>1215</v>
      </c>
      <c r="F178" s="122" t="s">
        <v>1216</v>
      </c>
      <c r="G178" s="86" t="s">
        <v>1216</v>
      </c>
      <c r="H178" s="123" t="s">
        <v>76</v>
      </c>
      <c r="I178" s="120" t="s">
        <v>809</v>
      </c>
      <c r="J178" s="130">
        <v>39675</v>
      </c>
      <c r="K178" s="120" t="s">
        <v>90</v>
      </c>
      <c r="L178" s="96" t="s">
        <v>63</v>
      </c>
      <c r="M178" s="133">
        <v>100</v>
      </c>
      <c r="N178" s="77"/>
      <c r="O178" s="77">
        <v>100</v>
      </c>
      <c r="P178" s="77"/>
      <c r="Q178" s="77"/>
      <c r="R178" s="77"/>
      <c r="S178" s="78"/>
      <c r="T178" s="77"/>
      <c r="U178" s="77">
        <v>100</v>
      </c>
      <c r="V178" s="77">
        <v>100</v>
      </c>
      <c r="W178" s="77"/>
      <c r="X178" s="77"/>
      <c r="Y178" s="67">
        <v>100</v>
      </c>
      <c r="Z178" s="67">
        <v>100</v>
      </c>
      <c r="AC178" s="77">
        <f t="shared" si="17"/>
        <v>600</v>
      </c>
      <c r="AD178" s="96">
        <f t="shared" si="18"/>
        <v>0</v>
      </c>
      <c r="AE178" s="77">
        <f t="shared" si="19"/>
        <v>480</v>
      </c>
      <c r="AF178" s="143">
        <f t="shared" si="20"/>
        <v>89.5714285714286</v>
      </c>
      <c r="AG178" s="77">
        <v>100</v>
      </c>
      <c r="AH178" s="96">
        <v>100</v>
      </c>
      <c r="AI178" s="96"/>
      <c r="AJ178" s="77">
        <v>85</v>
      </c>
      <c r="AK178" s="67">
        <f t="shared" si="21"/>
        <v>285</v>
      </c>
      <c r="AL178" s="68">
        <v>96</v>
      </c>
      <c r="AM178" s="68" t="s">
        <v>1217</v>
      </c>
      <c r="AN178" s="67">
        <f t="shared" si="22"/>
        <v>78.675</v>
      </c>
      <c r="AO178" s="114">
        <f t="shared" si="23"/>
        <v>84.1232142857143</v>
      </c>
      <c r="AP178" s="115">
        <f t="shared" si="24"/>
        <v>89.3546798029557</v>
      </c>
      <c r="AQ178" s="116">
        <v>89.4557366570789</v>
      </c>
      <c r="AR178" s="122" t="s">
        <v>1216</v>
      </c>
      <c r="AS178" s="68" t="s">
        <v>1216</v>
      </c>
    </row>
    <row r="179" ht="12.75" customHeight="1" spans="1:45">
      <c r="A179" s="96">
        <v>34</v>
      </c>
      <c r="B179" s="96">
        <v>35</v>
      </c>
      <c r="C179" s="120" t="s">
        <v>906</v>
      </c>
      <c r="D179" s="79">
        <v>252610130</v>
      </c>
      <c r="E179" s="121" t="s">
        <v>1218</v>
      </c>
      <c r="F179" s="122" t="s">
        <v>1219</v>
      </c>
      <c r="G179" s="86" t="s">
        <v>1219</v>
      </c>
      <c r="H179" s="123" t="s">
        <v>61</v>
      </c>
      <c r="I179" s="120" t="s">
        <v>809</v>
      </c>
      <c r="J179" s="130">
        <v>39930</v>
      </c>
      <c r="K179" s="120" t="s">
        <v>90</v>
      </c>
      <c r="L179" s="96" t="s">
        <v>63</v>
      </c>
      <c r="M179" s="133">
        <v>100</v>
      </c>
      <c r="N179" s="77"/>
      <c r="O179" s="77">
        <v>100</v>
      </c>
      <c r="P179" s="77"/>
      <c r="Q179" s="77"/>
      <c r="R179" s="77"/>
      <c r="S179" s="78"/>
      <c r="T179" s="77"/>
      <c r="U179" s="77">
        <v>100</v>
      </c>
      <c r="V179" s="77">
        <v>100</v>
      </c>
      <c r="W179" s="77"/>
      <c r="X179" s="77"/>
      <c r="AA179" s="68">
        <v>1</v>
      </c>
      <c r="AC179" s="77">
        <f t="shared" si="17"/>
        <v>400</v>
      </c>
      <c r="AD179" s="96">
        <f t="shared" si="18"/>
        <v>100</v>
      </c>
      <c r="AE179" s="77">
        <f t="shared" si="19"/>
        <v>340</v>
      </c>
      <c r="AF179" s="143">
        <f t="shared" si="20"/>
        <v>85.3214285714286</v>
      </c>
      <c r="AG179" s="77">
        <v>100</v>
      </c>
      <c r="AH179" s="96">
        <v>100</v>
      </c>
      <c r="AI179" s="96"/>
      <c r="AJ179" s="77">
        <v>85</v>
      </c>
      <c r="AK179" s="67">
        <f t="shared" si="21"/>
        <v>285</v>
      </c>
      <c r="AL179" s="68">
        <v>64</v>
      </c>
      <c r="AM179" s="68" t="s">
        <v>1220</v>
      </c>
      <c r="AN179" s="67">
        <f t="shared" si="22"/>
        <v>69.075</v>
      </c>
      <c r="AO179" s="114">
        <f t="shared" si="23"/>
        <v>77.1982142857143</v>
      </c>
      <c r="AP179" s="115">
        <f t="shared" si="24"/>
        <v>87.4443349753695</v>
      </c>
      <c r="AQ179" s="116">
        <v>87.8445509747523</v>
      </c>
      <c r="AR179" s="122" t="s">
        <v>1219</v>
      </c>
      <c r="AS179" s="68" t="s">
        <v>1219</v>
      </c>
    </row>
    <row r="180" ht="12.75" customHeight="1" spans="1:45">
      <c r="A180" s="96">
        <v>35</v>
      </c>
      <c r="B180" s="96">
        <v>36</v>
      </c>
      <c r="C180" s="120" t="s">
        <v>910</v>
      </c>
      <c r="D180" s="79">
        <v>252610131</v>
      </c>
      <c r="E180" s="121" t="s">
        <v>1221</v>
      </c>
      <c r="F180" s="122" t="s">
        <v>1222</v>
      </c>
      <c r="G180" s="91" t="s">
        <v>1222</v>
      </c>
      <c r="H180" s="123" t="s">
        <v>76</v>
      </c>
      <c r="I180" s="120" t="s">
        <v>801</v>
      </c>
      <c r="J180" s="130">
        <v>39600</v>
      </c>
      <c r="K180" s="120" t="s">
        <v>77</v>
      </c>
      <c r="L180" s="96" t="s">
        <v>63</v>
      </c>
      <c r="M180" s="133">
        <v>100</v>
      </c>
      <c r="N180" s="77"/>
      <c r="O180" s="77"/>
      <c r="P180" s="77"/>
      <c r="Q180" s="77"/>
      <c r="R180" s="77"/>
      <c r="S180" s="78"/>
      <c r="T180" s="77"/>
      <c r="U180" s="77"/>
      <c r="V180" s="77">
        <v>100</v>
      </c>
      <c r="W180" s="77"/>
      <c r="X180" s="77"/>
      <c r="Y180" s="67">
        <v>100</v>
      </c>
      <c r="Z180" s="67">
        <v>100</v>
      </c>
      <c r="AA180" s="68">
        <v>1</v>
      </c>
      <c r="AC180" s="77">
        <f t="shared" si="17"/>
        <v>400</v>
      </c>
      <c r="AD180" s="96">
        <f t="shared" si="18"/>
        <v>100</v>
      </c>
      <c r="AE180" s="77">
        <f t="shared" si="19"/>
        <v>340</v>
      </c>
      <c r="AF180" s="143">
        <f t="shared" si="20"/>
        <v>85.3214285714286</v>
      </c>
      <c r="AG180" s="77">
        <v>100</v>
      </c>
      <c r="AH180" s="96">
        <v>100</v>
      </c>
      <c r="AI180" s="96"/>
      <c r="AJ180" s="77">
        <v>85</v>
      </c>
      <c r="AK180" s="67">
        <f t="shared" si="21"/>
        <v>285</v>
      </c>
      <c r="AL180" s="68">
        <v>96</v>
      </c>
      <c r="AM180" s="68" t="s">
        <v>1223</v>
      </c>
      <c r="AN180" s="67">
        <f t="shared" si="22"/>
        <v>78.675</v>
      </c>
      <c r="AO180" s="114">
        <f t="shared" si="23"/>
        <v>81.9982142857143</v>
      </c>
      <c r="AP180" s="115">
        <f t="shared" si="24"/>
        <v>88.7684729064039</v>
      </c>
      <c r="AQ180" s="116">
        <v>88.9613294982423</v>
      </c>
      <c r="AR180" s="122" t="s">
        <v>1222</v>
      </c>
      <c r="AS180" s="68" t="s">
        <v>1222</v>
      </c>
    </row>
    <row r="181" ht="12.75" customHeight="1" spans="1:45">
      <c r="A181" s="96">
        <v>36</v>
      </c>
      <c r="B181" s="96"/>
      <c r="C181" s="120"/>
      <c r="D181" s="79">
        <v>252610132</v>
      </c>
      <c r="E181" s="121" t="s">
        <v>1224</v>
      </c>
      <c r="F181" s="122" t="s">
        <v>1225</v>
      </c>
      <c r="G181" s="86" t="s">
        <v>1225</v>
      </c>
      <c r="H181" s="123" t="s">
        <v>76</v>
      </c>
      <c r="I181" s="120"/>
      <c r="J181" s="130"/>
      <c r="K181" s="120"/>
      <c r="L181" s="96"/>
      <c r="M181" s="96">
        <v>100</v>
      </c>
      <c r="N181" s="77"/>
      <c r="O181" s="77"/>
      <c r="P181" s="77"/>
      <c r="Q181" s="77"/>
      <c r="R181" s="77"/>
      <c r="S181" s="78"/>
      <c r="T181" s="77"/>
      <c r="U181" s="77">
        <v>100</v>
      </c>
      <c r="V181" s="77">
        <v>100</v>
      </c>
      <c r="W181" s="77"/>
      <c r="X181" s="77"/>
      <c r="AC181" s="77">
        <f t="shared" si="17"/>
        <v>300</v>
      </c>
      <c r="AD181" s="96">
        <f t="shared" si="18"/>
        <v>0</v>
      </c>
      <c r="AE181" s="77">
        <f t="shared" si="19"/>
        <v>240</v>
      </c>
      <c r="AF181" s="143">
        <f t="shared" si="20"/>
        <v>82.2857142857143</v>
      </c>
      <c r="AG181" s="77">
        <v>100</v>
      </c>
      <c r="AH181" s="96">
        <v>0</v>
      </c>
      <c r="AI181" s="96"/>
      <c r="AJ181" s="77">
        <v>85</v>
      </c>
      <c r="AK181" s="67">
        <f t="shared" si="21"/>
        <v>185</v>
      </c>
      <c r="AL181" s="68">
        <v>100</v>
      </c>
      <c r="AM181" s="68" t="s">
        <v>1226</v>
      </c>
      <c r="AN181" s="67">
        <f t="shared" si="22"/>
        <v>62.375</v>
      </c>
      <c r="AO181" s="114">
        <f t="shared" si="23"/>
        <v>72.3303571428571</v>
      </c>
      <c r="AP181" s="115">
        <f t="shared" si="24"/>
        <v>86.1014778325123</v>
      </c>
      <c r="AQ181" s="116">
        <v>86.7119846596357</v>
      </c>
      <c r="AR181" s="122" t="s">
        <v>1225</v>
      </c>
      <c r="AS181" s="68" t="s">
        <v>1225</v>
      </c>
    </row>
    <row r="182" ht="12.75" customHeight="1" spans="1:45">
      <c r="A182" s="96">
        <v>37</v>
      </c>
      <c r="B182" s="96"/>
      <c r="C182" s="120"/>
      <c r="D182" s="79">
        <v>252610133</v>
      </c>
      <c r="E182" s="121" t="s">
        <v>1227</v>
      </c>
      <c r="F182" s="122" t="s">
        <v>1228</v>
      </c>
      <c r="G182" s="86" t="s">
        <v>1228</v>
      </c>
      <c r="H182" s="123" t="s">
        <v>76</v>
      </c>
      <c r="I182" s="120"/>
      <c r="J182" s="130"/>
      <c r="K182" s="120"/>
      <c r="L182" s="96"/>
      <c r="M182" s="96">
        <v>100</v>
      </c>
      <c r="N182" s="77"/>
      <c r="O182" s="77">
        <v>100</v>
      </c>
      <c r="P182" s="77"/>
      <c r="Q182" s="77"/>
      <c r="R182" s="77"/>
      <c r="S182" s="78"/>
      <c r="T182" s="77"/>
      <c r="U182" s="77">
        <v>100</v>
      </c>
      <c r="V182" s="77">
        <v>100</v>
      </c>
      <c r="W182" s="77"/>
      <c r="X182" s="77"/>
      <c r="Y182" s="67">
        <v>100</v>
      </c>
      <c r="Z182" s="67">
        <v>100</v>
      </c>
      <c r="AA182" s="68">
        <v>1</v>
      </c>
      <c r="AC182" s="77">
        <f t="shared" si="17"/>
        <v>600</v>
      </c>
      <c r="AD182" s="96">
        <f t="shared" si="18"/>
        <v>100</v>
      </c>
      <c r="AE182" s="77">
        <f t="shared" si="19"/>
        <v>500</v>
      </c>
      <c r="AF182" s="143">
        <f t="shared" si="20"/>
        <v>90.1785714285714</v>
      </c>
      <c r="AG182" s="77">
        <v>100</v>
      </c>
      <c r="AH182" s="96">
        <v>100</v>
      </c>
      <c r="AI182" s="96"/>
      <c r="AJ182" s="77">
        <v>85</v>
      </c>
      <c r="AK182" s="67">
        <f t="shared" si="21"/>
        <v>285</v>
      </c>
      <c r="AL182" s="68">
        <v>100</v>
      </c>
      <c r="AM182" s="68" t="s">
        <v>1229</v>
      </c>
      <c r="AN182" s="67">
        <f t="shared" si="22"/>
        <v>79.875</v>
      </c>
      <c r="AO182" s="114">
        <f t="shared" si="23"/>
        <v>85.0267857142857</v>
      </c>
      <c r="AP182" s="115">
        <f t="shared" si="24"/>
        <v>89.6039408866995</v>
      </c>
      <c r="AQ182" s="116">
        <v>89.6659635666347</v>
      </c>
      <c r="AR182" s="122" t="s">
        <v>1228</v>
      </c>
      <c r="AS182" s="68" t="s">
        <v>1228</v>
      </c>
    </row>
    <row r="183" ht="12.75" customHeight="1" spans="1:45">
      <c r="A183" s="96">
        <v>38</v>
      </c>
      <c r="B183" s="96"/>
      <c r="C183" s="120"/>
      <c r="D183" s="79">
        <v>252610134</v>
      </c>
      <c r="E183" s="121" t="s">
        <v>1230</v>
      </c>
      <c r="F183" s="122" t="s">
        <v>1231</v>
      </c>
      <c r="G183" s="86" t="s">
        <v>1231</v>
      </c>
      <c r="H183" s="123" t="s">
        <v>61</v>
      </c>
      <c r="I183" s="120"/>
      <c r="J183" s="130"/>
      <c r="K183" s="120"/>
      <c r="L183" s="96"/>
      <c r="M183" s="96">
        <v>100</v>
      </c>
      <c r="N183" s="77"/>
      <c r="O183" s="77">
        <v>100</v>
      </c>
      <c r="P183" s="77"/>
      <c r="Q183" s="77"/>
      <c r="R183" s="77"/>
      <c r="S183" s="78"/>
      <c r="T183" s="77"/>
      <c r="U183" s="77">
        <v>100</v>
      </c>
      <c r="V183" s="77">
        <v>100</v>
      </c>
      <c r="W183" s="77"/>
      <c r="X183" s="77"/>
      <c r="Y183" s="67">
        <v>100</v>
      </c>
      <c r="Z183" s="67">
        <v>100</v>
      </c>
      <c r="AA183" s="68">
        <v>1</v>
      </c>
      <c r="AC183" s="77">
        <f t="shared" si="17"/>
        <v>600</v>
      </c>
      <c r="AD183" s="96">
        <f t="shared" si="18"/>
        <v>100</v>
      </c>
      <c r="AE183" s="77">
        <f t="shared" si="19"/>
        <v>500</v>
      </c>
      <c r="AF183" s="143">
        <f t="shared" si="20"/>
        <v>90.1785714285714</v>
      </c>
      <c r="AG183" s="77">
        <v>100</v>
      </c>
      <c r="AH183" s="96">
        <v>100</v>
      </c>
      <c r="AI183" s="96"/>
      <c r="AJ183" s="77">
        <v>85</v>
      </c>
      <c r="AK183" s="67">
        <f t="shared" si="21"/>
        <v>285</v>
      </c>
      <c r="AL183" s="68">
        <v>80</v>
      </c>
      <c r="AM183" s="68" t="s">
        <v>1232</v>
      </c>
      <c r="AN183" s="67">
        <f t="shared" si="22"/>
        <v>73.875</v>
      </c>
      <c r="AO183" s="114">
        <f t="shared" si="23"/>
        <v>82.0267857142857</v>
      </c>
      <c r="AP183" s="115">
        <f t="shared" si="24"/>
        <v>88.7763546798029</v>
      </c>
      <c r="AQ183" s="116">
        <v>88.9679769894535</v>
      </c>
      <c r="AR183" s="122" t="s">
        <v>1231</v>
      </c>
      <c r="AS183" s="68" t="s">
        <v>1231</v>
      </c>
    </row>
    <row r="184" ht="12.75" customHeight="1" spans="1:45">
      <c r="A184" s="96">
        <v>39</v>
      </c>
      <c r="B184" s="96"/>
      <c r="C184" s="120"/>
      <c r="D184" s="79">
        <v>252610135</v>
      </c>
      <c r="E184" s="121" t="s">
        <v>1233</v>
      </c>
      <c r="F184" s="122" t="s">
        <v>1234</v>
      </c>
      <c r="G184" s="86" t="s">
        <v>1234</v>
      </c>
      <c r="H184" s="123" t="s">
        <v>76</v>
      </c>
      <c r="I184" s="120"/>
      <c r="J184" s="130"/>
      <c r="K184" s="120"/>
      <c r="L184" s="96"/>
      <c r="M184" s="96">
        <v>100</v>
      </c>
      <c r="N184" s="77"/>
      <c r="O184" s="77"/>
      <c r="P184" s="77"/>
      <c r="Q184" s="77"/>
      <c r="R184" s="77"/>
      <c r="S184" s="78"/>
      <c r="T184" s="77"/>
      <c r="U184" s="77"/>
      <c r="V184" s="77">
        <v>100</v>
      </c>
      <c r="W184" s="77"/>
      <c r="X184" s="77"/>
      <c r="Z184" s="67">
        <v>100</v>
      </c>
      <c r="AA184" s="68">
        <v>1</v>
      </c>
      <c r="AC184" s="77">
        <f t="shared" si="17"/>
        <v>300</v>
      </c>
      <c r="AD184" s="96">
        <f t="shared" si="18"/>
        <v>100</v>
      </c>
      <c r="AE184" s="77">
        <f t="shared" si="19"/>
        <v>260</v>
      </c>
      <c r="AF184" s="143">
        <f t="shared" si="20"/>
        <v>82.8928571428571</v>
      </c>
      <c r="AG184" s="77">
        <v>100</v>
      </c>
      <c r="AH184" s="96">
        <v>100</v>
      </c>
      <c r="AI184" s="96"/>
      <c r="AJ184" s="77">
        <v>85</v>
      </c>
      <c r="AK184" s="67">
        <f t="shared" si="21"/>
        <v>285</v>
      </c>
      <c r="AL184" s="68">
        <v>100</v>
      </c>
      <c r="AM184" s="68" t="s">
        <v>1235</v>
      </c>
      <c r="AN184" s="67">
        <f t="shared" si="22"/>
        <v>79.875</v>
      </c>
      <c r="AO184" s="114">
        <f t="shared" si="23"/>
        <v>81.3839285714286</v>
      </c>
      <c r="AP184" s="115">
        <f t="shared" si="24"/>
        <v>88.5990147783251</v>
      </c>
      <c r="AQ184" s="116">
        <v>88.8184084372004</v>
      </c>
      <c r="AR184" s="122" t="s">
        <v>1234</v>
      </c>
      <c r="AS184" s="68" t="s">
        <v>1234</v>
      </c>
    </row>
    <row r="185" ht="12.75" customHeight="1" spans="1:45">
      <c r="A185" s="96">
        <v>40</v>
      </c>
      <c r="B185" s="96"/>
      <c r="C185" s="120"/>
      <c r="D185" s="79">
        <v>252610136</v>
      </c>
      <c r="E185" s="121" t="s">
        <v>1236</v>
      </c>
      <c r="F185" s="122" t="s">
        <v>1237</v>
      </c>
      <c r="G185" s="86" t="s">
        <v>1237</v>
      </c>
      <c r="H185" s="123" t="s">
        <v>76</v>
      </c>
      <c r="I185" s="120"/>
      <c r="J185" s="130"/>
      <c r="K185" s="120"/>
      <c r="L185" s="96"/>
      <c r="M185" s="96">
        <v>100</v>
      </c>
      <c r="N185" s="77"/>
      <c r="O185" s="77">
        <v>100</v>
      </c>
      <c r="P185" s="77"/>
      <c r="Q185" s="77"/>
      <c r="R185" s="77"/>
      <c r="S185" s="78"/>
      <c r="T185" s="77"/>
      <c r="U185" s="77">
        <v>100</v>
      </c>
      <c r="V185" s="77">
        <v>100</v>
      </c>
      <c r="W185" s="77"/>
      <c r="X185" s="77"/>
      <c r="AC185" s="77">
        <f t="shared" si="17"/>
        <v>400</v>
      </c>
      <c r="AD185" s="96">
        <f t="shared" si="18"/>
        <v>0</v>
      </c>
      <c r="AE185" s="77">
        <f t="shared" si="19"/>
        <v>320</v>
      </c>
      <c r="AF185" s="143">
        <f t="shared" si="20"/>
        <v>84.7142857142857</v>
      </c>
      <c r="AG185" s="77">
        <v>100</v>
      </c>
      <c r="AH185" s="96">
        <v>100</v>
      </c>
      <c r="AI185" s="96"/>
      <c r="AJ185" s="77">
        <v>85</v>
      </c>
      <c r="AK185" s="67">
        <f t="shared" si="21"/>
        <v>285</v>
      </c>
      <c r="AL185" s="68">
        <v>100</v>
      </c>
      <c r="AM185" s="68" t="s">
        <v>1238</v>
      </c>
      <c r="AN185" s="67">
        <f t="shared" si="22"/>
        <v>79.875</v>
      </c>
      <c r="AO185" s="114">
        <f t="shared" si="23"/>
        <v>82.2946428571429</v>
      </c>
      <c r="AP185" s="115">
        <f t="shared" si="24"/>
        <v>88.8502463054187</v>
      </c>
      <c r="AQ185" s="116">
        <v>89.0302972195589</v>
      </c>
      <c r="AR185" s="122" t="s">
        <v>1237</v>
      </c>
      <c r="AS185" s="68" t="s">
        <v>1237</v>
      </c>
    </row>
    <row r="186" ht="12.75" customHeight="1" spans="1:45">
      <c r="A186" s="96">
        <v>41</v>
      </c>
      <c r="B186" s="96"/>
      <c r="C186" s="120"/>
      <c r="D186" s="79">
        <v>252610137</v>
      </c>
      <c r="E186" s="121" t="s">
        <v>1239</v>
      </c>
      <c r="F186" s="122" t="s">
        <v>1240</v>
      </c>
      <c r="G186" s="86" t="s">
        <v>1240</v>
      </c>
      <c r="H186" s="123" t="s">
        <v>61</v>
      </c>
      <c r="I186" s="120"/>
      <c r="J186" s="130"/>
      <c r="K186" s="120"/>
      <c r="L186" s="96"/>
      <c r="M186" s="96">
        <v>100</v>
      </c>
      <c r="N186" s="77"/>
      <c r="O186" s="77"/>
      <c r="P186" s="77"/>
      <c r="Q186" s="77"/>
      <c r="R186" s="77"/>
      <c r="S186" s="78"/>
      <c r="T186" s="77"/>
      <c r="U186" s="77">
        <v>100</v>
      </c>
      <c r="V186" s="77"/>
      <c r="W186" s="77"/>
      <c r="X186" s="77"/>
      <c r="Y186" s="67">
        <v>100</v>
      </c>
      <c r="Z186" s="67">
        <v>100</v>
      </c>
      <c r="AC186" s="77">
        <f t="shared" si="17"/>
        <v>400</v>
      </c>
      <c r="AD186" s="96">
        <f t="shared" si="18"/>
        <v>0</v>
      </c>
      <c r="AE186" s="77">
        <f t="shared" si="19"/>
        <v>320</v>
      </c>
      <c r="AF186" s="143">
        <f t="shared" si="20"/>
        <v>84.7142857142857</v>
      </c>
      <c r="AG186" s="77">
        <v>100</v>
      </c>
      <c r="AH186" s="96">
        <v>100</v>
      </c>
      <c r="AI186" s="96"/>
      <c r="AJ186" s="77">
        <v>85</v>
      </c>
      <c r="AK186" s="67">
        <f t="shared" si="21"/>
        <v>285</v>
      </c>
      <c r="AL186" s="68">
        <v>100</v>
      </c>
      <c r="AM186" s="68" t="s">
        <v>1241</v>
      </c>
      <c r="AN186" s="67">
        <f t="shared" si="22"/>
        <v>79.875</v>
      </c>
      <c r="AO186" s="114">
        <f t="shared" si="23"/>
        <v>82.2946428571429</v>
      </c>
      <c r="AP186" s="115">
        <f t="shared" si="24"/>
        <v>88.8502463054187</v>
      </c>
      <c r="AQ186" s="116">
        <v>89.0302972195589</v>
      </c>
      <c r="AR186" s="122" t="s">
        <v>1240</v>
      </c>
      <c r="AS186" s="68" t="s">
        <v>1240</v>
      </c>
    </row>
    <row r="187" ht="12.75" customHeight="1" spans="1:45">
      <c r="A187" s="96">
        <v>42</v>
      </c>
      <c r="B187" s="96"/>
      <c r="C187" s="120"/>
      <c r="D187" s="79">
        <v>252610138</v>
      </c>
      <c r="E187" s="121" t="s">
        <v>1242</v>
      </c>
      <c r="F187" s="122" t="s">
        <v>1243</v>
      </c>
      <c r="G187" s="86" t="s">
        <v>1243</v>
      </c>
      <c r="H187" s="123" t="s">
        <v>61</v>
      </c>
      <c r="I187" s="120"/>
      <c r="J187" s="130"/>
      <c r="K187" s="120"/>
      <c r="L187" s="96"/>
      <c r="M187" s="96">
        <v>100</v>
      </c>
      <c r="N187" s="77"/>
      <c r="O187" s="77"/>
      <c r="P187" s="77"/>
      <c r="Q187" s="77"/>
      <c r="R187" s="77"/>
      <c r="S187" s="78"/>
      <c r="T187" s="77"/>
      <c r="U187" s="77">
        <v>100</v>
      </c>
      <c r="V187" s="77"/>
      <c r="W187" s="77"/>
      <c r="X187" s="77"/>
      <c r="AA187" s="68">
        <v>1</v>
      </c>
      <c r="AC187" s="77">
        <f t="shared" si="17"/>
        <v>200</v>
      </c>
      <c r="AD187" s="96">
        <f t="shared" si="18"/>
        <v>100</v>
      </c>
      <c r="AE187" s="77">
        <f t="shared" si="19"/>
        <v>180</v>
      </c>
      <c r="AF187" s="143">
        <f t="shared" si="20"/>
        <v>80.4642857142857</v>
      </c>
      <c r="AG187" s="77">
        <v>100</v>
      </c>
      <c r="AH187" s="96">
        <v>100</v>
      </c>
      <c r="AI187" s="96"/>
      <c r="AJ187" s="77">
        <v>85</v>
      </c>
      <c r="AK187" s="67">
        <f t="shared" si="21"/>
        <v>285</v>
      </c>
      <c r="AL187" s="68">
        <v>100</v>
      </c>
      <c r="AM187" s="68" t="s">
        <v>1244</v>
      </c>
      <c r="AN187" s="67">
        <f t="shared" si="22"/>
        <v>79.875</v>
      </c>
      <c r="AO187" s="114">
        <f t="shared" si="23"/>
        <v>80.1696428571429</v>
      </c>
      <c r="AP187" s="115">
        <f t="shared" si="24"/>
        <v>88.264039408867</v>
      </c>
      <c r="AQ187" s="116">
        <v>88.5358900607223</v>
      </c>
      <c r="AR187" s="122" t="s">
        <v>1243</v>
      </c>
      <c r="AS187" s="68" t="s">
        <v>1243</v>
      </c>
    </row>
    <row r="188" ht="12.75" customHeight="1" spans="1:45">
      <c r="A188" s="96">
        <v>43</v>
      </c>
      <c r="B188" s="96"/>
      <c r="C188" s="120"/>
      <c r="D188" s="79">
        <v>252610139</v>
      </c>
      <c r="E188" s="121" t="s">
        <v>1245</v>
      </c>
      <c r="F188" s="122" t="s">
        <v>1246</v>
      </c>
      <c r="G188" s="86" t="s">
        <v>1246</v>
      </c>
      <c r="H188" s="123" t="s">
        <v>61</v>
      </c>
      <c r="I188" s="120"/>
      <c r="J188" s="130"/>
      <c r="K188" s="120"/>
      <c r="L188" s="96"/>
      <c r="M188" s="96">
        <v>100</v>
      </c>
      <c r="N188" s="77"/>
      <c r="O188" s="77"/>
      <c r="P188" s="77"/>
      <c r="Q188" s="77"/>
      <c r="R188" s="77"/>
      <c r="S188" s="78"/>
      <c r="T188" s="77"/>
      <c r="U188" s="77">
        <v>100</v>
      </c>
      <c r="V188" s="77">
        <v>100</v>
      </c>
      <c r="W188" s="77"/>
      <c r="X188" s="77"/>
      <c r="Y188" s="67">
        <v>100</v>
      </c>
      <c r="Z188" s="67">
        <v>100</v>
      </c>
      <c r="AC188" s="77">
        <f t="shared" si="17"/>
        <v>500</v>
      </c>
      <c r="AD188" s="96">
        <f t="shared" si="18"/>
        <v>0</v>
      </c>
      <c r="AE188" s="77">
        <f t="shared" si="19"/>
        <v>400</v>
      </c>
      <c r="AF188" s="143">
        <f t="shared" si="20"/>
        <v>87.1428571428571</v>
      </c>
      <c r="AG188" s="77">
        <v>100</v>
      </c>
      <c r="AH188" s="96">
        <v>100</v>
      </c>
      <c r="AI188" s="96"/>
      <c r="AJ188" s="77">
        <v>85</v>
      </c>
      <c r="AK188" s="67">
        <f t="shared" si="21"/>
        <v>285</v>
      </c>
      <c r="AL188" s="68">
        <v>100</v>
      </c>
      <c r="AM188" s="68" t="s">
        <v>1247</v>
      </c>
      <c r="AN188" s="67">
        <f t="shared" si="22"/>
        <v>79.875</v>
      </c>
      <c r="AO188" s="114">
        <f t="shared" si="23"/>
        <v>83.5089285714286</v>
      </c>
      <c r="AP188" s="115">
        <f t="shared" si="24"/>
        <v>89.1852216748768</v>
      </c>
      <c r="AQ188" s="116">
        <v>89.3128155960371</v>
      </c>
      <c r="AR188" s="122" t="s">
        <v>1246</v>
      </c>
      <c r="AS188" s="68" t="s">
        <v>1246</v>
      </c>
    </row>
    <row r="189" ht="12.75" customHeight="1" spans="1:45">
      <c r="A189" s="96">
        <v>44</v>
      </c>
      <c r="B189" s="96"/>
      <c r="C189" s="120"/>
      <c r="D189" s="79">
        <v>252610140</v>
      </c>
      <c r="E189" s="121" t="s">
        <v>1248</v>
      </c>
      <c r="F189" s="122" t="s">
        <v>1249</v>
      </c>
      <c r="G189" s="86" t="s">
        <v>1249</v>
      </c>
      <c r="H189" s="123" t="s">
        <v>61</v>
      </c>
      <c r="I189" s="120"/>
      <c r="J189" s="130"/>
      <c r="K189" s="120"/>
      <c r="L189" s="96"/>
      <c r="M189" s="96">
        <v>100</v>
      </c>
      <c r="N189" s="77"/>
      <c r="O189" s="77"/>
      <c r="P189" s="77"/>
      <c r="Q189" s="77"/>
      <c r="R189" s="77"/>
      <c r="S189" s="78"/>
      <c r="T189" s="77"/>
      <c r="U189" s="77">
        <v>100</v>
      </c>
      <c r="V189" s="77">
        <v>100</v>
      </c>
      <c r="W189" s="77"/>
      <c r="X189" s="77"/>
      <c r="Y189" s="67">
        <v>100</v>
      </c>
      <c r="AA189" s="68">
        <v>1</v>
      </c>
      <c r="AC189" s="77">
        <f t="shared" si="17"/>
        <v>400</v>
      </c>
      <c r="AD189" s="96">
        <f t="shared" si="18"/>
        <v>100</v>
      </c>
      <c r="AE189" s="77">
        <f t="shared" si="19"/>
        <v>340</v>
      </c>
      <c r="AF189" s="143">
        <f t="shared" si="20"/>
        <v>85.3214285714286</v>
      </c>
      <c r="AG189" s="77">
        <v>100</v>
      </c>
      <c r="AH189" s="96">
        <v>100</v>
      </c>
      <c r="AI189" s="96"/>
      <c r="AJ189" s="77">
        <v>85</v>
      </c>
      <c r="AK189" s="67">
        <f t="shared" si="21"/>
        <v>285</v>
      </c>
      <c r="AL189" s="68">
        <v>72</v>
      </c>
      <c r="AM189" s="68" t="s">
        <v>1250</v>
      </c>
      <c r="AN189" s="67">
        <f t="shared" si="22"/>
        <v>71.475</v>
      </c>
      <c r="AO189" s="114">
        <f t="shared" si="23"/>
        <v>78.3982142857143</v>
      </c>
      <c r="AP189" s="115">
        <f t="shared" si="24"/>
        <v>87.7753694581281</v>
      </c>
      <c r="AQ189" s="116">
        <v>87.78</v>
      </c>
      <c r="AR189" s="122" t="s">
        <v>1249</v>
      </c>
      <c r="AS189" s="68" t="s">
        <v>1249</v>
      </c>
    </row>
    <row r="190" ht="12.75" customHeight="1" spans="1:45">
      <c r="A190" s="96">
        <v>45</v>
      </c>
      <c r="B190" s="96"/>
      <c r="C190" s="120"/>
      <c r="D190" s="79">
        <v>252610141</v>
      </c>
      <c r="E190" s="121" t="s">
        <v>1251</v>
      </c>
      <c r="F190" s="122" t="s">
        <v>1252</v>
      </c>
      <c r="G190" s="86" t="s">
        <v>1252</v>
      </c>
      <c r="H190" s="123" t="s">
        <v>61</v>
      </c>
      <c r="I190" s="120"/>
      <c r="J190" s="130"/>
      <c r="K190" s="120"/>
      <c r="L190" s="96"/>
      <c r="M190" s="96">
        <v>100</v>
      </c>
      <c r="N190" s="77"/>
      <c r="O190" s="77"/>
      <c r="P190" s="77"/>
      <c r="Q190" s="77"/>
      <c r="R190" s="77"/>
      <c r="S190" s="78"/>
      <c r="T190" s="77"/>
      <c r="U190" s="77">
        <v>100</v>
      </c>
      <c r="V190" s="77"/>
      <c r="W190" s="77"/>
      <c r="X190" s="77"/>
      <c r="Y190" s="67">
        <v>100</v>
      </c>
      <c r="AC190" s="77">
        <f t="shared" si="17"/>
        <v>300</v>
      </c>
      <c r="AD190" s="96">
        <f t="shared" si="18"/>
        <v>0</v>
      </c>
      <c r="AE190" s="77">
        <f t="shared" si="19"/>
        <v>240</v>
      </c>
      <c r="AF190" s="143">
        <f t="shared" si="20"/>
        <v>82.2857142857143</v>
      </c>
      <c r="AG190" s="77">
        <v>100</v>
      </c>
      <c r="AH190" s="96">
        <v>100</v>
      </c>
      <c r="AI190" s="96"/>
      <c r="AJ190" s="77">
        <v>85</v>
      </c>
      <c r="AK190" s="67">
        <f t="shared" si="21"/>
        <v>285</v>
      </c>
      <c r="AL190" s="68">
        <v>84</v>
      </c>
      <c r="AM190" s="68" t="s">
        <v>1253</v>
      </c>
      <c r="AN190" s="67">
        <f t="shared" si="22"/>
        <v>75.075</v>
      </c>
      <c r="AO190" s="114">
        <f t="shared" si="23"/>
        <v>78.6803571428571</v>
      </c>
      <c r="AP190" s="115">
        <f t="shared" si="24"/>
        <v>87.8532019704434</v>
      </c>
      <c r="AQ190" s="116">
        <v>88.1893895813359</v>
      </c>
      <c r="AR190" s="122" t="s">
        <v>1252</v>
      </c>
      <c r="AS190" s="68" t="s">
        <v>1252</v>
      </c>
    </row>
    <row r="191" ht="12.75" customHeight="1" spans="1:45">
      <c r="A191" s="96">
        <v>46</v>
      </c>
      <c r="B191" s="96"/>
      <c r="C191" s="120"/>
      <c r="D191" s="79">
        <v>252610142</v>
      </c>
      <c r="E191" s="121" t="s">
        <v>1254</v>
      </c>
      <c r="F191" s="122" t="s">
        <v>1255</v>
      </c>
      <c r="G191" s="86" t="s">
        <v>1255</v>
      </c>
      <c r="H191" s="123" t="s">
        <v>76</v>
      </c>
      <c r="I191" s="120"/>
      <c r="J191" s="130"/>
      <c r="K191" s="120"/>
      <c r="L191" s="96"/>
      <c r="M191" s="96"/>
      <c r="N191" s="77"/>
      <c r="O191" s="77"/>
      <c r="P191" s="77"/>
      <c r="Q191" s="77"/>
      <c r="R191" s="77"/>
      <c r="S191" s="78"/>
      <c r="T191" s="77"/>
      <c r="U191" s="77"/>
      <c r="V191" s="77"/>
      <c r="W191" s="77"/>
      <c r="X191" s="77"/>
      <c r="AC191" s="77">
        <f t="shared" si="17"/>
        <v>0</v>
      </c>
      <c r="AD191" s="96">
        <f t="shared" si="18"/>
        <v>0</v>
      </c>
      <c r="AE191" s="77">
        <f t="shared" si="19"/>
        <v>0</v>
      </c>
      <c r="AF191" s="143">
        <v>0</v>
      </c>
      <c r="AG191" s="77">
        <v>100</v>
      </c>
      <c r="AH191" s="96">
        <v>100</v>
      </c>
      <c r="AI191" s="96"/>
      <c r="AJ191" s="77">
        <v>85</v>
      </c>
      <c r="AK191" s="67">
        <f t="shared" si="21"/>
        <v>285</v>
      </c>
      <c r="AL191" s="68">
        <v>96</v>
      </c>
      <c r="AM191" s="68" t="s">
        <v>1256</v>
      </c>
      <c r="AN191" s="67">
        <f t="shared" si="22"/>
        <v>78.675</v>
      </c>
      <c r="AO191" s="114">
        <f t="shared" si="23"/>
        <v>39.3375</v>
      </c>
      <c r="AP191" s="115">
        <f t="shared" si="24"/>
        <v>77</v>
      </c>
      <c r="AQ191" s="116">
        <v>77</v>
      </c>
      <c r="AR191" s="122" t="s">
        <v>1255</v>
      </c>
      <c r="AS191" s="68" t="s">
        <v>1257</v>
      </c>
    </row>
    <row r="192" ht="12.75" customHeight="1" spans="1:45">
      <c r="A192" s="96">
        <v>47</v>
      </c>
      <c r="B192" s="96"/>
      <c r="C192" s="120"/>
      <c r="D192" s="79">
        <v>252610143</v>
      </c>
      <c r="E192" s="124" t="s">
        <v>1258</v>
      </c>
      <c r="F192" s="140" t="s">
        <v>1259</v>
      </c>
      <c r="G192" s="86" t="s">
        <v>1259</v>
      </c>
      <c r="H192" s="123" t="s">
        <v>61</v>
      </c>
      <c r="I192" s="120"/>
      <c r="J192" s="130"/>
      <c r="K192" s="120"/>
      <c r="L192" s="96"/>
      <c r="M192" s="96">
        <v>100</v>
      </c>
      <c r="N192" s="77"/>
      <c r="O192" s="77"/>
      <c r="P192" s="77"/>
      <c r="Q192" s="77"/>
      <c r="R192" s="77"/>
      <c r="S192" s="78"/>
      <c r="T192" s="77"/>
      <c r="U192" s="77">
        <v>100</v>
      </c>
      <c r="V192" s="77">
        <v>100</v>
      </c>
      <c r="W192" s="77"/>
      <c r="X192" s="77"/>
      <c r="Y192" s="67">
        <v>100</v>
      </c>
      <c r="AA192" s="68">
        <v>1</v>
      </c>
      <c r="AC192" s="77">
        <f t="shared" si="17"/>
        <v>400</v>
      </c>
      <c r="AD192" s="96">
        <f t="shared" si="18"/>
        <v>100</v>
      </c>
      <c r="AE192" s="77">
        <f t="shared" si="19"/>
        <v>340</v>
      </c>
      <c r="AF192" s="143">
        <f>75+((AE192-$AE$195)/($AE$194-$AE$195)*(92-75))</f>
        <v>85.3214285714286</v>
      </c>
      <c r="AG192" s="77">
        <v>100</v>
      </c>
      <c r="AH192" s="96">
        <v>100</v>
      </c>
      <c r="AI192" s="96"/>
      <c r="AJ192" s="77">
        <v>85</v>
      </c>
      <c r="AK192" s="67">
        <f t="shared" si="21"/>
        <v>285</v>
      </c>
      <c r="AL192" s="68">
        <v>88</v>
      </c>
      <c r="AM192" s="68" t="s">
        <v>1260</v>
      </c>
      <c r="AN192" s="67">
        <f t="shared" si="22"/>
        <v>76.275</v>
      </c>
      <c r="AO192" s="114">
        <f t="shared" si="23"/>
        <v>80.7982142857143</v>
      </c>
      <c r="AP192" s="115">
        <f t="shared" si="24"/>
        <v>88.4374384236453</v>
      </c>
      <c r="AQ192" s="116">
        <v>88.6821348673698</v>
      </c>
      <c r="AR192" s="140" t="s">
        <v>1259</v>
      </c>
      <c r="AS192" s="68" t="s">
        <v>1259</v>
      </c>
    </row>
    <row r="193" ht="12.75" customHeight="1" spans="1:45">
      <c r="A193" s="96">
        <v>48</v>
      </c>
      <c r="B193" s="96"/>
      <c r="C193" s="120"/>
      <c r="D193" s="79">
        <v>252610144</v>
      </c>
      <c r="E193" s="121" t="s">
        <v>1261</v>
      </c>
      <c r="F193" s="122" t="s">
        <v>1262</v>
      </c>
      <c r="G193" s="86" t="s">
        <v>1262</v>
      </c>
      <c r="H193" s="123" t="s">
        <v>61</v>
      </c>
      <c r="I193" s="120"/>
      <c r="J193" s="130"/>
      <c r="K193" s="120"/>
      <c r="L193" s="96"/>
      <c r="M193" s="96">
        <v>100</v>
      </c>
      <c r="N193" s="77"/>
      <c r="O193" s="77">
        <v>100</v>
      </c>
      <c r="P193" s="77"/>
      <c r="Q193" s="77"/>
      <c r="R193" s="77"/>
      <c r="S193" s="78"/>
      <c r="T193" s="77"/>
      <c r="U193" s="77">
        <v>100</v>
      </c>
      <c r="V193" s="77">
        <v>100</v>
      </c>
      <c r="W193" s="77"/>
      <c r="X193" s="77"/>
      <c r="Y193" s="67">
        <v>100</v>
      </c>
      <c r="AC193" s="77">
        <f t="shared" si="17"/>
        <v>500</v>
      </c>
      <c r="AD193" s="96">
        <f t="shared" si="18"/>
        <v>0</v>
      </c>
      <c r="AE193" s="77">
        <f t="shared" si="19"/>
        <v>400</v>
      </c>
      <c r="AF193" s="143">
        <f>75+((AE193-$AE$195)/($AE$194-$AE$195)*(92-75))</f>
        <v>87.1428571428571</v>
      </c>
      <c r="AG193" s="77">
        <v>100</v>
      </c>
      <c r="AH193" s="96">
        <v>100</v>
      </c>
      <c r="AI193" s="96"/>
      <c r="AJ193" s="77">
        <v>85</v>
      </c>
      <c r="AK193" s="67">
        <f t="shared" si="21"/>
        <v>285</v>
      </c>
      <c r="AL193" s="68">
        <v>76</v>
      </c>
      <c r="AM193" s="68" t="s">
        <v>1263</v>
      </c>
      <c r="AN193" s="67">
        <f t="shared" si="22"/>
        <v>72.675</v>
      </c>
      <c r="AO193" s="114">
        <f t="shared" si="23"/>
        <v>79.9089285714286</v>
      </c>
      <c r="AP193" s="115">
        <f t="shared" si="24"/>
        <v>88.192118226601</v>
      </c>
      <c r="AQ193" s="116">
        <v>88.4752317034196</v>
      </c>
      <c r="AR193" s="122" t="s">
        <v>1262</v>
      </c>
      <c r="AS193" s="68" t="s">
        <v>1262</v>
      </c>
    </row>
    <row r="194" ht="12.75" customHeight="1" spans="4:37">
      <c r="D194" s="80"/>
      <c r="E194" s="146"/>
      <c r="F194" s="127" t="s">
        <v>953</v>
      </c>
      <c r="G194" s="128"/>
      <c r="H194" s="129">
        <f>COUNTIF(H146:H193,"L")</f>
        <v>20</v>
      </c>
      <c r="J194" s="98"/>
      <c r="AE194" s="68">
        <f>MAX(AE146:AE193)</f>
        <v>560</v>
      </c>
      <c r="AF194" s="147">
        <f>75+((AE194-$AE$195)/($AE$194-$AE$195)*(92-75))</f>
        <v>92</v>
      </c>
      <c r="AH194" s="67">
        <f>COUNT(AG146:AG193)</f>
        <v>48</v>
      </c>
      <c r="AI194" s="65">
        <f>COUNT(AH146:AH193)</f>
        <v>48</v>
      </c>
      <c r="AK194" s="67"/>
    </row>
    <row r="195" ht="12.75" customHeight="1" spans="4:42">
      <c r="D195" s="81"/>
      <c r="E195" s="146"/>
      <c r="F195" s="127" t="s">
        <v>285</v>
      </c>
      <c r="G195" s="128"/>
      <c r="H195" s="129">
        <f>COUNTIF(H146:H193,"P")</f>
        <v>28</v>
      </c>
      <c r="J195" s="98"/>
      <c r="AE195" s="68">
        <f>MIN(AE146:AE193)</f>
        <v>0</v>
      </c>
      <c r="AF195" s="147">
        <f>75+((AE195-$AE$195)/($AE$194-$AE$195)*(92-75))</f>
        <v>75</v>
      </c>
      <c r="AH195" s="67">
        <f>COUNTIF(AG146:AG193,100)</f>
        <v>39</v>
      </c>
      <c r="AI195" s="65">
        <f>COUNTIF(AH146:AH193,100)</f>
        <v>42</v>
      </c>
      <c r="AK195" s="67"/>
      <c r="AO195" s="68">
        <f>MAX(AO146:AO193)</f>
        <v>86.4625</v>
      </c>
      <c r="AP195" s="67">
        <f>MAX(AP146:AP193)</f>
        <v>90</v>
      </c>
    </row>
    <row r="196" ht="12.75" customHeight="1" spans="4:42">
      <c r="D196" s="65" t="s">
        <v>525</v>
      </c>
      <c r="G196" s="94" t="s">
        <v>954</v>
      </c>
      <c r="J196" s="98"/>
      <c r="M196" s="67" t="s">
        <v>526</v>
      </c>
      <c r="AH196" s="144">
        <f>AH195/AH194</f>
        <v>0.8125</v>
      </c>
      <c r="AI196" s="148">
        <f>AI195/AI194</f>
        <v>0.875</v>
      </c>
      <c r="AK196" s="67"/>
      <c r="AO196" s="68">
        <f>MIN(AO146:AO193)</f>
        <v>39.3375</v>
      </c>
      <c r="AP196" s="67">
        <f>MIN(AP146:AP193)</f>
        <v>77</v>
      </c>
    </row>
    <row r="197" ht="12.75" customHeight="1" spans="7:10">
      <c r="G197" s="94"/>
      <c r="J197" s="98"/>
    </row>
    <row r="198" ht="12.75" customHeight="1" spans="7:10">
      <c r="G198" s="94"/>
      <c r="J198" s="98"/>
    </row>
    <row r="199" ht="12.75" customHeight="1" spans="7:10">
      <c r="G199" s="94"/>
      <c r="J199" s="98"/>
    </row>
    <row r="200" ht="12.75" customHeight="1" spans="4:13">
      <c r="D200" s="118" t="s">
        <v>527</v>
      </c>
      <c r="G200" s="94" t="s">
        <v>528</v>
      </c>
      <c r="J200" s="98"/>
      <c r="M200" s="67" t="s">
        <v>955</v>
      </c>
    </row>
    <row r="201" ht="12.75" customHeight="1" spans="4:10">
      <c r="D201" s="119" t="s">
        <v>530</v>
      </c>
      <c r="J201" s="98"/>
    </row>
  </sheetData>
  <autoFilter xmlns:etc="http://www.wps.cn/officeDocument/2017/etCustomData" ref="A11:L129" etc:filterBottomFollowUsedRange="0">
    <extLst/>
  </autoFilter>
  <mergeCells count="18">
    <mergeCell ref="A1:P1"/>
    <mergeCell ref="A2:P2"/>
    <mergeCell ref="A3:P3"/>
    <mergeCell ref="A4:P4"/>
    <mergeCell ref="A68:P68"/>
    <mergeCell ref="A69:P69"/>
    <mergeCell ref="A70:P70"/>
    <mergeCell ref="A71:P71"/>
    <mergeCell ref="A135:P135"/>
    <mergeCell ref="A136:P136"/>
    <mergeCell ref="A137:P137"/>
    <mergeCell ref="A138:P138"/>
    <mergeCell ref="A5:P7"/>
    <mergeCell ref="A8:P9"/>
    <mergeCell ref="A72:P74"/>
    <mergeCell ref="A75:P76"/>
    <mergeCell ref="A139:P141"/>
    <mergeCell ref="A142:P143"/>
  </mergeCells>
  <conditionalFormatting sqref="AG12:AJ59">
    <cfRule type="expression" dxfId="3" priority="2">
      <formula>LEN(TRIM(AG12))=0</formula>
    </cfRule>
  </conditionalFormatting>
  <pageMargins left="0.66875" right="0.156944444444444" top="0.275" bottom="0.786805555555556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3"/>
  <sheetViews>
    <sheetView zoomScale="110" zoomScaleNormal="110" topLeftCell="A181" workbookViewId="0">
      <selection activeCell="Z173" sqref="Z173"/>
    </sheetView>
  </sheetViews>
  <sheetFormatPr defaultColWidth="9.14166666666667" defaultRowHeight="15" customHeight="1"/>
  <cols>
    <col min="1" max="1" width="4.29166666666667" style="2" customWidth="1"/>
    <col min="2" max="3" width="11.4416666666667" style="2" customWidth="1"/>
    <col min="4" max="4" width="5.41666666666667" style="2" hidden="1" customWidth="1"/>
    <col min="5" max="5" width="31.4416666666667" style="2" customWidth="1"/>
    <col min="6" max="11" width="5.58333333333333" style="3" customWidth="1"/>
    <col min="12" max="12" width="23.3" style="3" hidden="1" customWidth="1"/>
    <col min="13" max="13" width="11.7083333333333" style="3" hidden="1" customWidth="1"/>
    <col min="14" max="14" width="7.16666666666667" style="2" customWidth="1"/>
    <col min="15" max="15" width="9" style="2" hidden="1" customWidth="1"/>
    <col min="16" max="16" width="14.2833333333333" style="2" hidden="1" customWidth="1"/>
    <col min="17" max="17" width="4.41666666666667" style="2" hidden="1" customWidth="1"/>
    <col min="18" max="18" width="10.1416666666667" style="2" hidden="1" customWidth="1"/>
    <col min="19" max="19" width="8.29166666666667" style="2" hidden="1" customWidth="1"/>
    <col min="20" max="23" width="9" style="2" hidden="1" customWidth="1"/>
    <col min="24" max="16384" width="9.14166666666667" style="2"/>
  </cols>
  <sheetData>
    <row r="1" ht="15.15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15.15" spans="1:1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5.15" spans="1:13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ht="19.7" spans="1:13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4.4" spans="1:18">
      <c r="A5" s="6" t="s">
        <v>1264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18"/>
      <c r="O5" s="18"/>
      <c r="P5" s="18"/>
      <c r="Q5" s="18"/>
      <c r="R5" s="18"/>
    </row>
    <row r="6" ht="14.4" spans="1:18">
      <c r="A6" s="6" t="s">
        <v>1265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18"/>
      <c r="O6" s="18"/>
      <c r="P6" s="18"/>
      <c r="Q6" s="18"/>
      <c r="R6" s="18"/>
    </row>
    <row r="7" ht="15.15" spans="1:18">
      <c r="A7" s="7" t="s">
        <v>1266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18"/>
      <c r="O7" s="18"/>
      <c r="P7" s="18"/>
      <c r="Q7" s="18"/>
      <c r="R7" s="18"/>
    </row>
    <row r="8" ht="15.9" spans="1:18">
      <c r="A8" s="8" t="s">
        <v>1267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37"/>
      <c r="O8" s="37"/>
      <c r="P8" s="37"/>
      <c r="Q8" s="37"/>
      <c r="R8" s="37"/>
    </row>
    <row r="9" ht="15.15" spans="1:18">
      <c r="A9" s="8" t="s">
        <v>1268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37"/>
      <c r="O9" s="37"/>
      <c r="P9" s="37"/>
      <c r="Q9" s="37"/>
      <c r="R9" s="37"/>
    </row>
    <row r="10" ht="10.5" customHeight="1"/>
    <row r="11" ht="12.75" customHeight="1" spans="1:11">
      <c r="A11" s="9" t="s">
        <v>1269</v>
      </c>
      <c r="F11" s="25" t="s">
        <v>1270</v>
      </c>
      <c r="G11" s="26"/>
      <c r="H11" s="26"/>
      <c r="I11" s="26"/>
      <c r="J11" s="26"/>
      <c r="K11" s="26"/>
    </row>
    <row r="12" ht="34.5" customHeight="1" spans="1:21">
      <c r="A12" s="10" t="s">
        <v>1271</v>
      </c>
      <c r="B12" s="11" t="s">
        <v>13</v>
      </c>
      <c r="C12" s="12" t="s">
        <v>14</v>
      </c>
      <c r="D12" s="13" t="s">
        <v>1272</v>
      </c>
      <c r="E12" s="21" t="s">
        <v>17</v>
      </c>
      <c r="F12" s="21" t="s">
        <v>19</v>
      </c>
      <c r="G12" s="21"/>
      <c r="H12" s="21"/>
      <c r="I12" s="21"/>
      <c r="J12" s="21"/>
      <c r="K12" s="21"/>
      <c r="L12" s="32" t="s">
        <v>1273</v>
      </c>
      <c r="M12" s="32" t="s">
        <v>1274</v>
      </c>
      <c r="Q12" s="42" t="s">
        <v>1271</v>
      </c>
      <c r="R12" s="42" t="s">
        <v>1275</v>
      </c>
      <c r="S12" s="42" t="s">
        <v>76</v>
      </c>
      <c r="T12" s="42" t="s">
        <v>61</v>
      </c>
      <c r="U12" s="42" t="s">
        <v>19</v>
      </c>
    </row>
    <row r="13" ht="16.5" customHeight="1" spans="1:21">
      <c r="A13" s="14">
        <v>1</v>
      </c>
      <c r="B13" s="14">
        <v>171810323</v>
      </c>
      <c r="C13" s="15" t="s">
        <v>1276</v>
      </c>
      <c r="D13" s="16" t="s">
        <v>1277</v>
      </c>
      <c r="E13" s="23" t="s">
        <v>1278</v>
      </c>
      <c r="F13" s="27" t="s">
        <v>76</v>
      </c>
      <c r="G13" s="27"/>
      <c r="H13" s="27"/>
      <c r="I13" s="27"/>
      <c r="J13" s="27"/>
      <c r="K13" s="27"/>
      <c r="L13" s="33" t="s">
        <v>1279</v>
      </c>
      <c r="M13" s="38"/>
      <c r="O13" s="2">
        <v>1</v>
      </c>
      <c r="Q13" s="38">
        <v>1</v>
      </c>
      <c r="R13" s="38" t="s">
        <v>1280</v>
      </c>
      <c r="S13" s="38">
        <f>F49</f>
        <v>14</v>
      </c>
      <c r="T13" s="38">
        <f>F50</f>
        <v>22</v>
      </c>
      <c r="U13" s="38">
        <f>SUM(S13:T13)</f>
        <v>36</v>
      </c>
    </row>
    <row r="14" ht="16.5" customHeight="1" spans="1:21">
      <c r="A14" s="14">
        <v>2</v>
      </c>
      <c r="B14" s="14">
        <v>171810180</v>
      </c>
      <c r="C14" s="15" t="s">
        <v>1281</v>
      </c>
      <c r="D14" s="16" t="s">
        <v>1282</v>
      </c>
      <c r="E14" s="23" t="s">
        <v>1283</v>
      </c>
      <c r="F14" s="27" t="s">
        <v>61</v>
      </c>
      <c r="G14" s="27"/>
      <c r="H14" s="27"/>
      <c r="I14" s="27"/>
      <c r="J14" s="27"/>
      <c r="K14" s="27"/>
      <c r="L14" s="34" t="s">
        <v>158</v>
      </c>
      <c r="M14" s="38"/>
      <c r="O14" s="2">
        <v>2</v>
      </c>
      <c r="Q14" s="38">
        <v>2</v>
      </c>
      <c r="R14" s="38" t="s">
        <v>1284</v>
      </c>
      <c r="S14" s="38">
        <f>F94</f>
        <v>14</v>
      </c>
      <c r="T14" s="38">
        <f>F95</f>
        <v>22</v>
      </c>
      <c r="U14" s="38">
        <f>SUM(S14:T14)</f>
        <v>36</v>
      </c>
    </row>
    <row r="15" ht="16.5" customHeight="1" spans="1:21">
      <c r="A15" s="14">
        <v>3</v>
      </c>
      <c r="B15" s="14">
        <v>171810289</v>
      </c>
      <c r="C15" s="15" t="s">
        <v>1285</v>
      </c>
      <c r="D15" s="16" t="s">
        <v>1286</v>
      </c>
      <c r="E15" s="28" t="s">
        <v>1287</v>
      </c>
      <c r="F15" s="24" t="s">
        <v>61</v>
      </c>
      <c r="G15" s="24"/>
      <c r="H15" s="24"/>
      <c r="I15" s="24"/>
      <c r="J15" s="24"/>
      <c r="K15" s="24"/>
      <c r="L15" s="35" t="s">
        <v>1279</v>
      </c>
      <c r="M15" s="38"/>
      <c r="O15" s="2">
        <v>3</v>
      </c>
      <c r="Q15" s="38">
        <v>3</v>
      </c>
      <c r="R15" s="38" t="s">
        <v>1288</v>
      </c>
      <c r="S15" s="38">
        <f>F139</f>
        <v>16</v>
      </c>
      <c r="T15" s="38">
        <f>F140</f>
        <v>20</v>
      </c>
      <c r="U15" s="38">
        <f>SUM(S15:T15)</f>
        <v>36</v>
      </c>
    </row>
    <row r="16" ht="16.5" customHeight="1" spans="1:21">
      <c r="A16" s="14">
        <v>4</v>
      </c>
      <c r="B16" s="14">
        <v>171810220</v>
      </c>
      <c r="C16" s="15" t="s">
        <v>1289</v>
      </c>
      <c r="D16" s="16" t="s">
        <v>1290</v>
      </c>
      <c r="E16" s="28" t="s">
        <v>1291</v>
      </c>
      <c r="F16" s="24" t="s">
        <v>61</v>
      </c>
      <c r="G16" s="24"/>
      <c r="H16" s="24"/>
      <c r="I16" s="24"/>
      <c r="J16" s="24"/>
      <c r="K16" s="24"/>
      <c r="L16" s="35" t="s">
        <v>158</v>
      </c>
      <c r="M16" s="38"/>
      <c r="O16" s="2">
        <v>4</v>
      </c>
      <c r="Q16" s="38">
        <v>4</v>
      </c>
      <c r="R16" s="38" t="s">
        <v>1292</v>
      </c>
      <c r="S16" s="38">
        <f>F184</f>
        <v>14</v>
      </c>
      <c r="T16" s="38">
        <f>F185</f>
        <v>18</v>
      </c>
      <c r="U16" s="38">
        <f>SUM(S16:T16)</f>
        <v>32</v>
      </c>
    </row>
    <row r="17" ht="16.5" customHeight="1" spans="1:21">
      <c r="A17" s="14">
        <v>5</v>
      </c>
      <c r="B17" s="14">
        <v>171810254</v>
      </c>
      <c r="C17" s="15" t="s">
        <v>1293</v>
      </c>
      <c r="D17" s="16" t="s">
        <v>1294</v>
      </c>
      <c r="E17" s="28" t="s">
        <v>1295</v>
      </c>
      <c r="F17" s="24" t="s">
        <v>76</v>
      </c>
      <c r="G17" s="24"/>
      <c r="H17" s="24"/>
      <c r="I17" s="24"/>
      <c r="J17" s="24"/>
      <c r="K17" s="24"/>
      <c r="L17" s="35" t="s">
        <v>1296</v>
      </c>
      <c r="M17" s="38"/>
      <c r="O17" s="2">
        <v>5</v>
      </c>
      <c r="Q17" s="38">
        <v>5</v>
      </c>
      <c r="R17" s="38" t="s">
        <v>1297</v>
      </c>
      <c r="S17" s="38">
        <f>F229</f>
        <v>15</v>
      </c>
      <c r="T17" s="38">
        <f>F230</f>
        <v>20</v>
      </c>
      <c r="U17" s="38">
        <f>SUM(S17:T17)</f>
        <v>35</v>
      </c>
    </row>
    <row r="18" ht="16.5" customHeight="1" spans="1:15">
      <c r="A18" s="14">
        <v>6</v>
      </c>
      <c r="B18" s="14">
        <v>171810222</v>
      </c>
      <c r="C18" s="15" t="s">
        <v>1298</v>
      </c>
      <c r="D18" s="16" t="s">
        <v>1290</v>
      </c>
      <c r="E18" s="23" t="s">
        <v>1299</v>
      </c>
      <c r="F18" s="27" t="s">
        <v>76</v>
      </c>
      <c r="G18" s="27"/>
      <c r="H18" s="27"/>
      <c r="I18" s="27"/>
      <c r="J18" s="27"/>
      <c r="K18" s="27"/>
      <c r="L18" s="33" t="s">
        <v>1300</v>
      </c>
      <c r="M18" s="38"/>
      <c r="O18" s="2">
        <v>6</v>
      </c>
    </row>
    <row r="19" ht="16.5" customHeight="1" spans="1:21">
      <c r="A19" s="14">
        <v>7</v>
      </c>
      <c r="B19" s="14">
        <v>171810293</v>
      </c>
      <c r="C19" s="15" t="s">
        <v>1301</v>
      </c>
      <c r="D19" s="16" t="s">
        <v>1286</v>
      </c>
      <c r="E19" s="28" t="s">
        <v>1302</v>
      </c>
      <c r="F19" s="24" t="s">
        <v>61</v>
      </c>
      <c r="G19" s="24"/>
      <c r="H19" s="24"/>
      <c r="I19" s="24"/>
      <c r="J19" s="24"/>
      <c r="K19" s="24"/>
      <c r="L19" s="35" t="s">
        <v>60</v>
      </c>
      <c r="M19" s="38"/>
      <c r="O19" s="2">
        <v>7</v>
      </c>
      <c r="U19" s="3">
        <f>SUM(U13:U17)</f>
        <v>175</v>
      </c>
    </row>
    <row r="20" ht="16.5" customHeight="1" spans="1:18">
      <c r="A20" s="14">
        <v>8</v>
      </c>
      <c r="B20" s="14">
        <v>171810330</v>
      </c>
      <c r="C20" s="15" t="s">
        <v>1303</v>
      </c>
      <c r="D20" s="16" t="s">
        <v>1277</v>
      </c>
      <c r="E20" s="23" t="s">
        <v>1304</v>
      </c>
      <c r="F20" s="27" t="s">
        <v>61</v>
      </c>
      <c r="G20" s="27"/>
      <c r="H20" s="27"/>
      <c r="I20" s="27"/>
      <c r="J20" s="27"/>
      <c r="K20" s="27"/>
      <c r="L20" s="33" t="s">
        <v>1305</v>
      </c>
      <c r="M20" s="38"/>
      <c r="O20" s="2">
        <v>8</v>
      </c>
      <c r="Q20" s="2" t="s">
        <v>1271</v>
      </c>
      <c r="R20" s="1" t="s">
        <v>1306</v>
      </c>
    </row>
    <row r="21" ht="16.5" customHeight="1" spans="1:22">
      <c r="A21" s="14">
        <v>9</v>
      </c>
      <c r="B21" s="14">
        <v>171810226</v>
      </c>
      <c r="C21" s="15" t="s">
        <v>1307</v>
      </c>
      <c r="D21" s="16" t="s">
        <v>1290</v>
      </c>
      <c r="E21" s="28" t="s">
        <v>1308</v>
      </c>
      <c r="F21" s="24" t="s">
        <v>61</v>
      </c>
      <c r="G21" s="24"/>
      <c r="H21" s="24"/>
      <c r="I21" s="24"/>
      <c r="J21" s="24"/>
      <c r="K21" s="24"/>
      <c r="L21" s="35" t="s">
        <v>1309</v>
      </c>
      <c r="M21" s="38"/>
      <c r="O21" s="2">
        <v>9</v>
      </c>
      <c r="Q21" s="2">
        <v>1</v>
      </c>
      <c r="R21" s="25" t="s">
        <v>1310</v>
      </c>
      <c r="V21" s="2" t="s">
        <v>61</v>
      </c>
    </row>
    <row r="22" ht="16.5" customHeight="1" spans="1:22">
      <c r="A22" s="14">
        <v>10</v>
      </c>
      <c r="B22" s="14">
        <v>171810260</v>
      </c>
      <c r="C22" s="15" t="s">
        <v>1311</v>
      </c>
      <c r="D22" s="16" t="s">
        <v>1294</v>
      </c>
      <c r="E22" s="28" t="s">
        <v>1312</v>
      </c>
      <c r="F22" s="24" t="s">
        <v>76</v>
      </c>
      <c r="G22" s="24"/>
      <c r="H22" s="24"/>
      <c r="I22" s="24"/>
      <c r="J22" s="24"/>
      <c r="K22" s="24"/>
      <c r="L22" s="35" t="s">
        <v>1296</v>
      </c>
      <c r="M22" s="38"/>
      <c r="O22" s="2">
        <v>10</v>
      </c>
      <c r="Q22" s="2">
        <v>2</v>
      </c>
      <c r="R22" s="25" t="s">
        <v>1313</v>
      </c>
      <c r="V22" s="2" t="s">
        <v>76</v>
      </c>
    </row>
    <row r="23" ht="16.5" customHeight="1" spans="1:22">
      <c r="A23" s="14">
        <v>11</v>
      </c>
      <c r="B23" s="14">
        <v>171810297</v>
      </c>
      <c r="C23" s="15" t="s">
        <v>1314</v>
      </c>
      <c r="D23" s="16" t="s">
        <v>1286</v>
      </c>
      <c r="E23" s="28" t="s">
        <v>1315</v>
      </c>
      <c r="F23" s="24" t="s">
        <v>61</v>
      </c>
      <c r="G23" s="24"/>
      <c r="H23" s="24"/>
      <c r="I23" s="24"/>
      <c r="J23" s="24"/>
      <c r="K23" s="24"/>
      <c r="L23" s="35" t="s">
        <v>197</v>
      </c>
      <c r="M23" s="38"/>
      <c r="O23" s="2">
        <v>11</v>
      </c>
      <c r="Q23" s="2">
        <v>3</v>
      </c>
      <c r="R23" s="25" t="s">
        <v>1316</v>
      </c>
      <c r="U23" s="2" t="s">
        <v>1317</v>
      </c>
      <c r="V23" s="2" t="s">
        <v>76</v>
      </c>
    </row>
    <row r="24" ht="16.5" customHeight="1" spans="1:22">
      <c r="A24" s="14">
        <v>12</v>
      </c>
      <c r="B24" s="14">
        <v>171810188</v>
      </c>
      <c r="C24" s="15" t="s">
        <v>1318</v>
      </c>
      <c r="D24" s="16" t="s">
        <v>1282</v>
      </c>
      <c r="E24" s="23" t="s">
        <v>1319</v>
      </c>
      <c r="F24" s="27" t="s">
        <v>61</v>
      </c>
      <c r="G24" s="27"/>
      <c r="H24" s="27"/>
      <c r="I24" s="27"/>
      <c r="J24" s="27"/>
      <c r="K24" s="27"/>
      <c r="L24" s="34" t="s">
        <v>1320</v>
      </c>
      <c r="M24" s="38"/>
      <c r="O24" s="2">
        <v>12</v>
      </c>
      <c r="Q24" s="2">
        <v>4</v>
      </c>
      <c r="R24" s="25" t="s">
        <v>1321</v>
      </c>
      <c r="V24" s="2" t="s">
        <v>76</v>
      </c>
    </row>
    <row r="25" ht="16.5" customHeight="1" spans="1:22">
      <c r="A25" s="14">
        <v>13</v>
      </c>
      <c r="B25" s="14">
        <v>171810230</v>
      </c>
      <c r="C25" s="15" t="s">
        <v>1322</v>
      </c>
      <c r="D25" s="16" t="s">
        <v>1290</v>
      </c>
      <c r="E25" s="23" t="s">
        <v>1323</v>
      </c>
      <c r="F25" s="27" t="s">
        <v>76</v>
      </c>
      <c r="G25" s="27"/>
      <c r="H25" s="27"/>
      <c r="I25" s="27"/>
      <c r="J25" s="27"/>
      <c r="K25" s="27"/>
      <c r="L25" s="33" t="s">
        <v>1324</v>
      </c>
      <c r="M25" s="38"/>
      <c r="O25" s="2">
        <v>13</v>
      </c>
      <c r="Q25" s="2">
        <v>5</v>
      </c>
      <c r="R25" s="25" t="s">
        <v>1325</v>
      </c>
      <c r="V25" s="2" t="s">
        <v>76</v>
      </c>
    </row>
    <row r="26" ht="16.5" customHeight="1" spans="1:22">
      <c r="A26" s="14">
        <v>14</v>
      </c>
      <c r="B26" s="14">
        <v>171810339</v>
      </c>
      <c r="C26" s="15" t="s">
        <v>1326</v>
      </c>
      <c r="D26" s="16" t="s">
        <v>1277</v>
      </c>
      <c r="E26" s="23" t="s">
        <v>1327</v>
      </c>
      <c r="F26" s="27" t="s">
        <v>61</v>
      </c>
      <c r="G26" s="27"/>
      <c r="H26" s="27"/>
      <c r="I26" s="27"/>
      <c r="J26" s="27"/>
      <c r="K26" s="27"/>
      <c r="L26" s="33" t="s">
        <v>1328</v>
      </c>
      <c r="M26" s="38"/>
      <c r="O26" s="2">
        <v>14</v>
      </c>
      <c r="Q26" s="2">
        <v>6</v>
      </c>
      <c r="R26" s="23" t="s">
        <v>1329</v>
      </c>
      <c r="V26" s="2" t="s">
        <v>76</v>
      </c>
    </row>
    <row r="27" ht="16.5" customHeight="1" spans="1:13">
      <c r="A27" s="14">
        <v>15</v>
      </c>
      <c r="B27" s="14">
        <v>171810340</v>
      </c>
      <c r="C27" s="15" t="s">
        <v>1330</v>
      </c>
      <c r="D27" s="16" t="s">
        <v>1277</v>
      </c>
      <c r="E27" s="23" t="s">
        <v>1331</v>
      </c>
      <c r="F27" s="27" t="s">
        <v>61</v>
      </c>
      <c r="G27" s="27"/>
      <c r="H27" s="27"/>
      <c r="I27" s="27"/>
      <c r="J27" s="27"/>
      <c r="K27" s="27"/>
      <c r="L27" s="33" t="s">
        <v>1332</v>
      </c>
      <c r="M27" s="39"/>
    </row>
    <row r="28" ht="16.5" customHeight="1" spans="1:13">
      <c r="A28" s="14">
        <v>16</v>
      </c>
      <c r="B28" s="17">
        <v>171810194</v>
      </c>
      <c r="C28" s="15" t="s">
        <v>1333</v>
      </c>
      <c r="D28" s="16" t="s">
        <v>1282</v>
      </c>
      <c r="E28" s="23" t="s">
        <v>1334</v>
      </c>
      <c r="F28" s="27" t="s">
        <v>61</v>
      </c>
      <c r="G28" s="27"/>
      <c r="H28" s="27"/>
      <c r="I28" s="27"/>
      <c r="J28" s="27"/>
      <c r="K28" s="27"/>
      <c r="L28" s="34" t="s">
        <v>158</v>
      </c>
      <c r="M28" s="39"/>
    </row>
    <row r="29" ht="16.5" customHeight="1" spans="1:13">
      <c r="A29" s="14">
        <v>17</v>
      </c>
      <c r="B29" s="14">
        <v>171810303</v>
      </c>
      <c r="C29" s="15" t="s">
        <v>1335</v>
      </c>
      <c r="D29" s="16" t="s">
        <v>1286</v>
      </c>
      <c r="E29" s="23" t="s">
        <v>1336</v>
      </c>
      <c r="F29" s="27" t="s">
        <v>76</v>
      </c>
      <c r="G29" s="27"/>
      <c r="H29" s="27"/>
      <c r="I29" s="27"/>
      <c r="J29" s="27"/>
      <c r="K29" s="27"/>
      <c r="L29" s="33" t="s">
        <v>1337</v>
      </c>
      <c r="M29" s="39"/>
    </row>
    <row r="30" ht="16.5" customHeight="1" spans="1:13">
      <c r="A30" s="14">
        <v>18</v>
      </c>
      <c r="B30" s="14">
        <v>171810266</v>
      </c>
      <c r="C30" s="15" t="s">
        <v>1338</v>
      </c>
      <c r="D30" s="16" t="s">
        <v>1294</v>
      </c>
      <c r="E30" s="23" t="s">
        <v>1339</v>
      </c>
      <c r="F30" s="27" t="s">
        <v>76</v>
      </c>
      <c r="G30" s="27"/>
      <c r="H30" s="27"/>
      <c r="I30" s="27"/>
      <c r="J30" s="27"/>
      <c r="K30" s="27"/>
      <c r="L30" s="33" t="s">
        <v>268</v>
      </c>
      <c r="M30" s="38"/>
    </row>
    <row r="31" ht="16.5" customHeight="1" spans="1:13">
      <c r="A31" s="14">
        <v>19</v>
      </c>
      <c r="B31" s="14">
        <v>171810235</v>
      </c>
      <c r="C31" s="15" t="s">
        <v>1340</v>
      </c>
      <c r="D31" s="16" t="s">
        <v>1290</v>
      </c>
      <c r="E31" s="28" t="s">
        <v>1341</v>
      </c>
      <c r="F31" s="24" t="s">
        <v>61</v>
      </c>
      <c r="G31" s="24"/>
      <c r="H31" s="24"/>
      <c r="I31" s="24"/>
      <c r="J31" s="24"/>
      <c r="K31" s="24"/>
      <c r="L31" s="35" t="s">
        <v>1342</v>
      </c>
      <c r="M31" s="38"/>
    </row>
    <row r="32" ht="16.5" customHeight="1" spans="1:13">
      <c r="A32" s="14">
        <v>20</v>
      </c>
      <c r="B32" s="14">
        <v>171810237</v>
      </c>
      <c r="C32" s="15" t="s">
        <v>1343</v>
      </c>
      <c r="D32" s="16" t="s">
        <v>1290</v>
      </c>
      <c r="E32" s="28" t="s">
        <v>1344</v>
      </c>
      <c r="F32" s="24" t="s">
        <v>76</v>
      </c>
      <c r="G32" s="24"/>
      <c r="H32" s="24"/>
      <c r="I32" s="24"/>
      <c r="J32" s="24"/>
      <c r="K32" s="24"/>
      <c r="L32" s="35" t="s">
        <v>1309</v>
      </c>
      <c r="M32" s="38"/>
    </row>
    <row r="33" ht="16.5" customHeight="1" spans="1:13">
      <c r="A33" s="14">
        <v>21</v>
      </c>
      <c r="B33" s="14">
        <v>171810197</v>
      </c>
      <c r="C33" s="15" t="s">
        <v>1345</v>
      </c>
      <c r="D33" s="16" t="s">
        <v>1282</v>
      </c>
      <c r="E33" s="28" t="s">
        <v>1346</v>
      </c>
      <c r="F33" s="24" t="s">
        <v>76</v>
      </c>
      <c r="G33" s="24"/>
      <c r="H33" s="24"/>
      <c r="I33" s="24"/>
      <c r="J33" s="24"/>
      <c r="K33" s="24"/>
      <c r="L33" s="35" t="s">
        <v>60</v>
      </c>
      <c r="M33" s="38"/>
    </row>
    <row r="34" ht="16.5" customHeight="1" spans="1:13">
      <c r="A34" s="14">
        <v>22</v>
      </c>
      <c r="B34" s="14">
        <v>171810271</v>
      </c>
      <c r="C34" s="15" t="s">
        <v>1347</v>
      </c>
      <c r="D34" s="16" t="s">
        <v>1294</v>
      </c>
      <c r="E34" s="23" t="s">
        <v>1348</v>
      </c>
      <c r="F34" s="27" t="s">
        <v>76</v>
      </c>
      <c r="G34" s="27"/>
      <c r="H34" s="27"/>
      <c r="I34" s="27"/>
      <c r="J34" s="27"/>
      <c r="K34" s="27"/>
      <c r="L34" s="33" t="s">
        <v>1342</v>
      </c>
      <c r="M34" s="38"/>
    </row>
    <row r="35" ht="16.5" customHeight="1" spans="1:13">
      <c r="A35" s="14">
        <v>23</v>
      </c>
      <c r="B35" s="17">
        <v>171810344</v>
      </c>
      <c r="C35" s="15" t="s">
        <v>1349</v>
      </c>
      <c r="D35" s="16" t="s">
        <v>1277</v>
      </c>
      <c r="E35" s="28" t="s">
        <v>1350</v>
      </c>
      <c r="F35" s="24" t="s">
        <v>76</v>
      </c>
      <c r="G35" s="24"/>
      <c r="H35" s="24"/>
      <c r="I35" s="24"/>
      <c r="J35" s="24"/>
      <c r="K35" s="24"/>
      <c r="L35" s="35" t="s">
        <v>60</v>
      </c>
      <c r="M35" s="38"/>
    </row>
    <row r="36" ht="16.5" customHeight="1" spans="1:13">
      <c r="A36" s="14">
        <v>24</v>
      </c>
      <c r="B36" s="17">
        <v>171810201</v>
      </c>
      <c r="C36" s="15" t="s">
        <v>1351</v>
      </c>
      <c r="D36" s="16" t="s">
        <v>1282</v>
      </c>
      <c r="E36" s="28" t="s">
        <v>1352</v>
      </c>
      <c r="F36" s="24" t="s">
        <v>76</v>
      </c>
      <c r="G36" s="24"/>
      <c r="H36" s="24"/>
      <c r="I36" s="24"/>
      <c r="J36" s="24"/>
      <c r="K36" s="24"/>
      <c r="L36" s="35" t="s">
        <v>60</v>
      </c>
      <c r="M36" s="38"/>
    </row>
    <row r="37" ht="16.5" customHeight="1" spans="1:13">
      <c r="A37" s="14">
        <v>25</v>
      </c>
      <c r="B37" s="14">
        <v>171810346</v>
      </c>
      <c r="C37" s="15" t="s">
        <v>1353</v>
      </c>
      <c r="D37" s="16" t="s">
        <v>1277</v>
      </c>
      <c r="E37" s="28" t="s">
        <v>1354</v>
      </c>
      <c r="F37" s="24" t="s">
        <v>61</v>
      </c>
      <c r="G37" s="24"/>
      <c r="H37" s="24"/>
      <c r="I37" s="24"/>
      <c r="J37" s="24"/>
      <c r="K37" s="24"/>
      <c r="L37" s="35" t="s">
        <v>1309</v>
      </c>
      <c r="M37" s="38"/>
    </row>
    <row r="38" ht="16.5" customHeight="1" spans="1:13">
      <c r="A38" s="14">
        <v>26</v>
      </c>
      <c r="B38" s="14">
        <v>171810309</v>
      </c>
      <c r="C38" s="15" t="s">
        <v>1355</v>
      </c>
      <c r="D38" s="16" t="s">
        <v>1286</v>
      </c>
      <c r="E38" s="23" t="s">
        <v>1356</v>
      </c>
      <c r="F38" s="27" t="s">
        <v>61</v>
      </c>
      <c r="G38" s="27"/>
      <c r="H38" s="27"/>
      <c r="I38" s="27"/>
      <c r="J38" s="27"/>
      <c r="K38" s="27"/>
      <c r="L38" s="33" t="s">
        <v>60</v>
      </c>
      <c r="M38" s="38"/>
    </row>
    <row r="39" ht="16.5" customHeight="1" spans="1:13">
      <c r="A39" s="14">
        <v>27</v>
      </c>
      <c r="B39" s="14">
        <v>171810310</v>
      </c>
      <c r="C39" s="15" t="s">
        <v>1357</v>
      </c>
      <c r="D39" s="16" t="s">
        <v>1286</v>
      </c>
      <c r="E39" s="28" t="s">
        <v>1358</v>
      </c>
      <c r="F39" s="24" t="s">
        <v>61</v>
      </c>
      <c r="G39" s="24"/>
      <c r="H39" s="24"/>
      <c r="I39" s="24"/>
      <c r="J39" s="24"/>
      <c r="K39" s="24"/>
      <c r="L39" s="35" t="s">
        <v>1296</v>
      </c>
      <c r="M39" s="38"/>
    </row>
    <row r="40" ht="16.5" customHeight="1" spans="1:13">
      <c r="A40" s="14">
        <v>28</v>
      </c>
      <c r="B40" s="14">
        <v>171810276</v>
      </c>
      <c r="C40" s="15" t="s">
        <v>1359</v>
      </c>
      <c r="D40" s="16" t="s">
        <v>1294</v>
      </c>
      <c r="E40" s="23" t="s">
        <v>1360</v>
      </c>
      <c r="F40" s="27" t="s">
        <v>76</v>
      </c>
      <c r="G40" s="27"/>
      <c r="H40" s="27"/>
      <c r="I40" s="27"/>
      <c r="J40" s="27"/>
      <c r="K40" s="27"/>
      <c r="L40" s="33" t="s">
        <v>1361</v>
      </c>
      <c r="M40" s="38"/>
    </row>
    <row r="41" ht="16.5" customHeight="1" spans="1:13">
      <c r="A41" s="14">
        <v>29</v>
      </c>
      <c r="B41" s="14">
        <v>171810245</v>
      </c>
      <c r="C41" s="15" t="s">
        <v>1362</v>
      </c>
      <c r="D41" s="16" t="s">
        <v>1290</v>
      </c>
      <c r="E41" s="23" t="s">
        <v>1363</v>
      </c>
      <c r="F41" s="27" t="s">
        <v>61</v>
      </c>
      <c r="G41" s="27"/>
      <c r="H41" s="27"/>
      <c r="I41" s="27"/>
      <c r="J41" s="27"/>
      <c r="K41" s="27"/>
      <c r="L41" s="33" t="s">
        <v>1364</v>
      </c>
      <c r="M41" s="38"/>
    </row>
    <row r="42" ht="16.5" customHeight="1" spans="1:13">
      <c r="A42" s="14">
        <v>30</v>
      </c>
      <c r="B42" s="14">
        <v>171810277</v>
      </c>
      <c r="C42" s="15" t="s">
        <v>1365</v>
      </c>
      <c r="D42" s="16" t="s">
        <v>1294</v>
      </c>
      <c r="E42" s="23" t="s">
        <v>1366</v>
      </c>
      <c r="F42" s="27" t="s">
        <v>61</v>
      </c>
      <c r="G42" s="27"/>
      <c r="H42" s="27"/>
      <c r="I42" s="27"/>
      <c r="J42" s="27"/>
      <c r="K42" s="27"/>
      <c r="L42" s="33" t="s">
        <v>1367</v>
      </c>
      <c r="M42" s="38"/>
    </row>
    <row r="43" ht="16.5" customHeight="1" spans="1:13">
      <c r="A43" s="14">
        <v>31</v>
      </c>
      <c r="B43" s="14">
        <v>171810279</v>
      </c>
      <c r="C43" s="15" t="s">
        <v>1368</v>
      </c>
      <c r="D43" s="16" t="s">
        <v>1294</v>
      </c>
      <c r="E43" s="23" t="s">
        <v>1369</v>
      </c>
      <c r="F43" s="27" t="s">
        <v>61</v>
      </c>
      <c r="G43" s="27"/>
      <c r="H43" s="27"/>
      <c r="I43" s="27"/>
      <c r="J43" s="27"/>
      <c r="K43" s="27"/>
      <c r="L43" s="33" t="s">
        <v>158</v>
      </c>
      <c r="M43" s="38"/>
    </row>
    <row r="44" ht="16.5" customHeight="1" spans="1:13">
      <c r="A44" s="14">
        <v>32</v>
      </c>
      <c r="B44" s="14">
        <v>171810209</v>
      </c>
      <c r="C44" s="15" t="s">
        <v>1370</v>
      </c>
      <c r="D44" s="16" t="s">
        <v>1282</v>
      </c>
      <c r="E44" s="23" t="s">
        <v>1371</v>
      </c>
      <c r="F44" s="27" t="s">
        <v>61</v>
      </c>
      <c r="G44" s="27"/>
      <c r="H44" s="27"/>
      <c r="I44" s="27"/>
      <c r="J44" s="27"/>
      <c r="K44" s="27"/>
      <c r="L44" s="34" t="s">
        <v>1372</v>
      </c>
      <c r="M44" s="38"/>
    </row>
    <row r="45" ht="16.5" customHeight="1" spans="1:13">
      <c r="A45" s="14">
        <v>33</v>
      </c>
      <c r="B45" s="14">
        <v>171810211</v>
      </c>
      <c r="C45" s="15" t="s">
        <v>1373</v>
      </c>
      <c r="D45" s="16" t="s">
        <v>1282</v>
      </c>
      <c r="E45" s="28" t="s">
        <v>1374</v>
      </c>
      <c r="F45" s="24" t="s">
        <v>76</v>
      </c>
      <c r="G45" s="24"/>
      <c r="H45" s="24"/>
      <c r="I45" s="24"/>
      <c r="J45" s="24"/>
      <c r="K45" s="24"/>
      <c r="L45" s="35" t="s">
        <v>1375</v>
      </c>
      <c r="M45" s="38"/>
    </row>
    <row r="46" ht="16.5" customHeight="1" spans="1:13">
      <c r="A46" s="14">
        <v>34</v>
      </c>
      <c r="B46" s="14">
        <v>171810212</v>
      </c>
      <c r="C46" s="15" t="s">
        <v>1376</v>
      </c>
      <c r="D46" s="16" t="s">
        <v>1282</v>
      </c>
      <c r="E46" s="28" t="s">
        <v>1377</v>
      </c>
      <c r="F46" s="24" t="s">
        <v>61</v>
      </c>
      <c r="G46" s="24"/>
      <c r="H46" s="24"/>
      <c r="I46" s="24"/>
      <c r="J46" s="24"/>
      <c r="K46" s="24"/>
      <c r="L46" s="35" t="s">
        <v>1378</v>
      </c>
      <c r="M46" s="38"/>
    </row>
    <row r="47" ht="16.5" customHeight="1" spans="1:13">
      <c r="A47" s="14">
        <v>35</v>
      </c>
      <c r="B47" s="14">
        <v>171810355</v>
      </c>
      <c r="C47" s="15" t="s">
        <v>1379</v>
      </c>
      <c r="D47" s="16" t="s">
        <v>1277</v>
      </c>
      <c r="E47" s="28" t="s">
        <v>1380</v>
      </c>
      <c r="F47" s="24" t="s">
        <v>61</v>
      </c>
      <c r="G47" s="24"/>
      <c r="H47" s="24"/>
      <c r="I47" s="24"/>
      <c r="J47" s="24"/>
      <c r="K47" s="24"/>
      <c r="L47" s="33" t="s">
        <v>158</v>
      </c>
      <c r="M47" s="38"/>
    </row>
    <row r="48" ht="16.5" customHeight="1" spans="1:13">
      <c r="A48" s="14">
        <v>36</v>
      </c>
      <c r="B48" s="17">
        <v>171810357</v>
      </c>
      <c r="C48" s="15" t="s">
        <v>1381</v>
      </c>
      <c r="D48" s="16" t="s">
        <v>1277</v>
      </c>
      <c r="E48" s="28" t="s">
        <v>1382</v>
      </c>
      <c r="F48" s="24" t="s">
        <v>61</v>
      </c>
      <c r="G48" s="24"/>
      <c r="H48" s="24"/>
      <c r="I48" s="24"/>
      <c r="J48" s="24"/>
      <c r="K48" s="24"/>
      <c r="L48" s="33" t="s">
        <v>60</v>
      </c>
      <c r="M48" s="38"/>
    </row>
    <row r="49" customHeight="1" spans="1:11">
      <c r="A49" s="18"/>
      <c r="B49" s="19"/>
      <c r="C49" s="19"/>
      <c r="D49" s="19"/>
      <c r="E49" s="29" t="s">
        <v>1383</v>
      </c>
      <c r="F49" s="19">
        <f>COUNTIF(F13:F48,"L")</f>
        <v>14</v>
      </c>
      <c r="G49" s="19"/>
      <c r="H49" s="19"/>
      <c r="I49" s="19"/>
      <c r="J49" s="19"/>
      <c r="K49" s="19"/>
    </row>
    <row r="50" customHeight="1" spans="1:11">
      <c r="A50" s="18"/>
      <c r="B50" s="19"/>
      <c r="C50" s="19"/>
      <c r="D50" s="19"/>
      <c r="E50" s="29" t="s">
        <v>1384</v>
      </c>
      <c r="F50" s="19">
        <f>COUNTIF(F13:F48,"P")</f>
        <v>22</v>
      </c>
      <c r="G50" s="19"/>
      <c r="H50" s="19"/>
      <c r="I50" s="19"/>
      <c r="J50" s="19"/>
      <c r="K50" s="19"/>
    </row>
    <row r="51" customHeight="1" spans="1:11">
      <c r="A51" s="18"/>
      <c r="B51" s="18" t="s">
        <v>1385</v>
      </c>
      <c r="C51" s="19"/>
      <c r="D51" s="19"/>
      <c r="E51" s="18"/>
      <c r="F51" s="25" t="s">
        <v>1386</v>
      </c>
      <c r="G51" s="19"/>
      <c r="H51" s="19"/>
      <c r="I51" s="19"/>
      <c r="J51" s="19"/>
      <c r="K51" s="19"/>
    </row>
    <row r="52" customHeight="1" spans="1:11">
      <c r="A52" s="18"/>
      <c r="B52" s="19"/>
      <c r="C52" s="19"/>
      <c r="D52" s="19"/>
      <c r="E52" s="18"/>
      <c r="F52" s="19"/>
      <c r="G52" s="19"/>
      <c r="H52" s="19"/>
      <c r="I52" s="19"/>
      <c r="J52" s="19"/>
      <c r="K52" s="19"/>
    </row>
    <row r="53" customHeight="1" spans="1:11">
      <c r="A53" s="18"/>
      <c r="B53" s="19"/>
      <c r="C53" s="19"/>
      <c r="D53" s="19"/>
      <c r="E53" s="18"/>
      <c r="F53" s="19"/>
      <c r="G53" s="19"/>
      <c r="H53" s="19"/>
      <c r="I53" s="19"/>
      <c r="J53" s="19"/>
      <c r="K53" s="19"/>
    </row>
    <row r="54" customHeight="1" spans="1:13">
      <c r="A54" s="18"/>
      <c r="B54" s="20" t="s">
        <v>1387</v>
      </c>
      <c r="C54" s="19"/>
      <c r="D54" s="19"/>
      <c r="E54" s="18"/>
      <c r="F54" s="30"/>
      <c r="G54" s="30"/>
      <c r="H54" s="30"/>
      <c r="I54" s="30"/>
      <c r="J54" s="30"/>
      <c r="K54" s="19"/>
      <c r="L54" s="36"/>
      <c r="M54" s="36"/>
    </row>
    <row r="55" customHeight="1" spans="1:11">
      <c r="A55" s="18"/>
      <c r="B55" s="18" t="s">
        <v>1388</v>
      </c>
      <c r="C55" s="19"/>
      <c r="D55" s="19"/>
      <c r="E55" s="18"/>
      <c r="F55" s="19"/>
      <c r="G55" s="19"/>
      <c r="H55" s="19"/>
      <c r="I55" s="19"/>
      <c r="J55" s="19"/>
      <c r="K55" s="19"/>
    </row>
    <row r="56" customHeight="1" spans="1:11">
      <c r="A56" s="9" t="s">
        <v>1389</v>
      </c>
      <c r="B56" s="18"/>
      <c r="C56" s="18"/>
      <c r="D56" s="18"/>
      <c r="E56" s="18"/>
      <c r="F56" s="25" t="s">
        <v>1270</v>
      </c>
      <c r="G56" s="31"/>
      <c r="H56" s="31"/>
      <c r="I56" s="31"/>
      <c r="J56" s="31"/>
      <c r="K56" s="31"/>
    </row>
    <row r="57" ht="36" customHeight="1" spans="1:13">
      <c r="A57" s="21" t="s">
        <v>1271</v>
      </c>
      <c r="B57" s="11" t="s">
        <v>13</v>
      </c>
      <c r="C57" s="12" t="s">
        <v>14</v>
      </c>
      <c r="D57" s="22" t="s">
        <v>1272</v>
      </c>
      <c r="E57" s="21" t="s">
        <v>17</v>
      </c>
      <c r="F57" s="21" t="s">
        <v>19</v>
      </c>
      <c r="G57" s="21"/>
      <c r="H57" s="21"/>
      <c r="I57" s="21"/>
      <c r="J57" s="21"/>
      <c r="K57" s="21"/>
      <c r="L57" s="32" t="s">
        <v>1273</v>
      </c>
      <c r="M57" s="40" t="s">
        <v>1274</v>
      </c>
    </row>
    <row r="58" ht="16.5" customHeight="1" spans="1:15">
      <c r="A58" s="14">
        <v>1</v>
      </c>
      <c r="B58" s="23">
        <v>171810218</v>
      </c>
      <c r="C58" s="16" t="s">
        <v>1390</v>
      </c>
      <c r="D58" s="16" t="s">
        <v>1290</v>
      </c>
      <c r="E58" s="23" t="s">
        <v>1391</v>
      </c>
      <c r="F58" s="14" t="s">
        <v>76</v>
      </c>
      <c r="G58" s="14"/>
      <c r="H58" s="14"/>
      <c r="I58" s="14"/>
      <c r="J58" s="14"/>
      <c r="K58" s="14"/>
      <c r="L58" s="35" t="s">
        <v>1342</v>
      </c>
      <c r="M58" s="41"/>
      <c r="O58" s="2">
        <v>1</v>
      </c>
    </row>
    <row r="59" ht="16.5" customHeight="1" spans="1:15">
      <c r="A59" s="24">
        <v>2</v>
      </c>
      <c r="B59" s="23">
        <v>171810325</v>
      </c>
      <c r="C59" s="16" t="s">
        <v>1392</v>
      </c>
      <c r="D59" s="16" t="s">
        <v>1277</v>
      </c>
      <c r="E59" s="23" t="s">
        <v>1393</v>
      </c>
      <c r="F59" s="27" t="s">
        <v>61</v>
      </c>
      <c r="G59" s="27"/>
      <c r="H59" s="27"/>
      <c r="I59" s="27"/>
      <c r="J59" s="27"/>
      <c r="K59" s="27"/>
      <c r="L59" s="33" t="s">
        <v>1372</v>
      </c>
      <c r="M59" s="41"/>
      <c r="O59" s="2">
        <v>2</v>
      </c>
    </row>
    <row r="60" ht="16.5" customHeight="1" spans="1:15">
      <c r="A60" s="14">
        <v>3</v>
      </c>
      <c r="B60" s="23">
        <v>171810327</v>
      </c>
      <c r="C60" s="16" t="s">
        <v>1394</v>
      </c>
      <c r="D60" s="16" t="s">
        <v>1277</v>
      </c>
      <c r="E60" s="23" t="s">
        <v>1395</v>
      </c>
      <c r="F60" s="27" t="s">
        <v>61</v>
      </c>
      <c r="G60" s="27"/>
      <c r="H60" s="27"/>
      <c r="I60" s="27"/>
      <c r="J60" s="27"/>
      <c r="K60" s="27"/>
      <c r="L60" s="33" t="s">
        <v>60</v>
      </c>
      <c r="M60" s="41"/>
      <c r="O60" s="2">
        <v>3</v>
      </c>
    </row>
    <row r="61" ht="16.5" customHeight="1" spans="1:15">
      <c r="A61" s="24">
        <v>4</v>
      </c>
      <c r="B61" s="23">
        <v>171810329</v>
      </c>
      <c r="C61" s="16" t="s">
        <v>1396</v>
      </c>
      <c r="D61" s="16" t="s">
        <v>1277</v>
      </c>
      <c r="E61" s="23" t="s">
        <v>1397</v>
      </c>
      <c r="F61" s="14" t="s">
        <v>61</v>
      </c>
      <c r="G61" s="14"/>
      <c r="H61" s="14"/>
      <c r="I61" s="14"/>
      <c r="J61" s="14"/>
      <c r="K61" s="14"/>
      <c r="L61" s="35" t="s">
        <v>1296</v>
      </c>
      <c r="M61" s="41"/>
      <c r="O61" s="2">
        <v>4</v>
      </c>
    </row>
    <row r="62" ht="16.5" customHeight="1" spans="1:15">
      <c r="A62" s="14">
        <v>5</v>
      </c>
      <c r="B62" s="23">
        <v>171810256</v>
      </c>
      <c r="C62" s="16" t="s">
        <v>1398</v>
      </c>
      <c r="D62" s="16" t="s">
        <v>1294</v>
      </c>
      <c r="E62" s="23" t="s">
        <v>1399</v>
      </c>
      <c r="F62" s="27" t="s">
        <v>76</v>
      </c>
      <c r="G62" s="27"/>
      <c r="H62" s="27"/>
      <c r="I62" s="27"/>
      <c r="J62" s="27"/>
      <c r="K62" s="27"/>
      <c r="L62" s="33" t="s">
        <v>60</v>
      </c>
      <c r="M62" s="41"/>
      <c r="O62" s="2">
        <v>5</v>
      </c>
    </row>
    <row r="63" ht="16.5" customHeight="1" spans="1:15">
      <c r="A63" s="24">
        <v>6</v>
      </c>
      <c r="B63" s="23">
        <v>171810257</v>
      </c>
      <c r="C63" s="16" t="s">
        <v>1400</v>
      </c>
      <c r="D63" s="16" t="s">
        <v>1294</v>
      </c>
      <c r="E63" s="23" t="s">
        <v>1401</v>
      </c>
      <c r="F63" s="27" t="s">
        <v>61</v>
      </c>
      <c r="G63" s="27"/>
      <c r="H63" s="27"/>
      <c r="I63" s="27"/>
      <c r="J63" s="27"/>
      <c r="K63" s="27"/>
      <c r="L63" s="33" t="s">
        <v>211</v>
      </c>
      <c r="M63" s="41"/>
      <c r="O63" s="2">
        <v>6</v>
      </c>
    </row>
    <row r="64" ht="16.5" customHeight="1" spans="1:15">
      <c r="A64" s="14">
        <v>7</v>
      </c>
      <c r="B64" s="23">
        <v>171810187</v>
      </c>
      <c r="C64" s="16" t="s">
        <v>1402</v>
      </c>
      <c r="D64" s="16" t="s">
        <v>1282</v>
      </c>
      <c r="E64" s="23" t="s">
        <v>1403</v>
      </c>
      <c r="F64" s="14" t="s">
        <v>76</v>
      </c>
      <c r="G64" s="14"/>
      <c r="H64" s="14"/>
      <c r="I64" s="14"/>
      <c r="J64" s="14"/>
      <c r="K64" s="14"/>
      <c r="L64" s="35" t="s">
        <v>1404</v>
      </c>
      <c r="M64" s="41"/>
      <c r="O64" s="2">
        <v>7</v>
      </c>
    </row>
    <row r="65" ht="16.5" customHeight="1" spans="1:15">
      <c r="A65" s="24">
        <v>8</v>
      </c>
      <c r="B65" s="23">
        <v>171810225</v>
      </c>
      <c r="C65" s="16" t="s">
        <v>1405</v>
      </c>
      <c r="D65" s="16" t="s">
        <v>1290</v>
      </c>
      <c r="E65" s="23" t="s">
        <v>1406</v>
      </c>
      <c r="F65" s="14" t="s">
        <v>76</v>
      </c>
      <c r="G65" s="14"/>
      <c r="H65" s="14"/>
      <c r="I65" s="14"/>
      <c r="J65" s="14"/>
      <c r="K65" s="14"/>
      <c r="L65" s="35" t="s">
        <v>158</v>
      </c>
      <c r="M65" s="41"/>
      <c r="O65" s="2">
        <v>8</v>
      </c>
    </row>
    <row r="66" ht="16.5" customHeight="1" spans="1:15">
      <c r="A66" s="14">
        <v>9</v>
      </c>
      <c r="B66" s="23">
        <v>171810333</v>
      </c>
      <c r="C66" s="16" t="s">
        <v>1407</v>
      </c>
      <c r="D66" s="16" t="s">
        <v>1277</v>
      </c>
      <c r="E66" s="23" t="s">
        <v>1408</v>
      </c>
      <c r="F66" s="27" t="s">
        <v>76</v>
      </c>
      <c r="G66" s="27"/>
      <c r="H66" s="27"/>
      <c r="I66" s="27"/>
      <c r="J66" s="27"/>
      <c r="K66" s="27"/>
      <c r="L66" s="33" t="s">
        <v>1361</v>
      </c>
      <c r="M66" s="41"/>
      <c r="O66" s="2">
        <v>9</v>
      </c>
    </row>
    <row r="67" ht="16.5" customHeight="1" spans="1:15">
      <c r="A67" s="24">
        <v>10</v>
      </c>
      <c r="B67" s="23">
        <v>171810334</v>
      </c>
      <c r="C67" s="16" t="s">
        <v>1409</v>
      </c>
      <c r="D67" s="16" t="s">
        <v>1277</v>
      </c>
      <c r="E67" s="23" t="s">
        <v>1410</v>
      </c>
      <c r="F67" s="27" t="s">
        <v>61</v>
      </c>
      <c r="G67" s="27"/>
      <c r="H67" s="27"/>
      <c r="I67" s="27"/>
      <c r="J67" s="27"/>
      <c r="K67" s="27"/>
      <c r="L67" s="33" t="s">
        <v>60</v>
      </c>
      <c r="M67" s="41"/>
      <c r="O67" s="2">
        <v>10</v>
      </c>
    </row>
    <row r="68" ht="16.5" customHeight="1" spans="1:15">
      <c r="A68" s="14">
        <v>11</v>
      </c>
      <c r="B68" s="23">
        <v>171810259</v>
      </c>
      <c r="C68" s="16" t="s">
        <v>1411</v>
      </c>
      <c r="D68" s="16" t="s">
        <v>1294</v>
      </c>
      <c r="E68" s="23" t="s">
        <v>1412</v>
      </c>
      <c r="F68" s="14" t="s">
        <v>61</v>
      </c>
      <c r="G68" s="14"/>
      <c r="H68" s="14"/>
      <c r="I68" s="14"/>
      <c r="J68" s="14"/>
      <c r="K68" s="14"/>
      <c r="L68" s="35" t="s">
        <v>1342</v>
      </c>
      <c r="M68" s="41"/>
      <c r="O68" s="2">
        <v>11</v>
      </c>
    </row>
    <row r="69" ht="16.5" customHeight="1" spans="1:15">
      <c r="A69" s="24">
        <v>12</v>
      </c>
      <c r="B69" s="23">
        <v>171810229</v>
      </c>
      <c r="C69" s="16" t="s">
        <v>1413</v>
      </c>
      <c r="D69" s="16" t="s">
        <v>1290</v>
      </c>
      <c r="E69" s="23" t="s">
        <v>1414</v>
      </c>
      <c r="F69" s="27" t="s">
        <v>76</v>
      </c>
      <c r="G69" s="27"/>
      <c r="H69" s="27"/>
      <c r="I69" s="27"/>
      <c r="J69" s="27"/>
      <c r="K69" s="27"/>
      <c r="L69" s="33" t="s">
        <v>1337</v>
      </c>
      <c r="M69" s="41"/>
      <c r="O69" s="2">
        <v>12</v>
      </c>
    </row>
    <row r="70" ht="16.5" customHeight="1" spans="1:15">
      <c r="A70" s="14">
        <v>13</v>
      </c>
      <c r="B70" s="23">
        <v>171810336</v>
      </c>
      <c r="C70" s="16" t="s">
        <v>1415</v>
      </c>
      <c r="D70" s="16" t="s">
        <v>1277</v>
      </c>
      <c r="E70" s="23" t="s">
        <v>1416</v>
      </c>
      <c r="F70" s="14" t="s">
        <v>61</v>
      </c>
      <c r="G70" s="14"/>
      <c r="H70" s="14"/>
      <c r="I70" s="14"/>
      <c r="J70" s="14"/>
      <c r="K70" s="14"/>
      <c r="L70" s="35" t="s">
        <v>1417</v>
      </c>
      <c r="M70" s="41"/>
      <c r="O70" s="2">
        <v>13</v>
      </c>
    </row>
    <row r="71" ht="16.5" customHeight="1" spans="1:15">
      <c r="A71" s="24">
        <v>14</v>
      </c>
      <c r="B71" s="23">
        <v>171810191</v>
      </c>
      <c r="C71" s="16" t="s">
        <v>1418</v>
      </c>
      <c r="D71" s="16" t="s">
        <v>1282</v>
      </c>
      <c r="E71" s="23" t="s">
        <v>1419</v>
      </c>
      <c r="F71" s="27" t="s">
        <v>76</v>
      </c>
      <c r="G71" s="27"/>
      <c r="H71" s="27"/>
      <c r="I71" s="27"/>
      <c r="J71" s="27"/>
      <c r="K71" s="27"/>
      <c r="L71" s="34" t="s">
        <v>1420</v>
      </c>
      <c r="M71" s="41"/>
      <c r="O71" s="2">
        <v>14</v>
      </c>
    </row>
    <row r="72" ht="16.5" customHeight="1" spans="1:13">
      <c r="A72" s="14">
        <v>15</v>
      </c>
      <c r="B72" s="23">
        <v>171810300</v>
      </c>
      <c r="C72" s="16" t="s">
        <v>1421</v>
      </c>
      <c r="D72" s="16" t="s">
        <v>1286</v>
      </c>
      <c r="E72" s="23" t="s">
        <v>1422</v>
      </c>
      <c r="F72" s="14" t="s">
        <v>76</v>
      </c>
      <c r="G72" s="14"/>
      <c r="H72" s="14"/>
      <c r="I72" s="14"/>
      <c r="J72" s="14"/>
      <c r="K72" s="14"/>
      <c r="L72" s="33" t="s">
        <v>1423</v>
      </c>
      <c r="M72" s="41"/>
    </row>
    <row r="73" ht="16.5" customHeight="1" spans="1:13">
      <c r="A73" s="24">
        <v>16</v>
      </c>
      <c r="B73" s="23">
        <v>171810192</v>
      </c>
      <c r="C73" s="16" t="s">
        <v>1424</v>
      </c>
      <c r="D73" s="16" t="s">
        <v>1282</v>
      </c>
      <c r="E73" s="23" t="s">
        <v>1425</v>
      </c>
      <c r="F73" s="14" t="s">
        <v>76</v>
      </c>
      <c r="G73" s="14"/>
      <c r="H73" s="14"/>
      <c r="I73" s="14"/>
      <c r="J73" s="14"/>
      <c r="K73" s="14"/>
      <c r="L73" s="35" t="s">
        <v>1296</v>
      </c>
      <c r="M73" s="41"/>
    </row>
    <row r="74" ht="16.5" customHeight="1" spans="1:13">
      <c r="A74" s="14">
        <v>17</v>
      </c>
      <c r="B74" s="23">
        <v>171810301</v>
      </c>
      <c r="C74" s="16" t="s">
        <v>1426</v>
      </c>
      <c r="D74" s="16" t="s">
        <v>1286</v>
      </c>
      <c r="E74" s="23" t="s">
        <v>1427</v>
      </c>
      <c r="F74" s="14" t="s">
        <v>61</v>
      </c>
      <c r="G74" s="14"/>
      <c r="H74" s="14"/>
      <c r="I74" s="14"/>
      <c r="J74" s="14"/>
      <c r="K74" s="14"/>
      <c r="L74" s="35" t="s">
        <v>60</v>
      </c>
      <c r="M74" s="41"/>
    </row>
    <row r="75" ht="16.5" customHeight="1" spans="1:13">
      <c r="A75" s="24">
        <v>18</v>
      </c>
      <c r="B75" s="23">
        <v>171810193</v>
      </c>
      <c r="C75" s="16" t="s">
        <v>1428</v>
      </c>
      <c r="D75" s="16" t="s">
        <v>1282</v>
      </c>
      <c r="E75" s="23" t="s">
        <v>1429</v>
      </c>
      <c r="F75" s="14" t="s">
        <v>61</v>
      </c>
      <c r="G75" s="14"/>
      <c r="H75" s="14"/>
      <c r="I75" s="14"/>
      <c r="J75" s="14"/>
      <c r="K75" s="14"/>
      <c r="L75" s="35" t="s">
        <v>158</v>
      </c>
      <c r="M75" s="41"/>
    </row>
    <row r="76" ht="16.5" customHeight="1" spans="1:13">
      <c r="A76" s="14">
        <v>19</v>
      </c>
      <c r="B76" s="23">
        <v>171810264</v>
      </c>
      <c r="C76" s="16" t="s">
        <v>1430</v>
      </c>
      <c r="D76" s="16" t="s">
        <v>1294</v>
      </c>
      <c r="E76" s="23" t="s">
        <v>1431</v>
      </c>
      <c r="F76" s="27" t="s">
        <v>61</v>
      </c>
      <c r="G76" s="27"/>
      <c r="H76" s="27"/>
      <c r="I76" s="27"/>
      <c r="J76" s="27"/>
      <c r="K76" s="27"/>
      <c r="L76" s="33" t="s">
        <v>60</v>
      </c>
      <c r="M76" s="41"/>
    </row>
    <row r="77" ht="16.5" customHeight="1" spans="1:13">
      <c r="A77" s="24">
        <v>20</v>
      </c>
      <c r="B77" s="23">
        <v>171810342</v>
      </c>
      <c r="C77" s="16" t="s">
        <v>1432</v>
      </c>
      <c r="D77" s="16" t="s">
        <v>1277</v>
      </c>
      <c r="E77" s="23" t="s">
        <v>1433</v>
      </c>
      <c r="F77" s="14" t="s">
        <v>61</v>
      </c>
      <c r="G77" s="14"/>
      <c r="H77" s="14"/>
      <c r="I77" s="14"/>
      <c r="J77" s="14"/>
      <c r="K77" s="14"/>
      <c r="L77" s="35" t="s">
        <v>1342</v>
      </c>
      <c r="M77" s="41"/>
    </row>
    <row r="78" ht="16.5" customHeight="1" spans="1:13">
      <c r="A78" s="14">
        <v>21</v>
      </c>
      <c r="B78" s="23">
        <v>171810269</v>
      </c>
      <c r="C78" s="16" t="s">
        <v>1434</v>
      </c>
      <c r="D78" s="16" t="s">
        <v>1294</v>
      </c>
      <c r="E78" s="23" t="s">
        <v>1435</v>
      </c>
      <c r="F78" s="27" t="s">
        <v>76</v>
      </c>
      <c r="G78" s="27"/>
      <c r="H78" s="27"/>
      <c r="I78" s="27"/>
      <c r="J78" s="27"/>
      <c r="K78" s="27"/>
      <c r="L78" s="33" t="s">
        <v>60</v>
      </c>
      <c r="M78" s="41"/>
    </row>
    <row r="79" ht="16.5" customHeight="1" spans="1:13">
      <c r="A79" s="24">
        <v>22</v>
      </c>
      <c r="B79" s="23">
        <v>171810345</v>
      </c>
      <c r="C79" s="16" t="s">
        <v>1436</v>
      </c>
      <c r="D79" s="16" t="s">
        <v>1277</v>
      </c>
      <c r="E79" s="23" t="s">
        <v>1437</v>
      </c>
      <c r="F79" s="14" t="s">
        <v>76</v>
      </c>
      <c r="G79" s="14"/>
      <c r="H79" s="14"/>
      <c r="I79" s="14"/>
      <c r="J79" s="14"/>
      <c r="K79" s="14"/>
      <c r="L79" s="35" t="s">
        <v>1296</v>
      </c>
      <c r="M79" s="41"/>
    </row>
    <row r="80" ht="16.5" customHeight="1" spans="1:13">
      <c r="A80" s="14">
        <v>23</v>
      </c>
      <c r="B80" s="23">
        <v>171810240</v>
      </c>
      <c r="C80" s="16" t="s">
        <v>1438</v>
      </c>
      <c r="D80" s="16" t="s">
        <v>1290</v>
      </c>
      <c r="E80" s="23" t="s">
        <v>1439</v>
      </c>
      <c r="F80" s="14" t="s">
        <v>76</v>
      </c>
      <c r="G80" s="14"/>
      <c r="H80" s="14"/>
      <c r="I80" s="14"/>
      <c r="J80" s="14"/>
      <c r="K80" s="14"/>
      <c r="L80" s="35" t="s">
        <v>1440</v>
      </c>
      <c r="M80" s="41"/>
    </row>
    <row r="81" ht="16.5" customHeight="1" spans="1:13">
      <c r="A81" s="24">
        <v>24</v>
      </c>
      <c r="B81" s="23">
        <v>171810272</v>
      </c>
      <c r="C81" s="16" t="s">
        <v>1441</v>
      </c>
      <c r="D81" s="16" t="s">
        <v>1294</v>
      </c>
      <c r="E81" s="23" t="s">
        <v>1442</v>
      </c>
      <c r="F81" s="14" t="s">
        <v>61</v>
      </c>
      <c r="G81" s="14"/>
      <c r="H81" s="14"/>
      <c r="I81" s="14"/>
      <c r="J81" s="14"/>
      <c r="K81" s="14"/>
      <c r="L81" s="35" t="s">
        <v>1417</v>
      </c>
      <c r="M81" s="41"/>
    </row>
    <row r="82" ht="16.5" customHeight="1" spans="1:13">
      <c r="A82" s="14">
        <v>25</v>
      </c>
      <c r="B82" s="23">
        <v>171810273</v>
      </c>
      <c r="C82" s="16" t="s">
        <v>1443</v>
      </c>
      <c r="D82" s="16" t="s">
        <v>1294</v>
      </c>
      <c r="E82" s="23" t="s">
        <v>1444</v>
      </c>
      <c r="F82" s="27" t="s">
        <v>61</v>
      </c>
      <c r="G82" s="27"/>
      <c r="H82" s="27"/>
      <c r="I82" s="27"/>
      <c r="J82" s="27"/>
      <c r="K82" s="27"/>
      <c r="L82" s="33" t="s">
        <v>1342</v>
      </c>
      <c r="M82" s="41"/>
    </row>
    <row r="83" ht="16.5" customHeight="1" spans="1:13">
      <c r="A83" s="24">
        <v>26</v>
      </c>
      <c r="B83" s="23">
        <v>171810242</v>
      </c>
      <c r="C83" s="16" t="s">
        <v>1445</v>
      </c>
      <c r="D83" s="16" t="s">
        <v>1290</v>
      </c>
      <c r="E83" s="23" t="s">
        <v>1446</v>
      </c>
      <c r="F83" s="27" t="s">
        <v>61</v>
      </c>
      <c r="G83" s="27"/>
      <c r="H83" s="27"/>
      <c r="I83" s="27"/>
      <c r="J83" s="27"/>
      <c r="K83" s="27"/>
      <c r="L83" s="33" t="s">
        <v>158</v>
      </c>
      <c r="M83" s="41"/>
    </row>
    <row r="84" ht="16.5" customHeight="1" spans="1:13">
      <c r="A84" s="14">
        <v>27</v>
      </c>
      <c r="B84" s="23">
        <v>171810206</v>
      </c>
      <c r="C84" s="16" t="s">
        <v>1447</v>
      </c>
      <c r="D84" s="16" t="s">
        <v>1282</v>
      </c>
      <c r="E84" s="23" t="s">
        <v>1448</v>
      </c>
      <c r="F84" s="27" t="s">
        <v>61</v>
      </c>
      <c r="G84" s="27"/>
      <c r="H84" s="27"/>
      <c r="I84" s="27"/>
      <c r="J84" s="27"/>
      <c r="K84" s="27"/>
      <c r="L84" s="34" t="s">
        <v>1449</v>
      </c>
      <c r="M84" s="41"/>
    </row>
    <row r="85" ht="16.5" customHeight="1" spans="1:13">
      <c r="A85" s="24">
        <v>28</v>
      </c>
      <c r="B85" s="23">
        <v>171810352</v>
      </c>
      <c r="C85" s="16" t="s">
        <v>1450</v>
      </c>
      <c r="D85" s="16" t="s">
        <v>1277</v>
      </c>
      <c r="E85" s="23" t="s">
        <v>1451</v>
      </c>
      <c r="F85" s="14" t="s">
        <v>61</v>
      </c>
      <c r="G85" s="14"/>
      <c r="H85" s="14"/>
      <c r="I85" s="14"/>
      <c r="J85" s="14"/>
      <c r="K85" s="14"/>
      <c r="L85" s="35" t="s">
        <v>1309</v>
      </c>
      <c r="M85" s="41"/>
    </row>
    <row r="86" ht="16.5" customHeight="1" spans="1:13">
      <c r="A86" s="14">
        <v>29</v>
      </c>
      <c r="B86" s="23">
        <v>171810174</v>
      </c>
      <c r="C86" s="16" t="s">
        <v>1452</v>
      </c>
      <c r="D86" s="16" t="s">
        <v>1290</v>
      </c>
      <c r="E86" s="23" t="s">
        <v>1453</v>
      </c>
      <c r="F86" s="14" t="s">
        <v>76</v>
      </c>
      <c r="G86" s="14"/>
      <c r="H86" s="14"/>
      <c r="I86" s="14"/>
      <c r="J86" s="14"/>
      <c r="K86" s="14"/>
      <c r="L86" s="35" t="s">
        <v>1337</v>
      </c>
      <c r="M86" s="41"/>
    </row>
    <row r="87" ht="16.5" customHeight="1" spans="1:13">
      <c r="A87" s="24">
        <v>30</v>
      </c>
      <c r="B87" s="23">
        <v>171810246</v>
      </c>
      <c r="C87" s="16" t="s">
        <v>1454</v>
      </c>
      <c r="D87" s="16" t="s">
        <v>1290</v>
      </c>
      <c r="E87" s="23" t="s">
        <v>1455</v>
      </c>
      <c r="F87" s="27" t="s">
        <v>61</v>
      </c>
      <c r="G87" s="27"/>
      <c r="H87" s="27"/>
      <c r="I87" s="27"/>
      <c r="J87" s="27"/>
      <c r="K87" s="27"/>
      <c r="L87" s="33" t="s">
        <v>211</v>
      </c>
      <c r="M87" s="41"/>
    </row>
    <row r="88" ht="16.5" customHeight="1" spans="1:13">
      <c r="A88" s="14">
        <v>31</v>
      </c>
      <c r="B88" s="23">
        <v>171810316</v>
      </c>
      <c r="C88" s="16" t="s">
        <v>1456</v>
      </c>
      <c r="D88" s="16" t="s">
        <v>1286</v>
      </c>
      <c r="E88" s="23" t="s">
        <v>1457</v>
      </c>
      <c r="F88" s="27" t="s">
        <v>61</v>
      </c>
      <c r="G88" s="27"/>
      <c r="H88" s="27"/>
      <c r="I88" s="27"/>
      <c r="J88" s="27"/>
      <c r="K88" s="27"/>
      <c r="L88" s="33" t="s">
        <v>60</v>
      </c>
      <c r="M88" s="41"/>
    </row>
    <row r="89" ht="16.5" customHeight="1" spans="1:13">
      <c r="A89" s="24">
        <v>32</v>
      </c>
      <c r="B89" s="23">
        <v>171810210</v>
      </c>
      <c r="C89" s="16" t="s">
        <v>1458</v>
      </c>
      <c r="D89" s="16" t="s">
        <v>1282</v>
      </c>
      <c r="E89" s="23" t="s">
        <v>1459</v>
      </c>
      <c r="F89" s="27" t="s">
        <v>61</v>
      </c>
      <c r="G89" s="27"/>
      <c r="H89" s="27"/>
      <c r="I89" s="27"/>
      <c r="J89" s="27"/>
      <c r="K89" s="27"/>
      <c r="L89" s="34" t="s">
        <v>1460</v>
      </c>
      <c r="M89" s="41"/>
    </row>
    <row r="90" ht="16.5" customHeight="1" spans="1:13">
      <c r="A90" s="14">
        <v>33</v>
      </c>
      <c r="B90" s="23">
        <v>171810353</v>
      </c>
      <c r="C90" s="16" t="s">
        <v>1461</v>
      </c>
      <c r="D90" s="16" t="s">
        <v>1277</v>
      </c>
      <c r="E90" s="23" t="s">
        <v>1462</v>
      </c>
      <c r="F90" s="14" t="s">
        <v>61</v>
      </c>
      <c r="G90" s="14"/>
      <c r="H90" s="14"/>
      <c r="I90" s="14"/>
      <c r="J90" s="14"/>
      <c r="K90" s="14"/>
      <c r="L90" s="35" t="s">
        <v>158</v>
      </c>
      <c r="M90" s="41"/>
    </row>
    <row r="91" ht="16.5" customHeight="1" spans="1:13">
      <c r="A91" s="24">
        <v>34</v>
      </c>
      <c r="B91" s="23">
        <v>171810213</v>
      </c>
      <c r="C91" s="16" t="s">
        <v>1463</v>
      </c>
      <c r="D91" s="16" t="s">
        <v>1282</v>
      </c>
      <c r="E91" s="23" t="s">
        <v>1464</v>
      </c>
      <c r="F91" s="14" t="s">
        <v>61</v>
      </c>
      <c r="G91" s="14"/>
      <c r="H91" s="14"/>
      <c r="I91" s="14"/>
      <c r="J91" s="14"/>
      <c r="K91" s="14"/>
      <c r="L91" s="35" t="s">
        <v>60</v>
      </c>
      <c r="M91" s="41"/>
    </row>
    <row r="92" ht="16.5" customHeight="1" spans="1:13">
      <c r="A92" s="14">
        <v>35</v>
      </c>
      <c r="B92" s="23">
        <v>171810358</v>
      </c>
      <c r="C92" s="16" t="s">
        <v>1465</v>
      </c>
      <c r="D92" s="16" t="s">
        <v>1277</v>
      </c>
      <c r="E92" s="23" t="s">
        <v>1466</v>
      </c>
      <c r="F92" s="27" t="s">
        <v>61</v>
      </c>
      <c r="G92" s="27"/>
      <c r="H92" s="27"/>
      <c r="I92" s="27"/>
      <c r="J92" s="27"/>
      <c r="K92" s="27"/>
      <c r="L92" s="35" t="s">
        <v>60</v>
      </c>
      <c r="M92" s="41"/>
    </row>
    <row r="93" ht="13.5" customHeight="1" spans="1:13">
      <c r="A93" s="24">
        <v>36</v>
      </c>
      <c r="B93" s="23">
        <v>171810285</v>
      </c>
      <c r="C93" s="16" t="s">
        <v>1467</v>
      </c>
      <c r="D93" s="16" t="s">
        <v>1294</v>
      </c>
      <c r="E93" s="23" t="s">
        <v>1468</v>
      </c>
      <c r="F93" s="14" t="s">
        <v>76</v>
      </c>
      <c r="G93" s="14"/>
      <c r="H93" s="14"/>
      <c r="I93" s="14"/>
      <c r="J93" s="14"/>
      <c r="K93" s="14"/>
      <c r="L93" s="35" t="s">
        <v>1469</v>
      </c>
      <c r="M93" s="41"/>
    </row>
    <row r="94" customHeight="1" spans="1:13">
      <c r="A94" s="18"/>
      <c r="B94" s="19"/>
      <c r="C94" s="19"/>
      <c r="D94" s="19"/>
      <c r="E94" s="29" t="s">
        <v>1383</v>
      </c>
      <c r="F94" s="19">
        <v>14</v>
      </c>
      <c r="G94" s="19"/>
      <c r="H94" s="19"/>
      <c r="I94" s="19"/>
      <c r="J94" s="19"/>
      <c r="K94" s="19"/>
      <c r="L94" s="19"/>
      <c r="M94" s="19"/>
    </row>
    <row r="95" customHeight="1" spans="1:13">
      <c r="A95" s="18"/>
      <c r="B95" s="19"/>
      <c r="C95" s="19"/>
      <c r="D95" s="19"/>
      <c r="E95" s="29" t="s">
        <v>1384</v>
      </c>
      <c r="F95" s="19">
        <f>COUNTIF(F58:F93,"P")</f>
        <v>22</v>
      </c>
      <c r="G95" s="19"/>
      <c r="H95" s="19"/>
      <c r="I95" s="19"/>
      <c r="J95" s="19"/>
      <c r="K95" s="19"/>
      <c r="L95" s="19"/>
      <c r="M95" s="19"/>
    </row>
    <row r="96" customHeight="1" spans="1:13">
      <c r="A96" s="18"/>
      <c r="B96" s="18" t="s">
        <v>1385</v>
      </c>
      <c r="C96" s="19"/>
      <c r="D96" s="19"/>
      <c r="E96" s="18"/>
      <c r="F96" s="25" t="s">
        <v>1386</v>
      </c>
      <c r="G96" s="19"/>
      <c r="H96" s="19"/>
      <c r="I96" s="19"/>
      <c r="J96" s="19"/>
      <c r="K96" s="19"/>
      <c r="L96" s="19"/>
      <c r="M96" s="19"/>
    </row>
    <row r="97" customHeight="1" spans="1:13">
      <c r="A97" s="18"/>
      <c r="B97" s="19"/>
      <c r="C97" s="19"/>
      <c r="D97" s="19"/>
      <c r="E97" s="18"/>
      <c r="F97" s="19"/>
      <c r="G97" s="19"/>
      <c r="H97" s="19"/>
      <c r="I97" s="19"/>
      <c r="J97" s="19"/>
      <c r="K97" s="19"/>
      <c r="L97" s="19"/>
      <c r="M97" s="19"/>
    </row>
    <row r="98" customHeight="1" spans="1:13">
      <c r="A98" s="18"/>
      <c r="B98" s="19"/>
      <c r="C98" s="19"/>
      <c r="D98" s="19"/>
      <c r="E98" s="18"/>
      <c r="F98" s="19"/>
      <c r="G98" s="19"/>
      <c r="H98" s="19"/>
      <c r="I98" s="19"/>
      <c r="J98" s="19"/>
      <c r="K98" s="19"/>
      <c r="L98" s="19"/>
      <c r="M98" s="19"/>
    </row>
    <row r="99" customHeight="1" spans="1:13">
      <c r="A99" s="18"/>
      <c r="B99" s="20" t="s">
        <v>1387</v>
      </c>
      <c r="C99" s="19"/>
      <c r="D99" s="19"/>
      <c r="E99" s="18"/>
      <c r="F99" s="30"/>
      <c r="G99" s="30"/>
      <c r="H99" s="30"/>
      <c r="I99" s="30"/>
      <c r="J99" s="30"/>
      <c r="K99" s="19"/>
      <c r="L99" s="30"/>
      <c r="M99" s="30"/>
    </row>
    <row r="100" customHeight="1" spans="1:13">
      <c r="A100" s="18"/>
      <c r="B100" s="18" t="s">
        <v>1388</v>
      </c>
      <c r="C100" s="19"/>
      <c r="D100" s="19"/>
      <c r="E100" s="18"/>
      <c r="F100" s="19"/>
      <c r="G100" s="19"/>
      <c r="H100" s="19"/>
      <c r="I100" s="19"/>
      <c r="J100" s="19"/>
      <c r="K100" s="19"/>
      <c r="L100" s="19"/>
      <c r="M100" s="19"/>
    </row>
    <row r="101" customHeight="1" spans="1:11">
      <c r="A101" s="9" t="s">
        <v>1470</v>
      </c>
      <c r="B101" s="18"/>
      <c r="C101" s="18"/>
      <c r="D101" s="18"/>
      <c r="E101" s="18"/>
      <c r="F101" s="18" t="s">
        <v>1471</v>
      </c>
      <c r="G101" s="31"/>
      <c r="H101" s="31"/>
      <c r="I101" s="31"/>
      <c r="J101" s="31"/>
      <c r="K101" s="31"/>
    </row>
    <row r="102" ht="30" customHeight="1" spans="1:13">
      <c r="A102" s="21" t="s">
        <v>1271</v>
      </c>
      <c r="B102" s="11" t="s">
        <v>13</v>
      </c>
      <c r="C102" s="12" t="s">
        <v>14</v>
      </c>
      <c r="D102" s="22" t="s">
        <v>1272</v>
      </c>
      <c r="E102" s="21" t="s">
        <v>17</v>
      </c>
      <c r="F102" s="21" t="s">
        <v>19</v>
      </c>
      <c r="G102" s="21"/>
      <c r="H102" s="21"/>
      <c r="I102" s="21"/>
      <c r="J102" s="21"/>
      <c r="K102" s="21"/>
      <c r="L102" s="32" t="s">
        <v>1273</v>
      </c>
      <c r="M102" s="40" t="s">
        <v>1274</v>
      </c>
    </row>
    <row r="103" ht="16.5" customHeight="1" spans="1:15">
      <c r="A103" s="14">
        <v>1</v>
      </c>
      <c r="B103" s="24">
        <v>171810217</v>
      </c>
      <c r="C103" s="43" t="s">
        <v>1472</v>
      </c>
      <c r="D103" s="16" t="s">
        <v>1290</v>
      </c>
      <c r="E103" s="28" t="s">
        <v>1473</v>
      </c>
      <c r="F103" s="24" t="s">
        <v>76</v>
      </c>
      <c r="G103" s="24"/>
      <c r="H103" s="24"/>
      <c r="I103" s="24"/>
      <c r="J103" s="24"/>
      <c r="K103" s="24"/>
      <c r="L103" s="35" t="s">
        <v>1474</v>
      </c>
      <c r="M103" s="38"/>
      <c r="O103" s="2">
        <v>1</v>
      </c>
    </row>
    <row r="104" ht="16.5" customHeight="1" spans="1:15">
      <c r="A104" s="24">
        <v>2</v>
      </c>
      <c r="B104" s="24">
        <v>171810252</v>
      </c>
      <c r="C104" s="43" t="s">
        <v>1475</v>
      </c>
      <c r="D104" s="16" t="s">
        <v>1294</v>
      </c>
      <c r="E104" s="28" t="s">
        <v>1476</v>
      </c>
      <c r="F104" s="24" t="s">
        <v>61</v>
      </c>
      <c r="G104" s="24"/>
      <c r="H104" s="24"/>
      <c r="I104" s="24"/>
      <c r="J104" s="24"/>
      <c r="K104" s="24"/>
      <c r="L104" s="35" t="s">
        <v>1309</v>
      </c>
      <c r="M104" s="38"/>
      <c r="O104" s="2">
        <v>2</v>
      </c>
    </row>
    <row r="105" ht="16.5" customHeight="1" spans="1:15">
      <c r="A105" s="14">
        <v>3</v>
      </c>
      <c r="B105" s="24">
        <v>171810326</v>
      </c>
      <c r="C105" s="43" t="s">
        <v>1477</v>
      </c>
      <c r="D105" s="16" t="s">
        <v>1277</v>
      </c>
      <c r="E105" s="23" t="s">
        <v>1478</v>
      </c>
      <c r="F105" s="27" t="s">
        <v>61</v>
      </c>
      <c r="G105" s="27"/>
      <c r="H105" s="27"/>
      <c r="I105" s="27"/>
      <c r="J105" s="27"/>
      <c r="K105" s="27"/>
      <c r="L105" s="33" t="s">
        <v>60</v>
      </c>
      <c r="M105" s="38"/>
      <c r="O105" s="2">
        <v>3</v>
      </c>
    </row>
    <row r="106" ht="16.5" customHeight="1" spans="1:15">
      <c r="A106" s="24">
        <v>4</v>
      </c>
      <c r="B106" s="24">
        <v>171810328</v>
      </c>
      <c r="C106" s="43" t="s">
        <v>1479</v>
      </c>
      <c r="D106" s="16" t="s">
        <v>1277</v>
      </c>
      <c r="E106" s="28" t="s">
        <v>1480</v>
      </c>
      <c r="F106" s="24" t="s">
        <v>76</v>
      </c>
      <c r="G106" s="24"/>
      <c r="H106" s="24"/>
      <c r="I106" s="24"/>
      <c r="J106" s="24"/>
      <c r="K106" s="24"/>
      <c r="L106" s="35" t="s">
        <v>1296</v>
      </c>
      <c r="M106" s="38"/>
      <c r="O106" s="2">
        <v>4</v>
      </c>
    </row>
    <row r="107" ht="16.5" customHeight="1" spans="1:15">
      <c r="A107" s="14">
        <v>5</v>
      </c>
      <c r="B107" s="24">
        <v>171810290</v>
      </c>
      <c r="C107" s="43" t="s">
        <v>1481</v>
      </c>
      <c r="D107" s="16" t="s">
        <v>1286</v>
      </c>
      <c r="E107" s="28" t="s">
        <v>1482</v>
      </c>
      <c r="F107" s="24" t="s">
        <v>61</v>
      </c>
      <c r="G107" s="24"/>
      <c r="H107" s="24"/>
      <c r="I107" s="24"/>
      <c r="J107" s="24"/>
      <c r="K107" s="24"/>
      <c r="L107" s="35" t="s">
        <v>1375</v>
      </c>
      <c r="M107" s="38"/>
      <c r="O107" s="2">
        <v>5</v>
      </c>
    </row>
    <row r="108" ht="16.5" customHeight="1" spans="1:15">
      <c r="A108" s="24">
        <v>6</v>
      </c>
      <c r="B108" s="24">
        <v>171810186</v>
      </c>
      <c r="C108" s="43" t="s">
        <v>1483</v>
      </c>
      <c r="D108" s="16" t="s">
        <v>1282</v>
      </c>
      <c r="E108" s="28" t="s">
        <v>1484</v>
      </c>
      <c r="F108" s="24" t="s">
        <v>61</v>
      </c>
      <c r="G108" s="24"/>
      <c r="H108" s="24"/>
      <c r="I108" s="24"/>
      <c r="J108" s="24"/>
      <c r="K108" s="24"/>
      <c r="L108" s="35" t="s">
        <v>1364</v>
      </c>
      <c r="M108" s="38"/>
      <c r="O108" s="2">
        <v>6</v>
      </c>
    </row>
    <row r="109" ht="16.5" customHeight="1" spans="1:15">
      <c r="A109" s="14">
        <v>7</v>
      </c>
      <c r="B109" s="24">
        <v>171810224</v>
      </c>
      <c r="C109" s="43" t="s">
        <v>1485</v>
      </c>
      <c r="D109" s="16" t="s">
        <v>1290</v>
      </c>
      <c r="E109" s="28" t="s">
        <v>1486</v>
      </c>
      <c r="F109" s="24" t="s">
        <v>61</v>
      </c>
      <c r="G109" s="24"/>
      <c r="H109" s="24"/>
      <c r="I109" s="24"/>
      <c r="J109" s="24"/>
      <c r="K109" s="24"/>
      <c r="L109" s="35" t="s">
        <v>1296</v>
      </c>
      <c r="M109" s="38"/>
      <c r="O109" s="2">
        <v>7</v>
      </c>
    </row>
    <row r="110" ht="16.5" customHeight="1" spans="1:15">
      <c r="A110" s="24">
        <v>8</v>
      </c>
      <c r="B110" s="24">
        <v>171810295</v>
      </c>
      <c r="C110" s="43" t="s">
        <v>1487</v>
      </c>
      <c r="D110" s="16" t="s">
        <v>1286</v>
      </c>
      <c r="E110" s="23" t="s">
        <v>1488</v>
      </c>
      <c r="F110" s="27" t="s">
        <v>61</v>
      </c>
      <c r="G110" s="27"/>
      <c r="H110" s="27"/>
      <c r="I110" s="27"/>
      <c r="J110" s="27"/>
      <c r="K110" s="27"/>
      <c r="L110" s="33" t="s">
        <v>158</v>
      </c>
      <c r="M110" s="38"/>
      <c r="O110" s="2">
        <v>8</v>
      </c>
    </row>
    <row r="111" ht="16.5" customHeight="1" spans="1:15">
      <c r="A111" s="14">
        <v>9</v>
      </c>
      <c r="B111" s="24">
        <v>171810228</v>
      </c>
      <c r="C111" s="43" t="s">
        <v>1489</v>
      </c>
      <c r="D111" s="16" t="s">
        <v>1290</v>
      </c>
      <c r="E111" s="28" t="s">
        <v>1490</v>
      </c>
      <c r="F111" s="24" t="s">
        <v>76</v>
      </c>
      <c r="G111" s="24"/>
      <c r="H111" s="24"/>
      <c r="I111" s="24"/>
      <c r="J111" s="24"/>
      <c r="K111" s="24"/>
      <c r="L111" s="35" t="s">
        <v>158</v>
      </c>
      <c r="M111" s="38"/>
      <c r="O111" s="2">
        <v>9</v>
      </c>
    </row>
    <row r="112" ht="16.5" customHeight="1" spans="1:15">
      <c r="A112" s="24">
        <v>10</v>
      </c>
      <c r="B112" s="24">
        <v>171810335</v>
      </c>
      <c r="C112" s="43" t="s">
        <v>1491</v>
      </c>
      <c r="D112" s="16" t="s">
        <v>1277</v>
      </c>
      <c r="E112" s="28" t="s">
        <v>1492</v>
      </c>
      <c r="F112" s="24" t="s">
        <v>76</v>
      </c>
      <c r="G112" s="24"/>
      <c r="H112" s="24"/>
      <c r="I112" s="24"/>
      <c r="J112" s="24"/>
      <c r="K112" s="24"/>
      <c r="L112" s="35" t="s">
        <v>1296</v>
      </c>
      <c r="M112" s="38"/>
      <c r="O112" s="2">
        <v>10</v>
      </c>
    </row>
    <row r="113" ht="16.5" customHeight="1" spans="1:21">
      <c r="A113" s="14">
        <v>11</v>
      </c>
      <c r="B113" s="24">
        <v>171810190</v>
      </c>
      <c r="C113" s="43" t="s">
        <v>1493</v>
      </c>
      <c r="D113" s="16" t="s">
        <v>1282</v>
      </c>
      <c r="E113" s="23" t="s">
        <v>1494</v>
      </c>
      <c r="F113" s="27" t="s">
        <v>61</v>
      </c>
      <c r="G113" s="27"/>
      <c r="H113" s="27"/>
      <c r="I113" s="27"/>
      <c r="J113" s="27"/>
      <c r="K113" s="27"/>
      <c r="L113" s="34" t="s">
        <v>60</v>
      </c>
      <c r="M113" s="38"/>
      <c r="O113" s="2">
        <v>11</v>
      </c>
      <c r="T113" s="3"/>
      <c r="U113" s="3"/>
    </row>
    <row r="114" ht="16.5" customHeight="1" spans="1:21">
      <c r="A114" s="24">
        <v>12</v>
      </c>
      <c r="B114" s="24">
        <v>171810299</v>
      </c>
      <c r="C114" s="43" t="s">
        <v>1495</v>
      </c>
      <c r="D114" s="16" t="s">
        <v>1286</v>
      </c>
      <c r="E114" s="23" t="s">
        <v>1496</v>
      </c>
      <c r="F114" s="27" t="s">
        <v>76</v>
      </c>
      <c r="G114" s="27"/>
      <c r="H114" s="27"/>
      <c r="I114" s="27"/>
      <c r="J114" s="27"/>
      <c r="K114" s="27"/>
      <c r="L114" s="33" t="s">
        <v>158</v>
      </c>
      <c r="M114" s="38"/>
      <c r="O114" s="2">
        <v>12</v>
      </c>
      <c r="T114" s="3"/>
      <c r="U114" s="3"/>
    </row>
    <row r="115" ht="16.5" customHeight="1" spans="1:15">
      <c r="A115" s="14">
        <v>13</v>
      </c>
      <c r="B115" s="24">
        <v>171810338</v>
      </c>
      <c r="C115" s="43" t="s">
        <v>1497</v>
      </c>
      <c r="D115" s="16" t="s">
        <v>1277</v>
      </c>
      <c r="E115" s="23" t="s">
        <v>1498</v>
      </c>
      <c r="F115" s="27" t="s">
        <v>76</v>
      </c>
      <c r="G115" s="27"/>
      <c r="H115" s="27"/>
      <c r="I115" s="27"/>
      <c r="J115" s="27"/>
      <c r="K115" s="27"/>
      <c r="L115" s="33" t="s">
        <v>397</v>
      </c>
      <c r="M115" s="38"/>
      <c r="O115" s="2">
        <v>13</v>
      </c>
    </row>
    <row r="116" ht="16.5" customHeight="1" spans="1:15">
      <c r="A116" s="24">
        <v>14</v>
      </c>
      <c r="B116" s="24">
        <v>171810263</v>
      </c>
      <c r="C116" s="43" t="s">
        <v>1499</v>
      </c>
      <c r="D116" s="16" t="s">
        <v>1294</v>
      </c>
      <c r="E116" s="23" t="s">
        <v>1500</v>
      </c>
      <c r="F116" s="27" t="s">
        <v>61</v>
      </c>
      <c r="G116" s="27"/>
      <c r="H116" s="27"/>
      <c r="I116" s="27"/>
      <c r="J116" s="27"/>
      <c r="K116" s="27"/>
      <c r="L116" s="33" t="s">
        <v>60</v>
      </c>
      <c r="M116" s="38"/>
      <c r="O116" s="2">
        <v>14</v>
      </c>
    </row>
    <row r="117" ht="16.5" customHeight="1" spans="1:13">
      <c r="A117" s="14">
        <v>15</v>
      </c>
      <c r="B117" s="24">
        <v>171810234</v>
      </c>
      <c r="C117" s="43" t="s">
        <v>1501</v>
      </c>
      <c r="D117" s="16" t="s">
        <v>1290</v>
      </c>
      <c r="E117" s="28" t="s">
        <v>1502</v>
      </c>
      <c r="F117" s="24" t="s">
        <v>61</v>
      </c>
      <c r="G117" s="24"/>
      <c r="H117" s="24"/>
      <c r="I117" s="24"/>
      <c r="J117" s="24"/>
      <c r="K117" s="24"/>
      <c r="L117" s="35" t="s">
        <v>1309</v>
      </c>
      <c r="M117" s="38"/>
    </row>
    <row r="118" ht="16.5" customHeight="1" spans="1:13">
      <c r="A118" s="24">
        <v>16</v>
      </c>
      <c r="B118" s="24">
        <v>171810265</v>
      </c>
      <c r="C118" s="43" t="s">
        <v>1503</v>
      </c>
      <c r="D118" s="16" t="s">
        <v>1294</v>
      </c>
      <c r="E118" s="28" t="s">
        <v>1504</v>
      </c>
      <c r="F118" s="24" t="s">
        <v>76</v>
      </c>
      <c r="G118" s="24"/>
      <c r="H118" s="24"/>
      <c r="I118" s="24"/>
      <c r="J118" s="24"/>
      <c r="K118" s="24"/>
      <c r="L118" s="35" t="s">
        <v>1296</v>
      </c>
      <c r="M118" s="38"/>
    </row>
    <row r="119" ht="16.5" customHeight="1" spans="1:13">
      <c r="A119" s="14">
        <v>17</v>
      </c>
      <c r="B119" s="24">
        <v>171810236</v>
      </c>
      <c r="C119" s="43" t="s">
        <v>1505</v>
      </c>
      <c r="D119" s="16" t="s">
        <v>1290</v>
      </c>
      <c r="E119" s="28" t="s">
        <v>1506</v>
      </c>
      <c r="F119" s="24" t="s">
        <v>76</v>
      </c>
      <c r="G119" s="24"/>
      <c r="H119" s="24"/>
      <c r="I119" s="24"/>
      <c r="J119" s="24"/>
      <c r="K119" s="24"/>
      <c r="L119" s="35" t="s">
        <v>1375</v>
      </c>
      <c r="M119" s="38"/>
    </row>
    <row r="120" ht="16.5" customHeight="1" spans="1:13">
      <c r="A120" s="24">
        <v>18</v>
      </c>
      <c r="B120" s="24">
        <v>171810196</v>
      </c>
      <c r="C120" s="43" t="s">
        <v>1507</v>
      </c>
      <c r="D120" s="16" t="s">
        <v>1282</v>
      </c>
      <c r="E120" s="23" t="s">
        <v>1508</v>
      </c>
      <c r="F120" s="27" t="s">
        <v>61</v>
      </c>
      <c r="G120" s="27"/>
      <c r="H120" s="27"/>
      <c r="I120" s="27"/>
      <c r="J120" s="27"/>
      <c r="K120" s="27"/>
      <c r="L120" s="34" t="s">
        <v>60</v>
      </c>
      <c r="M120" s="38"/>
    </row>
    <row r="121" ht="16.5" customHeight="1" spans="1:13">
      <c r="A121" s="14">
        <v>19</v>
      </c>
      <c r="B121" s="24">
        <v>171810198</v>
      </c>
      <c r="C121" s="43" t="s">
        <v>1509</v>
      </c>
      <c r="D121" s="16" t="s">
        <v>1282</v>
      </c>
      <c r="E121" s="23" t="s">
        <v>1510</v>
      </c>
      <c r="F121" s="27" t="s">
        <v>76</v>
      </c>
      <c r="G121" s="27"/>
      <c r="H121" s="27"/>
      <c r="I121" s="27"/>
      <c r="J121" s="27"/>
      <c r="K121" s="27"/>
      <c r="L121" s="34" t="s">
        <v>60</v>
      </c>
      <c r="M121" s="38"/>
    </row>
    <row r="122" ht="16.5" customHeight="1" spans="1:13">
      <c r="A122" s="24">
        <v>20</v>
      </c>
      <c r="B122" s="24">
        <v>171810239</v>
      </c>
      <c r="C122" s="43" t="s">
        <v>1511</v>
      </c>
      <c r="D122" s="16" t="s">
        <v>1290</v>
      </c>
      <c r="E122" s="23" t="s">
        <v>1512</v>
      </c>
      <c r="F122" s="27" t="s">
        <v>76</v>
      </c>
      <c r="G122" s="27"/>
      <c r="H122" s="27"/>
      <c r="I122" s="27"/>
      <c r="J122" s="27"/>
      <c r="K122" s="27"/>
      <c r="L122" s="33" t="s">
        <v>60</v>
      </c>
      <c r="M122" s="38"/>
    </row>
    <row r="123" ht="16.5" customHeight="1" spans="1:13">
      <c r="A123" s="14">
        <v>21</v>
      </c>
      <c r="B123" s="24">
        <v>171810308</v>
      </c>
      <c r="C123" s="43" t="s">
        <v>1513</v>
      </c>
      <c r="D123" s="16" t="s">
        <v>1286</v>
      </c>
      <c r="E123" s="23" t="s">
        <v>1514</v>
      </c>
      <c r="F123" s="27" t="s">
        <v>76</v>
      </c>
      <c r="G123" s="27"/>
      <c r="H123" s="27"/>
      <c r="I123" s="27"/>
      <c r="J123" s="27"/>
      <c r="K123" s="27"/>
      <c r="L123" s="33" t="s">
        <v>60</v>
      </c>
      <c r="M123" s="38"/>
    </row>
    <row r="124" ht="16.5" customHeight="1" spans="1:13">
      <c r="A124" s="24">
        <v>22</v>
      </c>
      <c r="B124" s="24">
        <v>171810204</v>
      </c>
      <c r="C124" s="43" t="s">
        <v>1515</v>
      </c>
      <c r="D124" s="16" t="s">
        <v>1282</v>
      </c>
      <c r="E124" s="28" t="s">
        <v>1516</v>
      </c>
      <c r="F124" s="24" t="s">
        <v>61</v>
      </c>
      <c r="G124" s="24"/>
      <c r="H124" s="24"/>
      <c r="I124" s="24"/>
      <c r="J124" s="24"/>
      <c r="K124" s="24"/>
      <c r="L124" s="35" t="s">
        <v>1296</v>
      </c>
      <c r="M124" s="38"/>
    </row>
    <row r="125" ht="16.5" customHeight="1" spans="1:13">
      <c r="A125" s="14">
        <v>23</v>
      </c>
      <c r="B125" s="24">
        <v>171810274</v>
      </c>
      <c r="C125" s="43" t="s">
        <v>1517</v>
      </c>
      <c r="D125" s="16" t="s">
        <v>1294</v>
      </c>
      <c r="E125" s="23" t="s">
        <v>1518</v>
      </c>
      <c r="F125" s="27" t="s">
        <v>61</v>
      </c>
      <c r="G125" s="27"/>
      <c r="H125" s="27"/>
      <c r="I125" s="27"/>
      <c r="J125" s="27"/>
      <c r="K125" s="27"/>
      <c r="L125" s="33" t="s">
        <v>1519</v>
      </c>
      <c r="M125" s="38"/>
    </row>
    <row r="126" ht="16.5" customHeight="1" spans="1:13">
      <c r="A126" s="24">
        <v>24</v>
      </c>
      <c r="B126" s="24">
        <v>171810275</v>
      </c>
      <c r="C126" s="43" t="s">
        <v>1520</v>
      </c>
      <c r="D126" s="16" t="s">
        <v>1294</v>
      </c>
      <c r="E126" s="28" t="s">
        <v>1521</v>
      </c>
      <c r="F126" s="24" t="s">
        <v>61</v>
      </c>
      <c r="G126" s="24"/>
      <c r="H126" s="24"/>
      <c r="I126" s="24"/>
      <c r="J126" s="24"/>
      <c r="K126" s="24"/>
      <c r="L126" s="35" t="s">
        <v>1469</v>
      </c>
      <c r="M126" s="38"/>
    </row>
    <row r="127" ht="16.5" customHeight="1" spans="1:13">
      <c r="A127" s="14">
        <v>25</v>
      </c>
      <c r="B127" s="24">
        <v>171810349</v>
      </c>
      <c r="C127" s="43" t="s">
        <v>1522</v>
      </c>
      <c r="D127" s="16" t="s">
        <v>1277</v>
      </c>
      <c r="E127" s="23" t="s">
        <v>1523</v>
      </c>
      <c r="F127" s="27" t="s">
        <v>76</v>
      </c>
      <c r="G127" s="27"/>
      <c r="H127" s="27"/>
      <c r="I127" s="27"/>
      <c r="J127" s="27"/>
      <c r="K127" s="27"/>
      <c r="L127" s="33" t="s">
        <v>1364</v>
      </c>
      <c r="M127" s="38"/>
    </row>
    <row r="128" ht="16.5" customHeight="1" spans="1:13">
      <c r="A128" s="24">
        <v>26</v>
      </c>
      <c r="B128" s="24">
        <v>171810244</v>
      </c>
      <c r="C128" s="43" t="s">
        <v>1524</v>
      </c>
      <c r="D128" s="16" t="s">
        <v>1290</v>
      </c>
      <c r="E128" s="23" t="s">
        <v>1525</v>
      </c>
      <c r="F128" s="27" t="s">
        <v>76</v>
      </c>
      <c r="G128" s="27"/>
      <c r="H128" s="27"/>
      <c r="I128" s="27"/>
      <c r="J128" s="27"/>
      <c r="K128" s="27"/>
      <c r="L128" s="33" t="s">
        <v>268</v>
      </c>
      <c r="M128" s="38"/>
    </row>
    <row r="129" ht="16.5" customHeight="1" spans="1:13">
      <c r="A129" s="14">
        <v>27</v>
      </c>
      <c r="B129" s="24">
        <v>171810312</v>
      </c>
      <c r="C129" s="43" t="s">
        <v>1526</v>
      </c>
      <c r="D129" s="16" t="s">
        <v>1286</v>
      </c>
      <c r="E129" s="53" t="s">
        <v>1527</v>
      </c>
      <c r="F129" s="27" t="s">
        <v>61</v>
      </c>
      <c r="G129" s="27"/>
      <c r="H129" s="27"/>
      <c r="I129" s="27"/>
      <c r="J129" s="27"/>
      <c r="K129" s="27"/>
      <c r="L129" s="60" t="s">
        <v>60</v>
      </c>
      <c r="M129" s="38"/>
    </row>
    <row r="130" ht="16.5" customHeight="1" spans="1:13">
      <c r="A130" s="24">
        <v>28</v>
      </c>
      <c r="B130" s="24">
        <v>171810314</v>
      </c>
      <c r="C130" s="43" t="s">
        <v>1528</v>
      </c>
      <c r="D130" s="16" t="s">
        <v>1286</v>
      </c>
      <c r="E130" s="23" t="s">
        <v>1529</v>
      </c>
      <c r="F130" s="27" t="s">
        <v>61</v>
      </c>
      <c r="G130" s="27"/>
      <c r="H130" s="27"/>
      <c r="I130" s="27"/>
      <c r="J130" s="27"/>
      <c r="K130" s="27"/>
      <c r="L130" s="33" t="s">
        <v>1530</v>
      </c>
      <c r="M130" s="38"/>
    </row>
    <row r="131" ht="16.5" customHeight="1" spans="1:13">
      <c r="A131" s="14">
        <v>29</v>
      </c>
      <c r="B131" s="24">
        <v>171810317</v>
      </c>
      <c r="C131" s="43" t="s">
        <v>1531</v>
      </c>
      <c r="D131" s="16" t="s">
        <v>1286</v>
      </c>
      <c r="E131" s="28" t="s">
        <v>1532</v>
      </c>
      <c r="F131" s="24" t="s">
        <v>61</v>
      </c>
      <c r="G131" s="24"/>
      <c r="H131" s="24"/>
      <c r="I131" s="24"/>
      <c r="J131" s="24"/>
      <c r="K131" s="24"/>
      <c r="L131" s="35" t="s">
        <v>1296</v>
      </c>
      <c r="M131" s="38"/>
    </row>
    <row r="132" ht="16.5" customHeight="1" spans="1:16">
      <c r="A132" s="24">
        <v>30</v>
      </c>
      <c r="B132" s="24">
        <v>171810318</v>
      </c>
      <c r="C132" s="43" t="s">
        <v>1533</v>
      </c>
      <c r="D132" s="16" t="s">
        <v>1286</v>
      </c>
      <c r="E132" s="28" t="s">
        <v>1534</v>
      </c>
      <c r="F132" s="24" t="s">
        <v>61</v>
      </c>
      <c r="G132" s="24"/>
      <c r="H132" s="24"/>
      <c r="I132" s="24"/>
      <c r="J132" s="24"/>
      <c r="K132" s="24"/>
      <c r="L132" s="35" t="s">
        <v>1535</v>
      </c>
      <c r="M132" s="38"/>
      <c r="P132" s="2">
        <f>(396*50%)</f>
        <v>198</v>
      </c>
    </row>
    <row r="133" ht="16.5" customHeight="1" spans="1:16">
      <c r="A133" s="14">
        <v>31</v>
      </c>
      <c r="B133" s="24">
        <v>171810283</v>
      </c>
      <c r="C133" s="43" t="s">
        <v>1536</v>
      </c>
      <c r="D133" s="16" t="s">
        <v>1294</v>
      </c>
      <c r="E133" s="28" t="s">
        <v>1537</v>
      </c>
      <c r="F133" s="24" t="s">
        <v>61</v>
      </c>
      <c r="G133" s="24"/>
      <c r="H133" s="24"/>
      <c r="I133" s="24"/>
      <c r="J133" s="24"/>
      <c r="K133" s="24"/>
      <c r="L133" s="35" t="s">
        <v>1296</v>
      </c>
      <c r="M133" s="38"/>
      <c r="P133" s="2">
        <f>P132-34</f>
        <v>164</v>
      </c>
    </row>
    <row r="134" ht="16.5" customHeight="1" spans="1:13">
      <c r="A134" s="24">
        <v>32</v>
      </c>
      <c r="B134" s="24">
        <v>171810284</v>
      </c>
      <c r="C134" s="43" t="s">
        <v>1538</v>
      </c>
      <c r="D134" s="16" t="s">
        <v>1294</v>
      </c>
      <c r="E134" s="28" t="s">
        <v>1539</v>
      </c>
      <c r="F134" s="24" t="s">
        <v>61</v>
      </c>
      <c r="G134" s="24"/>
      <c r="H134" s="24"/>
      <c r="I134" s="24"/>
      <c r="J134" s="24"/>
      <c r="K134" s="24"/>
      <c r="L134" s="35" t="s">
        <v>1324</v>
      </c>
      <c r="M134" s="38"/>
    </row>
    <row r="135" ht="16.5" customHeight="1" spans="1:13">
      <c r="A135" s="14">
        <v>33</v>
      </c>
      <c r="B135" s="24">
        <v>171810249</v>
      </c>
      <c r="C135" s="43" t="s">
        <v>1540</v>
      </c>
      <c r="D135" s="16" t="s">
        <v>1290</v>
      </c>
      <c r="E135" s="23" t="s">
        <v>1541</v>
      </c>
      <c r="F135" s="27" t="s">
        <v>61</v>
      </c>
      <c r="G135" s="27"/>
      <c r="H135" s="27"/>
      <c r="I135" s="27"/>
      <c r="J135" s="27"/>
      <c r="K135" s="27"/>
      <c r="L135" s="33" t="s">
        <v>1342</v>
      </c>
      <c r="M135" s="38"/>
    </row>
    <row r="136" ht="16.5" customHeight="1" spans="1:13">
      <c r="A136" s="24">
        <v>34</v>
      </c>
      <c r="B136" s="24">
        <v>171810215</v>
      </c>
      <c r="C136" s="43" t="s">
        <v>1542</v>
      </c>
      <c r="D136" s="16" t="s">
        <v>1282</v>
      </c>
      <c r="E136" s="28" t="s">
        <v>1543</v>
      </c>
      <c r="F136" s="24" t="s">
        <v>76</v>
      </c>
      <c r="G136" s="24"/>
      <c r="H136" s="24"/>
      <c r="I136" s="24"/>
      <c r="J136" s="24"/>
      <c r="K136" s="24"/>
      <c r="L136" s="35" t="s">
        <v>1309</v>
      </c>
      <c r="M136" s="38"/>
    </row>
    <row r="137" ht="16.5" customHeight="1" spans="1:13">
      <c r="A137" s="24">
        <v>35</v>
      </c>
      <c r="B137" s="24">
        <v>181911400</v>
      </c>
      <c r="C137" s="43" t="s">
        <v>1544</v>
      </c>
      <c r="D137" s="16"/>
      <c r="E137" s="52" t="s">
        <v>1545</v>
      </c>
      <c r="F137" s="24" t="s">
        <v>76</v>
      </c>
      <c r="G137" s="24"/>
      <c r="H137" s="24"/>
      <c r="I137" s="24"/>
      <c r="J137" s="24"/>
      <c r="K137" s="24"/>
      <c r="L137" s="52" t="s">
        <v>1546</v>
      </c>
      <c r="M137" s="38"/>
    </row>
    <row r="138" ht="16.5" customHeight="1" spans="1:13">
      <c r="A138" s="24">
        <v>36</v>
      </c>
      <c r="B138" s="24">
        <v>181911401</v>
      </c>
      <c r="C138" s="43" t="s">
        <v>1547</v>
      </c>
      <c r="D138" s="16"/>
      <c r="E138" s="52" t="s">
        <v>1548</v>
      </c>
      <c r="F138" s="24" t="s">
        <v>76</v>
      </c>
      <c r="G138" s="24"/>
      <c r="H138" s="24"/>
      <c r="I138" s="24"/>
      <c r="J138" s="24"/>
      <c r="K138" s="24"/>
      <c r="L138" s="52" t="s">
        <v>1549</v>
      </c>
      <c r="M138" s="38"/>
    </row>
    <row r="139" ht="14.4" spans="1:13">
      <c r="A139" s="18"/>
      <c r="B139" s="19"/>
      <c r="C139" s="19"/>
      <c r="D139" s="19"/>
      <c r="E139" s="29" t="s">
        <v>1383</v>
      </c>
      <c r="F139" s="19">
        <f>COUNTIF(F103:F138,"L")</f>
        <v>16</v>
      </c>
      <c r="G139" s="19"/>
      <c r="H139" s="19"/>
      <c r="I139" s="19"/>
      <c r="J139" s="19"/>
      <c r="K139" s="19"/>
      <c r="L139" s="19"/>
      <c r="M139" s="19"/>
    </row>
    <row r="140" ht="14.4" spans="1:13">
      <c r="A140" s="18"/>
      <c r="B140" s="19"/>
      <c r="C140" s="19"/>
      <c r="D140" s="19"/>
      <c r="E140" s="29" t="s">
        <v>1384</v>
      </c>
      <c r="F140" s="19">
        <f>COUNTIF(F103:F138,"P")</f>
        <v>20</v>
      </c>
      <c r="G140" s="19"/>
      <c r="H140" s="19"/>
      <c r="I140" s="19"/>
      <c r="J140" s="19"/>
      <c r="K140" s="19"/>
      <c r="L140" s="19"/>
      <c r="M140" s="19"/>
    </row>
    <row r="141" ht="14.4" spans="1:13">
      <c r="A141" s="18"/>
      <c r="B141" s="18" t="s">
        <v>1385</v>
      </c>
      <c r="C141" s="19"/>
      <c r="D141" s="19"/>
      <c r="E141" s="18"/>
      <c r="F141" s="25" t="s">
        <v>1386</v>
      </c>
      <c r="G141" s="19"/>
      <c r="H141" s="19"/>
      <c r="I141" s="19"/>
      <c r="J141" s="19"/>
      <c r="K141" s="19"/>
      <c r="L141" s="19"/>
      <c r="M141" s="19"/>
    </row>
    <row r="142" ht="14.4" spans="1:13">
      <c r="A142" s="18"/>
      <c r="B142" s="19"/>
      <c r="C142" s="19"/>
      <c r="D142" s="19"/>
      <c r="E142" s="18"/>
      <c r="F142" s="19"/>
      <c r="G142" s="19"/>
      <c r="H142" s="19"/>
      <c r="I142" s="19"/>
      <c r="J142" s="19"/>
      <c r="K142" s="19"/>
      <c r="L142" s="19"/>
      <c r="M142" s="19"/>
    </row>
    <row r="143" ht="14.4" spans="1:13">
      <c r="A143" s="18"/>
      <c r="B143" s="19"/>
      <c r="C143" s="19"/>
      <c r="D143" s="19"/>
      <c r="E143" s="18"/>
      <c r="F143" s="19"/>
      <c r="G143" s="19"/>
      <c r="H143" s="19"/>
      <c r="I143" s="19"/>
      <c r="J143" s="19"/>
      <c r="K143" s="19"/>
      <c r="L143" s="19"/>
      <c r="M143" s="19"/>
    </row>
    <row r="144" ht="14.4" spans="1:13">
      <c r="A144" s="18"/>
      <c r="B144" s="20" t="s">
        <v>1387</v>
      </c>
      <c r="C144" s="19"/>
      <c r="D144" s="19"/>
      <c r="E144" s="18"/>
      <c r="F144" s="30"/>
      <c r="G144" s="30"/>
      <c r="H144" s="30"/>
      <c r="I144" s="30"/>
      <c r="J144" s="30"/>
      <c r="K144" s="19"/>
      <c r="L144" s="30"/>
      <c r="M144" s="30"/>
    </row>
    <row r="145" ht="14.4" spans="1:13">
      <c r="A145" s="18"/>
      <c r="B145" s="18" t="s">
        <v>1388</v>
      </c>
      <c r="C145" s="19"/>
      <c r="D145" s="19"/>
      <c r="E145" s="18"/>
      <c r="F145" s="19"/>
      <c r="G145" s="19"/>
      <c r="H145" s="19"/>
      <c r="I145" s="19"/>
      <c r="J145" s="19"/>
      <c r="K145" s="19"/>
      <c r="L145" s="19"/>
      <c r="M145" s="19"/>
    </row>
    <row r="146" ht="14.4" spans="1:11">
      <c r="A146" s="9" t="s">
        <v>1550</v>
      </c>
      <c r="B146" s="18"/>
      <c r="C146" s="18"/>
      <c r="D146" s="18"/>
      <c r="E146" s="18"/>
      <c r="F146" s="25" t="s">
        <v>1551</v>
      </c>
      <c r="G146" s="31"/>
      <c r="H146" s="31"/>
      <c r="I146" s="31"/>
      <c r="J146" s="31"/>
      <c r="K146" s="31"/>
    </row>
    <row r="147" ht="30" customHeight="1" spans="1:13">
      <c r="A147" s="21" t="s">
        <v>1271</v>
      </c>
      <c r="B147" s="11" t="s">
        <v>13</v>
      </c>
      <c r="C147" s="12" t="s">
        <v>14</v>
      </c>
      <c r="D147" s="22" t="s">
        <v>1272</v>
      </c>
      <c r="E147" s="21" t="s">
        <v>17</v>
      </c>
      <c r="F147" s="21" t="s">
        <v>19</v>
      </c>
      <c r="G147" s="21"/>
      <c r="H147" s="21"/>
      <c r="I147" s="21"/>
      <c r="J147" s="21"/>
      <c r="K147" s="21"/>
      <c r="L147" s="32" t="s">
        <v>1273</v>
      </c>
      <c r="M147" s="40" t="s">
        <v>1274</v>
      </c>
    </row>
    <row r="148" ht="16.5" customHeight="1" spans="1:13">
      <c r="A148" s="24">
        <v>1</v>
      </c>
      <c r="B148" s="44">
        <v>171810216</v>
      </c>
      <c r="C148" s="45" t="s">
        <v>1552</v>
      </c>
      <c r="D148" s="16" t="s">
        <v>1290</v>
      </c>
      <c r="E148" s="28" t="s">
        <v>1553</v>
      </c>
      <c r="F148" s="24" t="s">
        <v>61</v>
      </c>
      <c r="G148" s="24"/>
      <c r="H148" s="24"/>
      <c r="I148" s="24"/>
      <c r="J148" s="24"/>
      <c r="K148" s="24"/>
      <c r="L148" s="35" t="s">
        <v>1554</v>
      </c>
      <c r="M148" s="38"/>
    </row>
    <row r="149" ht="16.5" customHeight="1" spans="1:15">
      <c r="A149" s="14">
        <v>2</v>
      </c>
      <c r="B149" s="24">
        <v>171810288</v>
      </c>
      <c r="C149" s="45" t="s">
        <v>1555</v>
      </c>
      <c r="D149" s="16" t="s">
        <v>1286</v>
      </c>
      <c r="E149" s="23" t="s">
        <v>1556</v>
      </c>
      <c r="F149" s="27" t="s">
        <v>61</v>
      </c>
      <c r="G149" s="27"/>
      <c r="H149" s="27"/>
      <c r="I149" s="27"/>
      <c r="J149" s="27"/>
      <c r="K149" s="27"/>
      <c r="L149" s="34" t="s">
        <v>60</v>
      </c>
      <c r="M149" s="38"/>
      <c r="O149" s="2">
        <v>1</v>
      </c>
    </row>
    <row r="150" ht="16.5" customHeight="1" spans="1:15">
      <c r="A150" s="24">
        <v>3</v>
      </c>
      <c r="B150" s="44">
        <v>171810182</v>
      </c>
      <c r="C150" s="45" t="s">
        <v>1557</v>
      </c>
      <c r="D150" s="16" t="s">
        <v>1282</v>
      </c>
      <c r="E150" s="28" t="s">
        <v>1558</v>
      </c>
      <c r="F150" s="24" t="s">
        <v>61</v>
      </c>
      <c r="G150" s="24"/>
      <c r="H150" s="24"/>
      <c r="I150" s="24"/>
      <c r="J150" s="24"/>
      <c r="K150" s="24"/>
      <c r="L150" s="35" t="s">
        <v>1309</v>
      </c>
      <c r="M150" s="38"/>
      <c r="O150" s="2">
        <v>2</v>
      </c>
    </row>
    <row r="151" ht="16.5" customHeight="1" spans="1:15">
      <c r="A151" s="14">
        <v>4</v>
      </c>
      <c r="B151" s="24">
        <v>171810185</v>
      </c>
      <c r="C151" s="45" t="s">
        <v>1559</v>
      </c>
      <c r="D151" s="16" t="s">
        <v>1282</v>
      </c>
      <c r="E151" s="28" t="s">
        <v>1560</v>
      </c>
      <c r="F151" s="24" t="s">
        <v>61</v>
      </c>
      <c r="G151" s="24"/>
      <c r="H151" s="24"/>
      <c r="I151" s="24"/>
      <c r="J151" s="24"/>
      <c r="K151" s="24"/>
      <c r="L151" s="35" t="s">
        <v>1561</v>
      </c>
      <c r="M151" s="38"/>
      <c r="O151" s="2">
        <v>3</v>
      </c>
    </row>
    <row r="152" ht="16.5" customHeight="1" spans="1:15">
      <c r="A152" s="24">
        <v>5</v>
      </c>
      <c r="B152" s="44">
        <v>171810223</v>
      </c>
      <c r="C152" s="45" t="s">
        <v>1562</v>
      </c>
      <c r="D152" s="16" t="s">
        <v>1290</v>
      </c>
      <c r="E152" s="28" t="s">
        <v>1563</v>
      </c>
      <c r="F152" s="24" t="s">
        <v>76</v>
      </c>
      <c r="G152" s="24"/>
      <c r="H152" s="24"/>
      <c r="I152" s="24"/>
      <c r="J152" s="24"/>
      <c r="K152" s="24"/>
      <c r="L152" s="35" t="s">
        <v>60</v>
      </c>
      <c r="M152" s="38"/>
      <c r="O152" s="2">
        <v>4</v>
      </c>
    </row>
    <row r="153" ht="16.5" customHeight="1" spans="1:15">
      <c r="A153" s="14">
        <v>6</v>
      </c>
      <c r="B153" s="46">
        <v>171810255</v>
      </c>
      <c r="C153" s="47" t="s">
        <v>1564</v>
      </c>
      <c r="D153" s="48" t="s">
        <v>1294</v>
      </c>
      <c r="E153" s="54" t="s">
        <v>1565</v>
      </c>
      <c r="F153" s="55" t="s">
        <v>61</v>
      </c>
      <c r="G153" s="27"/>
      <c r="H153" s="27"/>
      <c r="I153" s="27"/>
      <c r="J153" s="27"/>
      <c r="K153" s="27"/>
      <c r="L153" s="33" t="s">
        <v>60</v>
      </c>
      <c r="M153" s="38"/>
      <c r="O153" s="2">
        <v>6</v>
      </c>
    </row>
    <row r="154" ht="16.5" customHeight="1" spans="1:15">
      <c r="A154" s="24">
        <v>7</v>
      </c>
      <c r="B154" s="24">
        <v>171810258</v>
      </c>
      <c r="C154" s="45" t="s">
        <v>1566</v>
      </c>
      <c r="D154" s="16" t="s">
        <v>1294</v>
      </c>
      <c r="E154" s="23" t="s">
        <v>1567</v>
      </c>
      <c r="F154" s="27" t="s">
        <v>61</v>
      </c>
      <c r="G154" s="27"/>
      <c r="H154" s="27"/>
      <c r="I154" s="27"/>
      <c r="J154" s="27"/>
      <c r="K154" s="27"/>
      <c r="L154" s="33" t="s">
        <v>1342</v>
      </c>
      <c r="M154" s="38"/>
      <c r="O154" s="2">
        <v>7</v>
      </c>
    </row>
    <row r="155" ht="16.5" customHeight="1" spans="1:21">
      <c r="A155" s="14">
        <v>8</v>
      </c>
      <c r="B155" s="44">
        <v>171810294</v>
      </c>
      <c r="C155" s="45" t="s">
        <v>1568</v>
      </c>
      <c r="D155" s="16" t="s">
        <v>1286</v>
      </c>
      <c r="E155" s="28" t="s">
        <v>1569</v>
      </c>
      <c r="F155" s="24" t="s">
        <v>76</v>
      </c>
      <c r="G155" s="24"/>
      <c r="H155" s="24"/>
      <c r="I155" s="24"/>
      <c r="J155" s="24"/>
      <c r="K155" s="24"/>
      <c r="L155" s="35" t="s">
        <v>60</v>
      </c>
      <c r="M155" s="38"/>
      <c r="O155" s="2">
        <v>8</v>
      </c>
      <c r="T155" s="3"/>
      <c r="U155" s="3"/>
    </row>
    <row r="156" ht="16.5" customHeight="1" spans="1:21">
      <c r="A156" s="24">
        <v>9</v>
      </c>
      <c r="B156" s="24">
        <v>171810296</v>
      </c>
      <c r="C156" s="45" t="s">
        <v>1570</v>
      </c>
      <c r="D156" s="16" t="s">
        <v>1286</v>
      </c>
      <c r="E156" s="28" t="s">
        <v>1571</v>
      </c>
      <c r="F156" s="24" t="s">
        <v>76</v>
      </c>
      <c r="G156" s="24"/>
      <c r="H156" s="24"/>
      <c r="I156" s="24"/>
      <c r="J156" s="24"/>
      <c r="K156" s="24"/>
      <c r="L156" s="35" t="s">
        <v>1296</v>
      </c>
      <c r="M156" s="38"/>
      <c r="O156" s="2">
        <v>9</v>
      </c>
      <c r="T156" s="3"/>
      <c r="U156" s="3"/>
    </row>
    <row r="157" ht="16.5" customHeight="1" spans="1:21">
      <c r="A157" s="14">
        <v>10</v>
      </c>
      <c r="B157" s="44">
        <v>171810189</v>
      </c>
      <c r="C157" s="45" t="s">
        <v>1572</v>
      </c>
      <c r="D157" s="16" t="s">
        <v>1282</v>
      </c>
      <c r="E157" s="23" t="s">
        <v>1573</v>
      </c>
      <c r="F157" s="27" t="s">
        <v>61</v>
      </c>
      <c r="G157" s="27"/>
      <c r="H157" s="27"/>
      <c r="I157" s="27"/>
      <c r="J157" s="27"/>
      <c r="K157" s="27"/>
      <c r="L157" s="34" t="s">
        <v>1361</v>
      </c>
      <c r="M157" s="38"/>
      <c r="O157" s="2">
        <v>10</v>
      </c>
      <c r="T157" s="3"/>
      <c r="U157" s="3"/>
    </row>
    <row r="158" ht="16.5" customHeight="1" spans="1:21">
      <c r="A158" s="24">
        <v>11</v>
      </c>
      <c r="B158" s="24">
        <v>171810231</v>
      </c>
      <c r="C158" s="45" t="s">
        <v>1574</v>
      </c>
      <c r="D158" s="16" t="s">
        <v>1290</v>
      </c>
      <c r="E158" s="23" t="s">
        <v>1575</v>
      </c>
      <c r="F158" s="27" t="s">
        <v>61</v>
      </c>
      <c r="G158" s="27"/>
      <c r="H158" s="27"/>
      <c r="I158" s="27"/>
      <c r="J158" s="27"/>
      <c r="K158" s="27"/>
      <c r="L158" s="34" t="s">
        <v>60</v>
      </c>
      <c r="M158" s="38"/>
      <c r="O158" s="2">
        <v>11</v>
      </c>
      <c r="T158" s="3"/>
      <c r="U158" s="3"/>
    </row>
    <row r="159" ht="16.5" customHeight="1" spans="1:21">
      <c r="A159" s="14">
        <v>12</v>
      </c>
      <c r="B159" s="44">
        <v>171810233</v>
      </c>
      <c r="C159" s="45" t="s">
        <v>1576</v>
      </c>
      <c r="D159" s="16" t="s">
        <v>1290</v>
      </c>
      <c r="E159" s="28" t="s">
        <v>1577</v>
      </c>
      <c r="F159" s="24" t="s">
        <v>61</v>
      </c>
      <c r="G159" s="24"/>
      <c r="H159" s="24"/>
      <c r="I159" s="24"/>
      <c r="J159" s="24"/>
      <c r="K159" s="24"/>
      <c r="L159" s="35" t="s">
        <v>1309</v>
      </c>
      <c r="M159" s="38"/>
      <c r="O159" s="2">
        <v>12</v>
      </c>
      <c r="T159" s="3"/>
      <c r="U159" s="3"/>
    </row>
    <row r="160" ht="16.5" customHeight="1" spans="1:15">
      <c r="A160" s="24">
        <v>13</v>
      </c>
      <c r="B160" s="24">
        <v>171810262</v>
      </c>
      <c r="C160" s="45" t="s">
        <v>1578</v>
      </c>
      <c r="D160" s="16" t="s">
        <v>1294</v>
      </c>
      <c r="E160" s="23" t="s">
        <v>1579</v>
      </c>
      <c r="F160" s="27" t="s">
        <v>61</v>
      </c>
      <c r="G160" s="27"/>
      <c r="H160" s="27"/>
      <c r="I160" s="27"/>
      <c r="J160" s="27"/>
      <c r="K160" s="27"/>
      <c r="L160" s="33" t="s">
        <v>1469</v>
      </c>
      <c r="M160" s="38"/>
      <c r="O160" s="2">
        <v>13</v>
      </c>
    </row>
    <row r="161" ht="16.5" customHeight="1" spans="1:15">
      <c r="A161" s="14">
        <v>14</v>
      </c>
      <c r="B161" s="44">
        <v>171810302</v>
      </c>
      <c r="C161" s="45" t="s">
        <v>1580</v>
      </c>
      <c r="D161" s="16" t="s">
        <v>1286</v>
      </c>
      <c r="E161" s="28" t="s">
        <v>1581</v>
      </c>
      <c r="F161" s="24" t="s">
        <v>76</v>
      </c>
      <c r="G161" s="24"/>
      <c r="H161" s="24"/>
      <c r="I161" s="24"/>
      <c r="J161" s="24"/>
      <c r="K161" s="24"/>
      <c r="L161" s="35" t="s">
        <v>60</v>
      </c>
      <c r="M161" s="38"/>
      <c r="O161" s="2">
        <v>14</v>
      </c>
    </row>
    <row r="162" ht="16.5" customHeight="1" spans="1:15">
      <c r="A162" s="24">
        <v>15</v>
      </c>
      <c r="B162" s="24">
        <v>171810267</v>
      </c>
      <c r="C162" s="45" t="s">
        <v>1582</v>
      </c>
      <c r="D162" s="16" t="s">
        <v>1294</v>
      </c>
      <c r="E162" s="23" t="s">
        <v>1583</v>
      </c>
      <c r="F162" s="27" t="s">
        <v>61</v>
      </c>
      <c r="G162" s="27"/>
      <c r="H162" s="27"/>
      <c r="I162" s="27"/>
      <c r="J162" s="27"/>
      <c r="K162" s="27"/>
      <c r="L162" s="33" t="s">
        <v>1584</v>
      </c>
      <c r="M162" s="38"/>
      <c r="O162" s="2">
        <v>15</v>
      </c>
    </row>
    <row r="163" ht="16.5" customHeight="1" spans="1:15">
      <c r="A163" s="14">
        <v>16</v>
      </c>
      <c r="B163" s="44">
        <v>171810268</v>
      </c>
      <c r="C163" s="45"/>
      <c r="D163" s="16" t="s">
        <v>1294</v>
      </c>
      <c r="E163" s="28" t="s">
        <v>1585</v>
      </c>
      <c r="F163" s="24" t="s">
        <v>61</v>
      </c>
      <c r="G163" s="24"/>
      <c r="H163" s="24"/>
      <c r="I163" s="24"/>
      <c r="J163" s="24"/>
      <c r="K163" s="24"/>
      <c r="L163" s="35" t="s">
        <v>1586</v>
      </c>
      <c r="M163" s="38"/>
      <c r="O163" s="2">
        <v>16</v>
      </c>
    </row>
    <row r="164" ht="16.5" customHeight="1" spans="1:13">
      <c r="A164" s="24">
        <v>17</v>
      </c>
      <c r="B164" s="44">
        <v>171810305</v>
      </c>
      <c r="C164" s="45" t="s">
        <v>1587</v>
      </c>
      <c r="D164" s="16" t="s">
        <v>1286</v>
      </c>
      <c r="E164" s="28" t="s">
        <v>1588</v>
      </c>
      <c r="F164" s="24" t="s">
        <v>76</v>
      </c>
      <c r="G164" s="24"/>
      <c r="H164" s="24"/>
      <c r="I164" s="24"/>
      <c r="J164" s="24"/>
      <c r="K164" s="24"/>
      <c r="L164" s="35" t="s">
        <v>1309</v>
      </c>
      <c r="M164" s="38"/>
    </row>
    <row r="165" ht="16.5" customHeight="1" spans="1:13">
      <c r="A165" s="14">
        <v>18</v>
      </c>
      <c r="B165" s="24">
        <v>171810238</v>
      </c>
      <c r="C165" s="45" t="s">
        <v>1589</v>
      </c>
      <c r="D165" s="16" t="s">
        <v>1290</v>
      </c>
      <c r="E165" s="28" t="s">
        <v>1590</v>
      </c>
      <c r="F165" s="24" t="s">
        <v>76</v>
      </c>
      <c r="G165" s="24"/>
      <c r="H165" s="24"/>
      <c r="I165" s="24"/>
      <c r="J165" s="24"/>
      <c r="K165" s="24"/>
      <c r="L165" s="35" t="s">
        <v>1342</v>
      </c>
      <c r="M165" s="38"/>
    </row>
    <row r="166" ht="16.5" customHeight="1" spans="1:13">
      <c r="A166" s="24">
        <v>19</v>
      </c>
      <c r="B166" s="44">
        <v>171810200</v>
      </c>
      <c r="C166" s="45" t="s">
        <v>1591</v>
      </c>
      <c r="D166" s="16" t="s">
        <v>1282</v>
      </c>
      <c r="E166" s="23" t="s">
        <v>1592</v>
      </c>
      <c r="F166" s="27" t="s">
        <v>76</v>
      </c>
      <c r="G166" s="27"/>
      <c r="H166" s="27"/>
      <c r="I166" s="27"/>
      <c r="J166" s="27"/>
      <c r="K166" s="27"/>
      <c r="L166" s="34" t="s">
        <v>60</v>
      </c>
      <c r="M166" s="38"/>
    </row>
    <row r="167" ht="16.5" customHeight="1" spans="1:13">
      <c r="A167" s="14">
        <v>20</v>
      </c>
      <c r="B167" s="24">
        <v>171810243</v>
      </c>
      <c r="C167" s="45" t="s">
        <v>1593</v>
      </c>
      <c r="D167" s="16" t="s">
        <v>1290</v>
      </c>
      <c r="E167" s="28" t="s">
        <v>1594</v>
      </c>
      <c r="F167" s="24" t="s">
        <v>76</v>
      </c>
      <c r="G167" s="24"/>
      <c r="H167" s="24"/>
      <c r="I167" s="24"/>
      <c r="J167" s="24"/>
      <c r="K167" s="24"/>
      <c r="L167" s="35" t="s">
        <v>60</v>
      </c>
      <c r="M167" s="38"/>
    </row>
    <row r="168" ht="16.5" customHeight="1" spans="1:13">
      <c r="A168" s="24">
        <v>21</v>
      </c>
      <c r="B168" s="24">
        <v>171810313</v>
      </c>
      <c r="C168" s="45" t="s">
        <v>1595</v>
      </c>
      <c r="D168" s="16" t="s">
        <v>1286</v>
      </c>
      <c r="E168" s="28" t="s">
        <v>1596</v>
      </c>
      <c r="F168" s="24" t="s">
        <v>76</v>
      </c>
      <c r="G168" s="24"/>
      <c r="H168" s="24"/>
      <c r="I168" s="24"/>
      <c r="J168" s="24"/>
      <c r="K168" s="24"/>
      <c r="L168" s="35" t="s">
        <v>1554</v>
      </c>
      <c r="M168" s="38"/>
    </row>
    <row r="169" ht="16.5" customHeight="1" spans="1:13">
      <c r="A169" s="14">
        <v>22</v>
      </c>
      <c r="B169" s="44">
        <v>171810281</v>
      </c>
      <c r="C169" s="45" t="s">
        <v>1597</v>
      </c>
      <c r="D169" s="16" t="s">
        <v>1294</v>
      </c>
      <c r="E169" s="23" t="s">
        <v>1598</v>
      </c>
      <c r="F169" s="27" t="s">
        <v>61</v>
      </c>
      <c r="G169" s="27"/>
      <c r="H169" s="27"/>
      <c r="I169" s="27"/>
      <c r="J169" s="27"/>
      <c r="K169" s="27"/>
      <c r="L169" s="33" t="s">
        <v>1599</v>
      </c>
      <c r="M169" s="38"/>
    </row>
    <row r="170" ht="16.5" customHeight="1" spans="1:13">
      <c r="A170" s="24">
        <v>23</v>
      </c>
      <c r="B170" s="24">
        <v>171810315</v>
      </c>
      <c r="C170" s="45" t="s">
        <v>1600</v>
      </c>
      <c r="D170" s="16" t="s">
        <v>1286</v>
      </c>
      <c r="E170" s="28" t="s">
        <v>1601</v>
      </c>
      <c r="F170" s="24" t="s">
        <v>76</v>
      </c>
      <c r="G170" s="24"/>
      <c r="H170" s="24"/>
      <c r="I170" s="24"/>
      <c r="J170" s="24"/>
      <c r="K170" s="24"/>
      <c r="L170" s="35" t="s">
        <v>1404</v>
      </c>
      <c r="M170" s="38"/>
    </row>
    <row r="171" ht="16.5" customHeight="1" spans="1:13">
      <c r="A171" s="14">
        <v>24</v>
      </c>
      <c r="B171" s="46">
        <v>171810248</v>
      </c>
      <c r="C171" s="47" t="s">
        <v>1602</v>
      </c>
      <c r="D171" s="48" t="s">
        <v>1290</v>
      </c>
      <c r="E171" s="56" t="s">
        <v>1603</v>
      </c>
      <c r="F171" s="57" t="s">
        <v>76</v>
      </c>
      <c r="G171" s="24"/>
      <c r="H171" s="24"/>
      <c r="I171" s="24"/>
      <c r="J171" s="24"/>
      <c r="K171" s="24"/>
      <c r="L171" s="35" t="s">
        <v>158</v>
      </c>
      <c r="M171" s="38"/>
    </row>
    <row r="172" ht="16.5" customHeight="1" spans="1:13">
      <c r="A172" s="24">
        <v>25</v>
      </c>
      <c r="B172" s="24">
        <v>171810354</v>
      </c>
      <c r="C172" s="45" t="s">
        <v>1604</v>
      </c>
      <c r="D172" s="16" t="s">
        <v>1277</v>
      </c>
      <c r="E172" s="28" t="s">
        <v>1605</v>
      </c>
      <c r="F172" s="24" t="s">
        <v>61</v>
      </c>
      <c r="G172" s="24"/>
      <c r="H172" s="24"/>
      <c r="I172" s="24"/>
      <c r="J172" s="24"/>
      <c r="K172" s="24"/>
      <c r="L172" s="35" t="s">
        <v>1309</v>
      </c>
      <c r="M172" s="38"/>
    </row>
    <row r="173" ht="16.5" customHeight="1" spans="1:13">
      <c r="A173" s="14">
        <v>26</v>
      </c>
      <c r="B173" s="44">
        <v>171810319</v>
      </c>
      <c r="C173" s="45" t="s">
        <v>1606</v>
      </c>
      <c r="D173" s="16" t="s">
        <v>1286</v>
      </c>
      <c r="E173" s="28" t="s">
        <v>1607</v>
      </c>
      <c r="F173" s="24" t="s">
        <v>61</v>
      </c>
      <c r="G173" s="24"/>
      <c r="H173" s="24"/>
      <c r="I173" s="24"/>
      <c r="J173" s="24"/>
      <c r="K173" s="24"/>
      <c r="L173" s="35" t="s">
        <v>1608</v>
      </c>
      <c r="M173" s="38"/>
    </row>
    <row r="174" ht="16.5" customHeight="1" spans="1:13">
      <c r="A174" s="24">
        <v>27</v>
      </c>
      <c r="B174" s="24">
        <v>171810356</v>
      </c>
      <c r="C174" s="45" t="s">
        <v>1609</v>
      </c>
      <c r="D174" s="16" t="s">
        <v>1277</v>
      </c>
      <c r="E174" s="23" t="s">
        <v>1610</v>
      </c>
      <c r="F174" s="27" t="s">
        <v>61</v>
      </c>
      <c r="G174" s="27"/>
      <c r="H174" s="27"/>
      <c r="I174" s="27"/>
      <c r="J174" s="27"/>
      <c r="K174" s="27"/>
      <c r="L174" s="35" t="s">
        <v>158</v>
      </c>
      <c r="M174" s="38"/>
    </row>
    <row r="175" ht="16.5" customHeight="1" spans="1:13">
      <c r="A175" s="14">
        <v>28</v>
      </c>
      <c r="B175" s="44">
        <v>171810321</v>
      </c>
      <c r="C175" s="45" t="s">
        <v>1611</v>
      </c>
      <c r="D175" s="16" t="s">
        <v>1286</v>
      </c>
      <c r="E175" s="23" t="s">
        <v>1612</v>
      </c>
      <c r="F175" s="27" t="s">
        <v>76</v>
      </c>
      <c r="G175" s="27"/>
      <c r="H175" s="27"/>
      <c r="I175" s="27"/>
      <c r="J175" s="27"/>
      <c r="K175" s="27"/>
      <c r="L175" s="33" t="s">
        <v>1342</v>
      </c>
      <c r="M175" s="38"/>
    </row>
    <row r="176" ht="16.5" customHeight="1" spans="1:13">
      <c r="A176" s="24">
        <v>29</v>
      </c>
      <c r="B176" s="24">
        <v>171810286</v>
      </c>
      <c r="C176" s="45" t="s">
        <v>1613</v>
      </c>
      <c r="D176" s="16" t="s">
        <v>1294</v>
      </c>
      <c r="E176" s="23" t="s">
        <v>1614</v>
      </c>
      <c r="F176" s="27" t="s">
        <v>61</v>
      </c>
      <c r="G176" s="27"/>
      <c r="H176" s="27"/>
      <c r="I176" s="27"/>
      <c r="J176" s="27"/>
      <c r="K176" s="27"/>
      <c r="L176" s="33" t="s">
        <v>158</v>
      </c>
      <c r="M176" s="38"/>
    </row>
    <row r="177" ht="16.5" customHeight="1" spans="1:13">
      <c r="A177" s="14">
        <v>30</v>
      </c>
      <c r="B177" s="49">
        <v>171810250</v>
      </c>
      <c r="C177" s="50" t="s">
        <v>1615</v>
      </c>
      <c r="D177" s="51" t="s">
        <v>1290</v>
      </c>
      <c r="E177" s="58" t="s">
        <v>1616</v>
      </c>
      <c r="F177" s="59" t="s">
        <v>61</v>
      </c>
      <c r="G177" s="59"/>
      <c r="H177" s="59"/>
      <c r="I177" s="59"/>
      <c r="J177" s="59"/>
      <c r="K177" s="59"/>
      <c r="L177" s="33" t="s">
        <v>1378</v>
      </c>
      <c r="M177" s="61"/>
    </row>
    <row r="178" s="1" customFormat="1" ht="16.5" customHeight="1" spans="1:16384">
      <c r="A178" s="24">
        <v>31</v>
      </c>
      <c r="B178" s="24">
        <v>181911402</v>
      </c>
      <c r="C178" s="52" t="s">
        <v>1617</v>
      </c>
      <c r="D178" s="52"/>
      <c r="E178" s="52" t="s">
        <v>1618</v>
      </c>
      <c r="F178" s="24" t="s">
        <v>76</v>
      </c>
      <c r="G178" s="52"/>
      <c r="H178" s="52"/>
      <c r="I178" s="52"/>
      <c r="J178" s="52"/>
      <c r="K178" s="52"/>
      <c r="L178" s="52" t="s">
        <v>1404</v>
      </c>
      <c r="M178" s="62"/>
      <c r="XFD178" s="2"/>
    </row>
    <row r="179" s="1" customFormat="1" ht="16.5" customHeight="1" spans="1:16384">
      <c r="A179" s="14">
        <v>32</v>
      </c>
      <c r="B179" s="24">
        <v>181911403</v>
      </c>
      <c r="C179" s="52" t="s">
        <v>1619</v>
      </c>
      <c r="D179" s="52"/>
      <c r="E179" s="52" t="s">
        <v>1620</v>
      </c>
      <c r="F179" s="24" t="s">
        <v>76</v>
      </c>
      <c r="G179" s="52"/>
      <c r="H179" s="52"/>
      <c r="I179" s="52"/>
      <c r="J179" s="52"/>
      <c r="K179" s="52"/>
      <c r="L179" s="52" t="s">
        <v>1621</v>
      </c>
      <c r="M179" s="62"/>
      <c r="XFD179" s="2"/>
    </row>
    <row r="180" s="1" customFormat="1" customHeight="1" spans="1:16384">
      <c r="A180" s="14"/>
      <c r="B180" s="24"/>
      <c r="C180" s="52"/>
      <c r="D180" s="52"/>
      <c r="E180" s="52"/>
      <c r="F180" s="24"/>
      <c r="G180" s="52"/>
      <c r="H180" s="52"/>
      <c r="I180" s="52"/>
      <c r="J180" s="52"/>
      <c r="K180" s="52"/>
      <c r="L180" s="25"/>
      <c r="XFD180" s="2"/>
    </row>
    <row r="181" s="1" customFormat="1" customHeight="1" spans="1:16384">
      <c r="A181" s="14"/>
      <c r="B181" s="24"/>
      <c r="C181" s="52"/>
      <c r="D181" s="52"/>
      <c r="E181" s="52"/>
      <c r="F181" s="24"/>
      <c r="G181" s="52"/>
      <c r="H181" s="52"/>
      <c r="I181" s="52"/>
      <c r="J181" s="52"/>
      <c r="K181" s="52"/>
      <c r="L181" s="25"/>
      <c r="XFD181" s="2"/>
    </row>
    <row r="182" s="1" customFormat="1" customHeight="1" spans="1:16384">
      <c r="A182" s="14"/>
      <c r="B182" s="24"/>
      <c r="C182" s="52"/>
      <c r="D182" s="52"/>
      <c r="E182" s="52"/>
      <c r="F182" s="24"/>
      <c r="G182" s="52"/>
      <c r="H182" s="52"/>
      <c r="I182" s="52"/>
      <c r="J182" s="52"/>
      <c r="K182" s="52"/>
      <c r="L182" s="25"/>
      <c r="XFD182" s="2"/>
    </row>
    <row r="183" s="1" customFormat="1" customHeight="1" spans="1:16384">
      <c r="A183" s="14"/>
      <c r="B183" s="24"/>
      <c r="C183" s="52"/>
      <c r="D183" s="52"/>
      <c r="E183" s="52"/>
      <c r="F183" s="24"/>
      <c r="G183" s="52"/>
      <c r="H183" s="52"/>
      <c r="I183" s="52"/>
      <c r="J183" s="52"/>
      <c r="K183" s="52"/>
      <c r="L183" s="25"/>
      <c r="XFD183" s="2"/>
    </row>
    <row r="184" ht="14.4" spans="1:13">
      <c r="A184" s="18"/>
      <c r="B184" s="19"/>
      <c r="C184" s="19"/>
      <c r="D184" s="19"/>
      <c r="E184" s="29" t="s">
        <v>1383</v>
      </c>
      <c r="F184" s="19">
        <v>14</v>
      </c>
      <c r="G184" s="19"/>
      <c r="H184" s="19"/>
      <c r="I184" s="19"/>
      <c r="J184" s="19"/>
      <c r="K184" s="19"/>
      <c r="L184" s="19"/>
      <c r="M184" s="19"/>
    </row>
    <row r="185" ht="14.4" spans="1:13">
      <c r="A185" s="18"/>
      <c r="B185" s="19"/>
      <c r="C185" s="19"/>
      <c r="D185" s="19"/>
      <c r="E185" s="29" t="s">
        <v>1384</v>
      </c>
      <c r="F185" s="19">
        <f>COUNTIF(F148:F179,"p")</f>
        <v>18</v>
      </c>
      <c r="G185" s="19"/>
      <c r="H185" s="19"/>
      <c r="I185" s="19"/>
      <c r="J185" s="19"/>
      <c r="K185" s="19"/>
      <c r="L185" s="19"/>
      <c r="M185" s="19"/>
    </row>
    <row r="186" ht="14.4" spans="1:13">
      <c r="A186" s="18"/>
      <c r="B186" s="18" t="s">
        <v>1385</v>
      </c>
      <c r="C186" s="19"/>
      <c r="D186" s="19"/>
      <c r="E186" s="18"/>
      <c r="F186" s="25" t="s">
        <v>1386</v>
      </c>
      <c r="G186" s="19"/>
      <c r="H186" s="19"/>
      <c r="I186" s="19"/>
      <c r="J186" s="19"/>
      <c r="K186" s="19"/>
      <c r="L186" s="19"/>
      <c r="M186" s="19"/>
    </row>
    <row r="187" ht="14.4" spans="1:13">
      <c r="A187" s="18"/>
      <c r="B187" s="19"/>
      <c r="C187" s="19"/>
      <c r="D187" s="19"/>
      <c r="E187" s="18"/>
      <c r="F187" s="19"/>
      <c r="G187" s="19"/>
      <c r="H187" s="19"/>
      <c r="I187" s="19"/>
      <c r="J187" s="19"/>
      <c r="K187" s="19"/>
      <c r="L187" s="19"/>
      <c r="M187" s="19"/>
    </row>
    <row r="188" ht="14.4" spans="1:13">
      <c r="A188" s="18"/>
      <c r="B188" s="19"/>
      <c r="C188" s="19"/>
      <c r="D188" s="19"/>
      <c r="E188" s="18"/>
      <c r="F188" s="19"/>
      <c r="G188" s="19"/>
      <c r="H188" s="19"/>
      <c r="I188" s="19"/>
      <c r="J188" s="19"/>
      <c r="K188" s="19"/>
      <c r="L188" s="19"/>
      <c r="M188" s="19"/>
    </row>
    <row r="189" ht="14.4" spans="1:13">
      <c r="A189" s="18"/>
      <c r="B189" s="20" t="s">
        <v>1387</v>
      </c>
      <c r="C189" s="19"/>
      <c r="D189" s="19"/>
      <c r="E189" s="18"/>
      <c r="F189" s="30"/>
      <c r="G189" s="30"/>
      <c r="H189" s="30"/>
      <c r="I189" s="30"/>
      <c r="J189" s="30"/>
      <c r="K189" s="19"/>
      <c r="L189" s="30"/>
      <c r="M189" s="30"/>
    </row>
    <row r="190" ht="14.4" spans="1:13">
      <c r="A190" s="18"/>
      <c r="B190" s="18" t="s">
        <v>1388</v>
      </c>
      <c r="C190" s="19"/>
      <c r="D190" s="19"/>
      <c r="E190" s="18"/>
      <c r="F190" s="19"/>
      <c r="G190" s="19"/>
      <c r="H190" s="19"/>
      <c r="I190" s="19"/>
      <c r="J190" s="19"/>
      <c r="K190" s="19"/>
      <c r="L190" s="19"/>
      <c r="M190" s="19"/>
    </row>
    <row r="191" ht="14.4" spans="1:11">
      <c r="A191" s="9" t="s">
        <v>1622</v>
      </c>
      <c r="B191" s="18"/>
      <c r="C191" s="18"/>
      <c r="D191" s="18"/>
      <c r="E191" s="18"/>
      <c r="F191" s="25" t="s">
        <v>1270</v>
      </c>
      <c r="G191" s="31"/>
      <c r="H191" s="31"/>
      <c r="I191" s="31"/>
      <c r="J191" s="31"/>
      <c r="K191" s="31"/>
    </row>
    <row r="192" ht="30" customHeight="1" spans="1:13">
      <c r="A192" s="21" t="s">
        <v>1271</v>
      </c>
      <c r="B192" s="11" t="s">
        <v>13</v>
      </c>
      <c r="C192" s="12" t="s">
        <v>14</v>
      </c>
      <c r="D192" s="22" t="s">
        <v>1272</v>
      </c>
      <c r="E192" s="21" t="s">
        <v>17</v>
      </c>
      <c r="F192" s="21" t="s">
        <v>19</v>
      </c>
      <c r="G192" s="21"/>
      <c r="H192" s="21"/>
      <c r="I192" s="21"/>
      <c r="J192" s="21"/>
      <c r="K192" s="21"/>
      <c r="L192" s="32" t="s">
        <v>1273</v>
      </c>
      <c r="M192" s="32" t="s">
        <v>1274</v>
      </c>
    </row>
    <row r="193" ht="16.5" customHeight="1" spans="1:15">
      <c r="A193" s="14">
        <v>1</v>
      </c>
      <c r="B193" s="24">
        <v>171810287</v>
      </c>
      <c r="C193" s="43" t="s">
        <v>1623</v>
      </c>
      <c r="D193" s="16" t="s">
        <v>1286</v>
      </c>
      <c r="E193" s="28" t="s">
        <v>1624</v>
      </c>
      <c r="F193" s="24" t="s">
        <v>61</v>
      </c>
      <c r="G193" s="27"/>
      <c r="H193" s="27"/>
      <c r="I193" s="27"/>
      <c r="J193" s="27"/>
      <c r="K193" s="27"/>
      <c r="L193" s="35" t="s">
        <v>1586</v>
      </c>
      <c r="M193" s="38"/>
      <c r="O193" s="2">
        <v>1</v>
      </c>
    </row>
    <row r="194" ht="16.5" customHeight="1" spans="1:15">
      <c r="A194" s="24">
        <v>2</v>
      </c>
      <c r="B194" s="24">
        <v>171810219</v>
      </c>
      <c r="C194" s="43" t="s">
        <v>1625</v>
      </c>
      <c r="D194" s="16" t="s">
        <v>1290</v>
      </c>
      <c r="E194" s="23" t="s">
        <v>1626</v>
      </c>
      <c r="F194" s="27" t="s">
        <v>61</v>
      </c>
      <c r="G194" s="24"/>
      <c r="H194" s="24"/>
      <c r="I194" s="24"/>
      <c r="J194" s="24"/>
      <c r="K194" s="24"/>
      <c r="L194" s="34" t="s">
        <v>1469</v>
      </c>
      <c r="M194" s="38"/>
      <c r="O194" s="2">
        <v>2</v>
      </c>
    </row>
    <row r="195" ht="16.5" customHeight="1" spans="1:15">
      <c r="A195" s="14">
        <v>3</v>
      </c>
      <c r="B195" s="24">
        <v>171810181</v>
      </c>
      <c r="C195" s="43" t="s">
        <v>1627</v>
      </c>
      <c r="D195" s="16" t="s">
        <v>1282</v>
      </c>
      <c r="E195" s="28" t="s">
        <v>1628</v>
      </c>
      <c r="F195" s="24" t="s">
        <v>76</v>
      </c>
      <c r="G195" s="27"/>
      <c r="H195" s="27"/>
      <c r="I195" s="27"/>
      <c r="J195" s="27"/>
      <c r="K195" s="27"/>
      <c r="L195" s="35" t="s">
        <v>1296</v>
      </c>
      <c r="M195" s="38"/>
      <c r="O195" s="2">
        <v>3</v>
      </c>
    </row>
    <row r="196" ht="16.5" customHeight="1" spans="1:15">
      <c r="A196" s="24">
        <v>4</v>
      </c>
      <c r="B196" s="24">
        <v>171810324</v>
      </c>
      <c r="C196" s="43" t="s">
        <v>1629</v>
      </c>
      <c r="D196" s="16" t="s">
        <v>1277</v>
      </c>
      <c r="E196" s="23" t="s">
        <v>1630</v>
      </c>
      <c r="F196" s="27" t="s">
        <v>76</v>
      </c>
      <c r="G196" s="24"/>
      <c r="H196" s="24"/>
      <c r="I196" s="24"/>
      <c r="J196" s="24"/>
      <c r="K196" s="24"/>
      <c r="L196" s="33" t="s">
        <v>1361</v>
      </c>
      <c r="M196" s="38"/>
      <c r="O196" s="2">
        <v>4</v>
      </c>
    </row>
    <row r="197" ht="16.5" customHeight="1" spans="1:15">
      <c r="A197" s="14">
        <v>5</v>
      </c>
      <c r="B197" s="24">
        <v>171810253</v>
      </c>
      <c r="C197" s="43" t="s">
        <v>1631</v>
      </c>
      <c r="D197" s="16" t="s">
        <v>1294</v>
      </c>
      <c r="E197" s="28" t="s">
        <v>1632</v>
      </c>
      <c r="F197" s="24" t="s">
        <v>61</v>
      </c>
      <c r="G197" s="27"/>
      <c r="H197" s="27"/>
      <c r="I197" s="27"/>
      <c r="J197" s="27"/>
      <c r="K197" s="27"/>
      <c r="L197" s="35" t="s">
        <v>1296</v>
      </c>
      <c r="M197" s="38"/>
      <c r="O197" s="2">
        <v>5</v>
      </c>
    </row>
    <row r="198" ht="16.5" customHeight="1" spans="1:15">
      <c r="A198" s="24">
        <v>6</v>
      </c>
      <c r="B198" s="24">
        <v>171810183</v>
      </c>
      <c r="C198" s="43" t="s">
        <v>1633</v>
      </c>
      <c r="D198" s="16" t="s">
        <v>1282</v>
      </c>
      <c r="E198" s="23" t="s">
        <v>1634</v>
      </c>
      <c r="F198" s="27" t="s">
        <v>76</v>
      </c>
      <c r="G198" s="24"/>
      <c r="H198" s="24"/>
      <c r="I198" s="24"/>
      <c r="J198" s="24"/>
      <c r="K198" s="24"/>
      <c r="L198" s="34" t="s">
        <v>60</v>
      </c>
      <c r="M198" s="38"/>
      <c r="O198" s="2">
        <v>6</v>
      </c>
    </row>
    <row r="199" ht="16.5" customHeight="1" spans="1:15">
      <c r="A199" s="14">
        <v>7</v>
      </c>
      <c r="B199" s="24">
        <v>171810221</v>
      </c>
      <c r="C199" s="43" t="s">
        <v>1635</v>
      </c>
      <c r="D199" s="16" t="s">
        <v>1290</v>
      </c>
      <c r="E199" s="28" t="s">
        <v>1636</v>
      </c>
      <c r="F199" s="24" t="s">
        <v>61</v>
      </c>
      <c r="G199" s="24"/>
      <c r="H199" s="24"/>
      <c r="I199" s="24"/>
      <c r="J199" s="24"/>
      <c r="K199" s="24"/>
      <c r="L199" s="35" t="s">
        <v>1296</v>
      </c>
      <c r="M199" s="38"/>
      <c r="O199" s="2">
        <v>7</v>
      </c>
    </row>
    <row r="200" ht="16.5" customHeight="1" spans="1:15">
      <c r="A200" s="24">
        <v>8</v>
      </c>
      <c r="B200" s="24">
        <v>171810184</v>
      </c>
      <c r="C200" s="43" t="s">
        <v>1637</v>
      </c>
      <c r="D200" s="16" t="s">
        <v>1282</v>
      </c>
      <c r="E200" s="23" t="s">
        <v>1638</v>
      </c>
      <c r="F200" s="27" t="s">
        <v>61</v>
      </c>
      <c r="G200" s="27"/>
      <c r="H200" s="27"/>
      <c r="I200" s="27"/>
      <c r="J200" s="27"/>
      <c r="K200" s="27"/>
      <c r="L200" s="34" t="s">
        <v>60</v>
      </c>
      <c r="M200" s="38"/>
      <c r="O200" s="2">
        <v>8</v>
      </c>
    </row>
    <row r="201" ht="16.5" customHeight="1" spans="1:15">
      <c r="A201" s="14">
        <v>9</v>
      </c>
      <c r="B201" s="24">
        <v>171810291</v>
      </c>
      <c r="C201" s="43" t="s">
        <v>1639</v>
      </c>
      <c r="D201" s="16" t="s">
        <v>1286</v>
      </c>
      <c r="E201" s="23" t="s">
        <v>1640</v>
      </c>
      <c r="F201" s="27" t="s">
        <v>61</v>
      </c>
      <c r="G201" s="27"/>
      <c r="H201" s="27"/>
      <c r="I201" s="27"/>
      <c r="J201" s="27"/>
      <c r="K201" s="27"/>
      <c r="L201" s="33" t="s">
        <v>232</v>
      </c>
      <c r="M201" s="38"/>
      <c r="O201" s="2">
        <v>9</v>
      </c>
    </row>
    <row r="202" ht="16.5" customHeight="1" spans="1:15">
      <c r="A202" s="24">
        <v>10</v>
      </c>
      <c r="B202" s="24">
        <v>171810332</v>
      </c>
      <c r="C202" s="43" t="s">
        <v>1641</v>
      </c>
      <c r="D202" s="16" t="s">
        <v>1277</v>
      </c>
      <c r="E202" s="28" t="s">
        <v>1642</v>
      </c>
      <c r="F202" s="24" t="s">
        <v>61</v>
      </c>
      <c r="G202" s="24"/>
      <c r="H202" s="24"/>
      <c r="I202" s="24"/>
      <c r="J202" s="24"/>
      <c r="K202" s="24"/>
      <c r="L202" s="35" t="s">
        <v>60</v>
      </c>
      <c r="M202" s="38"/>
      <c r="O202" s="2">
        <v>10</v>
      </c>
    </row>
    <row r="203" ht="16.5" customHeight="1" spans="1:15">
      <c r="A203" s="14">
        <v>11</v>
      </c>
      <c r="B203" s="24">
        <v>171810227</v>
      </c>
      <c r="C203" s="43" t="s">
        <v>1643</v>
      </c>
      <c r="D203" s="16" t="s">
        <v>1290</v>
      </c>
      <c r="E203" s="28" t="s">
        <v>1644</v>
      </c>
      <c r="F203" s="24" t="s">
        <v>61</v>
      </c>
      <c r="G203" s="24"/>
      <c r="H203" s="24"/>
      <c r="I203" s="24"/>
      <c r="J203" s="24"/>
      <c r="K203" s="24"/>
      <c r="L203" s="35" t="s">
        <v>1279</v>
      </c>
      <c r="M203" s="38"/>
      <c r="O203" s="2">
        <v>11</v>
      </c>
    </row>
    <row r="204" ht="16.5" customHeight="1" spans="1:15">
      <c r="A204" s="24">
        <v>12</v>
      </c>
      <c r="B204" s="24">
        <v>171810298</v>
      </c>
      <c r="C204" s="43" t="s">
        <v>1645</v>
      </c>
      <c r="D204" s="16" t="s">
        <v>1286</v>
      </c>
      <c r="E204" s="28" t="s">
        <v>1646</v>
      </c>
      <c r="F204" s="24" t="s">
        <v>61</v>
      </c>
      <c r="G204" s="24"/>
      <c r="H204" s="24"/>
      <c r="I204" s="24"/>
      <c r="J204" s="24"/>
      <c r="K204" s="24"/>
      <c r="L204" s="35" t="s">
        <v>1586</v>
      </c>
      <c r="M204" s="38"/>
      <c r="O204" s="2">
        <v>12</v>
      </c>
    </row>
    <row r="205" ht="16.5" customHeight="1" spans="1:15">
      <c r="A205" s="14">
        <v>13</v>
      </c>
      <c r="B205" s="24">
        <v>171810232</v>
      </c>
      <c r="C205" s="43" t="s">
        <v>1647</v>
      </c>
      <c r="D205" s="16" t="s">
        <v>1290</v>
      </c>
      <c r="E205" s="28" t="s">
        <v>1648</v>
      </c>
      <c r="F205" s="24" t="s">
        <v>61</v>
      </c>
      <c r="G205" s="24"/>
      <c r="H205" s="24"/>
      <c r="I205" s="24"/>
      <c r="J205" s="24"/>
      <c r="K205" s="24"/>
      <c r="L205" s="35" t="s">
        <v>60</v>
      </c>
      <c r="M205" s="38"/>
      <c r="O205" s="2">
        <v>13</v>
      </c>
    </row>
    <row r="206" ht="16.5" customHeight="1" spans="1:21">
      <c r="A206" s="24">
        <v>14</v>
      </c>
      <c r="B206" s="24">
        <v>171810261</v>
      </c>
      <c r="C206" s="43" t="s">
        <v>1649</v>
      </c>
      <c r="D206" s="16" t="s">
        <v>1294</v>
      </c>
      <c r="E206" s="28" t="s">
        <v>1650</v>
      </c>
      <c r="F206" s="24" t="s">
        <v>76</v>
      </c>
      <c r="G206" s="24"/>
      <c r="H206" s="24"/>
      <c r="I206" s="24"/>
      <c r="J206" s="24"/>
      <c r="K206" s="24"/>
      <c r="L206" s="35" t="s">
        <v>1296</v>
      </c>
      <c r="M206" s="38"/>
      <c r="O206" s="2">
        <v>14</v>
      </c>
      <c r="T206" s="3"/>
      <c r="U206" s="3"/>
    </row>
    <row r="207" ht="16.5" customHeight="1" spans="1:21">
      <c r="A207" s="14">
        <v>15</v>
      </c>
      <c r="B207" s="24">
        <v>171810341</v>
      </c>
      <c r="C207" s="43" t="s">
        <v>1651</v>
      </c>
      <c r="D207" s="16" t="s">
        <v>1277</v>
      </c>
      <c r="E207" s="28" t="s">
        <v>1652</v>
      </c>
      <c r="F207" s="24" t="s">
        <v>76</v>
      </c>
      <c r="G207" s="24"/>
      <c r="H207" s="24"/>
      <c r="I207" s="24"/>
      <c r="J207" s="24"/>
      <c r="K207" s="24"/>
      <c r="L207" s="35" t="s">
        <v>1653</v>
      </c>
      <c r="M207" s="38"/>
      <c r="O207" s="1">
        <v>1</v>
      </c>
      <c r="T207" s="3"/>
      <c r="U207" s="3"/>
    </row>
    <row r="208" ht="16.5" customHeight="1" spans="1:21">
      <c r="A208" s="24">
        <v>16</v>
      </c>
      <c r="B208" s="24">
        <v>171810195</v>
      </c>
      <c r="C208" s="43" t="s">
        <v>1654</v>
      </c>
      <c r="D208" s="16" t="s">
        <v>1282</v>
      </c>
      <c r="E208" s="23" t="s">
        <v>1655</v>
      </c>
      <c r="F208" s="27" t="s">
        <v>76</v>
      </c>
      <c r="G208" s="27"/>
      <c r="H208" s="27"/>
      <c r="I208" s="27"/>
      <c r="J208" s="27"/>
      <c r="K208" s="27"/>
      <c r="L208" s="34" t="s">
        <v>1656</v>
      </c>
      <c r="M208" s="38"/>
      <c r="O208" s="1">
        <v>2</v>
      </c>
      <c r="T208" s="3"/>
      <c r="U208" s="3"/>
    </row>
    <row r="209" ht="16.5" customHeight="1" spans="1:15">
      <c r="A209" s="14">
        <v>17</v>
      </c>
      <c r="B209" s="24">
        <v>171810304</v>
      </c>
      <c r="C209" s="43" t="s">
        <v>1657</v>
      </c>
      <c r="D209" s="16" t="s">
        <v>1286</v>
      </c>
      <c r="E209" s="23" t="s">
        <v>1658</v>
      </c>
      <c r="F209" s="27" t="s">
        <v>76</v>
      </c>
      <c r="G209" s="27"/>
      <c r="H209" s="27"/>
      <c r="I209" s="27"/>
      <c r="J209" s="27"/>
      <c r="K209" s="27"/>
      <c r="L209" s="33" t="s">
        <v>1404</v>
      </c>
      <c r="M209" s="38"/>
      <c r="O209" s="1">
        <v>3</v>
      </c>
    </row>
    <row r="210" ht="16.5" customHeight="1" spans="1:15">
      <c r="A210" s="24">
        <v>18</v>
      </c>
      <c r="B210" s="24">
        <v>171810199</v>
      </c>
      <c r="C210" s="43" t="s">
        <v>1659</v>
      </c>
      <c r="D210" s="16" t="s">
        <v>1282</v>
      </c>
      <c r="E210" s="23" t="s">
        <v>1660</v>
      </c>
      <c r="F210" s="27" t="s">
        <v>76</v>
      </c>
      <c r="G210" s="27"/>
      <c r="H210" s="27"/>
      <c r="I210" s="27"/>
      <c r="J210" s="27"/>
      <c r="K210" s="27"/>
      <c r="L210" s="34" t="s">
        <v>158</v>
      </c>
      <c r="M210" s="38"/>
      <c r="O210" s="1">
        <v>4</v>
      </c>
    </row>
    <row r="211" ht="16.5" customHeight="1" spans="1:15">
      <c r="A211" s="14">
        <v>19</v>
      </c>
      <c r="B211" s="24">
        <v>171810307</v>
      </c>
      <c r="C211" s="43" t="s">
        <v>1661</v>
      </c>
      <c r="D211" s="16" t="s">
        <v>1286</v>
      </c>
      <c r="E211" s="23" t="s">
        <v>1662</v>
      </c>
      <c r="F211" s="27" t="s">
        <v>76</v>
      </c>
      <c r="G211" s="27"/>
      <c r="H211" s="27"/>
      <c r="I211" s="27"/>
      <c r="J211" s="27"/>
      <c r="K211" s="27"/>
      <c r="L211" s="33" t="s">
        <v>1423</v>
      </c>
      <c r="M211" s="38"/>
      <c r="O211" s="1">
        <v>5</v>
      </c>
    </row>
    <row r="212" ht="16.5" customHeight="1" spans="1:15">
      <c r="A212" s="24">
        <v>20</v>
      </c>
      <c r="B212" s="24">
        <v>171810241</v>
      </c>
      <c r="C212" s="43" t="s">
        <v>1663</v>
      </c>
      <c r="D212" s="16" t="s">
        <v>1290</v>
      </c>
      <c r="E212" s="53" t="s">
        <v>1664</v>
      </c>
      <c r="F212" s="27" t="s">
        <v>61</v>
      </c>
      <c r="G212" s="27"/>
      <c r="H212" s="27"/>
      <c r="I212" s="27"/>
      <c r="J212" s="27"/>
      <c r="K212" s="27"/>
      <c r="L212" s="35" t="s">
        <v>60</v>
      </c>
      <c r="M212" s="38"/>
      <c r="O212" s="1">
        <v>6</v>
      </c>
    </row>
    <row r="213" ht="16.5" customHeight="1" spans="1:15">
      <c r="A213" s="14">
        <v>21</v>
      </c>
      <c r="B213" s="24">
        <v>171810347</v>
      </c>
      <c r="C213" s="43" t="s">
        <v>1665</v>
      </c>
      <c r="D213" s="16" t="s">
        <v>1277</v>
      </c>
      <c r="E213" s="28" t="s">
        <v>1666</v>
      </c>
      <c r="F213" s="24" t="s">
        <v>61</v>
      </c>
      <c r="G213" s="24"/>
      <c r="H213" s="24"/>
      <c r="I213" s="24"/>
      <c r="J213" s="24"/>
      <c r="K213" s="24"/>
      <c r="L213" s="33" t="s">
        <v>1667</v>
      </c>
      <c r="M213" s="38"/>
      <c r="O213" s="1">
        <v>7</v>
      </c>
    </row>
    <row r="214" ht="16.5" customHeight="1" spans="1:15">
      <c r="A214" s="24">
        <v>22</v>
      </c>
      <c r="B214" s="24">
        <v>171810203</v>
      </c>
      <c r="C214" s="43" t="s">
        <v>1668</v>
      </c>
      <c r="D214" s="16" t="s">
        <v>1282</v>
      </c>
      <c r="E214" s="28" t="s">
        <v>1669</v>
      </c>
      <c r="F214" s="24" t="s">
        <v>61</v>
      </c>
      <c r="G214" s="24"/>
      <c r="H214" s="24"/>
      <c r="I214" s="24"/>
      <c r="J214" s="24"/>
      <c r="K214" s="24"/>
      <c r="L214" s="35" t="s">
        <v>1296</v>
      </c>
      <c r="M214" s="38"/>
      <c r="O214" s="1">
        <v>8</v>
      </c>
    </row>
    <row r="215" ht="16.5" customHeight="1" spans="1:15">
      <c r="A215" s="14">
        <v>23</v>
      </c>
      <c r="B215" s="24">
        <v>171810205</v>
      </c>
      <c r="C215" s="43" t="s">
        <v>1670</v>
      </c>
      <c r="D215" s="16" t="s">
        <v>1282</v>
      </c>
      <c r="E215" s="28" t="s">
        <v>1671</v>
      </c>
      <c r="F215" s="24" t="s">
        <v>61</v>
      </c>
      <c r="G215" s="24"/>
      <c r="H215" s="24"/>
      <c r="I215" s="24"/>
      <c r="J215" s="24"/>
      <c r="K215" s="24"/>
      <c r="L215" s="35" t="s">
        <v>1296</v>
      </c>
      <c r="M215" s="38"/>
      <c r="O215" s="1">
        <v>9</v>
      </c>
    </row>
    <row r="216" ht="16.5" customHeight="1" spans="1:15">
      <c r="A216" s="24">
        <v>24</v>
      </c>
      <c r="B216" s="24">
        <v>171810350</v>
      </c>
      <c r="C216" s="43" t="s">
        <v>1672</v>
      </c>
      <c r="D216" s="16" t="s">
        <v>1277</v>
      </c>
      <c r="E216" s="23" t="s">
        <v>1673</v>
      </c>
      <c r="F216" s="27" t="s">
        <v>76</v>
      </c>
      <c r="G216" s="27"/>
      <c r="H216" s="27"/>
      <c r="I216" s="27"/>
      <c r="J216" s="27"/>
      <c r="K216" s="27"/>
      <c r="L216" s="33" t="s">
        <v>60</v>
      </c>
      <c r="M216" s="38"/>
      <c r="O216" s="1">
        <v>10</v>
      </c>
    </row>
    <row r="217" ht="16.5" customHeight="1" spans="1:15">
      <c r="A217" s="14">
        <v>25</v>
      </c>
      <c r="B217" s="24">
        <v>171810351</v>
      </c>
      <c r="C217" s="43" t="s">
        <v>1674</v>
      </c>
      <c r="D217" s="16" t="s">
        <v>1277</v>
      </c>
      <c r="E217" s="23" t="s">
        <v>1675</v>
      </c>
      <c r="F217" s="27" t="s">
        <v>76</v>
      </c>
      <c r="G217" s="27"/>
      <c r="H217" s="27"/>
      <c r="I217" s="27"/>
      <c r="J217" s="27"/>
      <c r="K217" s="27"/>
      <c r="L217" s="35" t="s">
        <v>158</v>
      </c>
      <c r="M217" s="38"/>
      <c r="O217" s="1">
        <v>11</v>
      </c>
    </row>
    <row r="218" ht="16.5" customHeight="1" spans="1:15">
      <c r="A218" s="24">
        <v>26</v>
      </c>
      <c r="B218" s="24">
        <v>171810207</v>
      </c>
      <c r="C218" s="43" t="s">
        <v>1676</v>
      </c>
      <c r="D218" s="16" t="s">
        <v>1282</v>
      </c>
      <c r="E218" s="28" t="s">
        <v>1677</v>
      </c>
      <c r="F218" s="24" t="s">
        <v>76</v>
      </c>
      <c r="G218" s="24"/>
      <c r="H218" s="24"/>
      <c r="I218" s="24"/>
      <c r="J218" s="24"/>
      <c r="K218" s="24"/>
      <c r="L218" s="35" t="s">
        <v>1372</v>
      </c>
      <c r="M218" s="38"/>
      <c r="O218" s="1">
        <v>12</v>
      </c>
    </row>
    <row r="219" ht="16.5" customHeight="1" spans="1:15">
      <c r="A219" s="14">
        <v>27</v>
      </c>
      <c r="B219" s="24">
        <v>171810208</v>
      </c>
      <c r="C219" s="43" t="s">
        <v>1678</v>
      </c>
      <c r="D219" s="16" t="s">
        <v>1282</v>
      </c>
      <c r="E219" s="23" t="s">
        <v>1679</v>
      </c>
      <c r="F219" s="27" t="s">
        <v>76</v>
      </c>
      <c r="G219" s="27"/>
      <c r="H219" s="27"/>
      <c r="I219" s="27"/>
      <c r="J219" s="27"/>
      <c r="K219" s="27"/>
      <c r="L219" s="34" t="s">
        <v>60</v>
      </c>
      <c r="M219" s="38"/>
      <c r="O219" s="1">
        <v>13</v>
      </c>
    </row>
    <row r="220" ht="16.5" customHeight="1" spans="1:15">
      <c r="A220" s="24">
        <v>28</v>
      </c>
      <c r="B220" s="24">
        <v>171810280</v>
      </c>
      <c r="C220" s="43" t="s">
        <v>1680</v>
      </c>
      <c r="D220" s="16" t="s">
        <v>1294</v>
      </c>
      <c r="E220" s="23" t="s">
        <v>1681</v>
      </c>
      <c r="F220" s="27" t="s">
        <v>76</v>
      </c>
      <c r="G220" s="27"/>
      <c r="H220" s="27"/>
      <c r="I220" s="27"/>
      <c r="J220" s="27"/>
      <c r="K220" s="27"/>
      <c r="L220" s="33" t="s">
        <v>1519</v>
      </c>
      <c r="M220" s="38"/>
      <c r="O220" s="1">
        <v>14</v>
      </c>
    </row>
    <row r="221" ht="16.5" customHeight="1" spans="1:15">
      <c r="A221" s="14">
        <v>29</v>
      </c>
      <c r="B221" s="24">
        <v>171810282</v>
      </c>
      <c r="C221" s="43" t="s">
        <v>1682</v>
      </c>
      <c r="D221" s="16" t="s">
        <v>1294</v>
      </c>
      <c r="E221" s="23" t="s">
        <v>1683</v>
      </c>
      <c r="F221" s="27" t="s">
        <v>61</v>
      </c>
      <c r="G221" s="27"/>
      <c r="H221" s="27"/>
      <c r="I221" s="27"/>
      <c r="J221" s="27"/>
      <c r="K221" s="27"/>
      <c r="L221" s="33" t="s">
        <v>60</v>
      </c>
      <c r="M221" s="38"/>
      <c r="O221" s="1">
        <v>15</v>
      </c>
    </row>
    <row r="222" ht="16.5" customHeight="1" spans="1:15">
      <c r="A222" s="24">
        <v>30</v>
      </c>
      <c r="B222" s="24">
        <v>171810247</v>
      </c>
      <c r="C222" s="43" t="s">
        <v>1684</v>
      </c>
      <c r="D222" s="16" t="s">
        <v>1290</v>
      </c>
      <c r="E222" s="28" t="s">
        <v>1685</v>
      </c>
      <c r="F222" s="24" t="s">
        <v>61</v>
      </c>
      <c r="G222" s="24"/>
      <c r="H222" s="24"/>
      <c r="I222" s="24"/>
      <c r="J222" s="24"/>
      <c r="K222" s="24"/>
      <c r="L222" s="35" t="s">
        <v>1686</v>
      </c>
      <c r="M222" s="38"/>
      <c r="O222" s="1">
        <v>16</v>
      </c>
    </row>
    <row r="223" ht="16.5" customHeight="1" spans="1:15">
      <c r="A223" s="14">
        <v>31</v>
      </c>
      <c r="B223" s="24">
        <v>171810320</v>
      </c>
      <c r="C223" s="43" t="s">
        <v>1687</v>
      </c>
      <c r="D223" s="16" t="s">
        <v>1286</v>
      </c>
      <c r="E223" s="23" t="s">
        <v>1688</v>
      </c>
      <c r="F223" s="27" t="s">
        <v>61</v>
      </c>
      <c r="G223" s="27"/>
      <c r="H223" s="27"/>
      <c r="I223" s="27"/>
      <c r="J223" s="27"/>
      <c r="K223" s="27"/>
      <c r="L223" s="33" t="s">
        <v>1372</v>
      </c>
      <c r="M223" s="38"/>
      <c r="O223" s="1">
        <v>17</v>
      </c>
    </row>
    <row r="224" ht="16.5" customHeight="1" spans="1:15">
      <c r="A224" s="24">
        <v>32</v>
      </c>
      <c r="B224" s="24">
        <v>171810322</v>
      </c>
      <c r="C224" s="43" t="s">
        <v>1689</v>
      </c>
      <c r="D224" s="16" t="s">
        <v>1286</v>
      </c>
      <c r="E224" s="23" t="s">
        <v>1690</v>
      </c>
      <c r="F224" s="27" t="s">
        <v>61</v>
      </c>
      <c r="G224" s="27"/>
      <c r="H224" s="27"/>
      <c r="I224" s="27"/>
      <c r="J224" s="27"/>
      <c r="K224" s="27"/>
      <c r="L224" s="33" t="s">
        <v>1305</v>
      </c>
      <c r="M224" s="38"/>
      <c r="O224" s="1">
        <v>18</v>
      </c>
    </row>
    <row r="225" ht="16.5" customHeight="1" spans="1:22">
      <c r="A225" s="14">
        <v>33</v>
      </c>
      <c r="B225" s="24">
        <v>171810214</v>
      </c>
      <c r="C225" s="43" t="s">
        <v>1691</v>
      </c>
      <c r="D225" s="16" t="s">
        <v>1282</v>
      </c>
      <c r="E225" s="23" t="s">
        <v>1692</v>
      </c>
      <c r="F225" s="27" t="s">
        <v>61</v>
      </c>
      <c r="G225" s="27"/>
      <c r="H225" s="27"/>
      <c r="I225" s="27"/>
      <c r="J225" s="27"/>
      <c r="K225" s="27"/>
      <c r="L225" s="34" t="s">
        <v>1423</v>
      </c>
      <c r="M225" s="38"/>
      <c r="O225" s="1">
        <v>19</v>
      </c>
      <c r="U225" s="3"/>
      <c r="V225" s="3"/>
    </row>
    <row r="226" ht="16.5" customHeight="1" spans="1:22">
      <c r="A226" s="24">
        <v>34</v>
      </c>
      <c r="B226" s="24">
        <v>181911404</v>
      </c>
      <c r="C226" s="43" t="s">
        <v>1693</v>
      </c>
      <c r="D226" s="16"/>
      <c r="E226" s="23" t="s">
        <v>1694</v>
      </c>
      <c r="F226" s="27" t="s">
        <v>61</v>
      </c>
      <c r="G226" s="27"/>
      <c r="H226" s="27"/>
      <c r="I226" s="27"/>
      <c r="J226" s="27"/>
      <c r="K226" s="27"/>
      <c r="L226" s="52" t="s">
        <v>1324</v>
      </c>
      <c r="M226" s="38"/>
      <c r="O226" s="1"/>
      <c r="U226" s="3"/>
      <c r="V226" s="3"/>
    </row>
    <row r="227" ht="16.5" customHeight="1" spans="1:22">
      <c r="A227" s="24">
        <v>36</v>
      </c>
      <c r="B227" s="24">
        <v>181911407</v>
      </c>
      <c r="C227" s="43" t="s">
        <v>1695</v>
      </c>
      <c r="D227" s="16"/>
      <c r="E227" s="63" t="s">
        <v>1696</v>
      </c>
      <c r="F227" s="27" t="s">
        <v>76</v>
      </c>
      <c r="G227" s="27"/>
      <c r="H227" s="27"/>
      <c r="I227" s="27"/>
      <c r="J227" s="27"/>
      <c r="K227" s="27"/>
      <c r="L227" s="52" t="s">
        <v>1697</v>
      </c>
      <c r="M227" s="38"/>
      <c r="O227" s="1"/>
      <c r="U227" s="3"/>
      <c r="V227" s="3"/>
    </row>
    <row r="228" ht="16.5" customHeight="1" spans="1:22">
      <c r="A228" s="24"/>
      <c r="B228" s="24"/>
      <c r="C228" s="43"/>
      <c r="D228" s="16"/>
      <c r="E228" s="63"/>
      <c r="F228" s="27"/>
      <c r="G228" s="27"/>
      <c r="H228" s="27"/>
      <c r="I228" s="27"/>
      <c r="J228" s="27"/>
      <c r="K228" s="27"/>
      <c r="L228" s="52" t="s">
        <v>1686</v>
      </c>
      <c r="M228" s="38"/>
      <c r="O228" s="1"/>
      <c r="U228" s="3"/>
      <c r="V228" s="3"/>
    </row>
    <row r="229" ht="15.15" spans="1:16">
      <c r="A229" s="18"/>
      <c r="B229" s="19"/>
      <c r="C229" s="19"/>
      <c r="D229" s="19"/>
      <c r="E229" s="29" t="s">
        <v>1383</v>
      </c>
      <c r="F229" s="19">
        <f>COUNTIF(F193:F228,"l")</f>
        <v>15</v>
      </c>
      <c r="G229" s="19"/>
      <c r="H229" s="19"/>
      <c r="I229" s="19"/>
      <c r="J229" s="19"/>
      <c r="K229" s="19"/>
      <c r="L229" s="19"/>
      <c r="M229" s="19"/>
      <c r="P229" s="64"/>
    </row>
    <row r="230" ht="14.4" spans="1:13">
      <c r="A230" s="18"/>
      <c r="B230" s="19"/>
      <c r="C230" s="19"/>
      <c r="D230" s="19"/>
      <c r="E230" s="29" t="s">
        <v>1384</v>
      </c>
      <c r="F230" s="19">
        <f>COUNTIF(F193:F228,"p")</f>
        <v>20</v>
      </c>
      <c r="G230" s="19"/>
      <c r="H230" s="19"/>
      <c r="I230" s="19"/>
      <c r="J230" s="19"/>
      <c r="K230" s="19"/>
      <c r="L230" s="19"/>
      <c r="M230" s="19"/>
    </row>
    <row r="231" ht="14.4" spans="1:13">
      <c r="A231" s="18"/>
      <c r="B231" s="18" t="s">
        <v>1385</v>
      </c>
      <c r="C231" s="19"/>
      <c r="D231" s="19"/>
      <c r="E231" s="18"/>
      <c r="F231" s="1" t="s">
        <v>1386</v>
      </c>
      <c r="K231" s="19"/>
      <c r="L231" s="19"/>
      <c r="M231" s="19"/>
    </row>
    <row r="232" ht="14.4" spans="1:13">
      <c r="A232" s="18"/>
      <c r="B232" s="19"/>
      <c r="C232" s="19"/>
      <c r="D232" s="19"/>
      <c r="E232" s="18"/>
      <c r="K232" s="19"/>
      <c r="L232" s="19"/>
      <c r="M232" s="19"/>
    </row>
    <row r="233" ht="12" customHeight="1" spans="1:13">
      <c r="A233" s="18"/>
      <c r="B233" s="19"/>
      <c r="C233" s="19"/>
      <c r="D233" s="19"/>
      <c r="E233" s="18"/>
      <c r="K233" s="19"/>
      <c r="L233" s="19"/>
      <c r="M233" s="19"/>
    </row>
    <row r="234" ht="14.4" spans="1:13">
      <c r="A234" s="18"/>
      <c r="B234" s="20" t="s">
        <v>1387</v>
      </c>
      <c r="C234" s="19"/>
      <c r="D234" s="19"/>
      <c r="E234" s="18"/>
      <c r="F234" s="36"/>
      <c r="G234" s="36"/>
      <c r="H234" s="36"/>
      <c r="I234" s="36"/>
      <c r="J234" s="36"/>
      <c r="K234" s="19"/>
      <c r="L234" s="30"/>
      <c r="M234" s="30"/>
    </row>
    <row r="235" ht="14.4" spans="1:13">
      <c r="A235" s="18"/>
      <c r="B235" s="18" t="s">
        <v>1388</v>
      </c>
      <c r="C235" s="19"/>
      <c r="D235" s="19"/>
      <c r="E235" s="18"/>
      <c r="F235" s="19"/>
      <c r="G235" s="19"/>
      <c r="H235" s="19"/>
      <c r="I235" s="19"/>
      <c r="J235" s="19"/>
      <c r="K235" s="19"/>
      <c r="L235" s="19"/>
      <c r="M235" s="19"/>
    </row>
    <row r="237" ht="30.75" customHeight="1"/>
    <row r="281" ht="14.4" spans="2:4">
      <c r="B281" s="3"/>
      <c r="C281" s="3"/>
      <c r="D281" s="3"/>
    </row>
    <row r="283" ht="30.75" customHeight="1"/>
  </sheetData>
  <mergeCells count="9">
    <mergeCell ref="A1:M1"/>
    <mergeCell ref="A2:M2"/>
    <mergeCell ref="A3:M3"/>
    <mergeCell ref="A4:M4"/>
    <mergeCell ref="A5:M5"/>
    <mergeCell ref="A6:M6"/>
    <mergeCell ref="A7:M7"/>
    <mergeCell ref="A8:M8"/>
    <mergeCell ref="A9:M9"/>
  </mergeCells>
  <pageMargins left="0.590277777777778" right="0.236111111111111" top="0.315277777777778" bottom="0.354166666666667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LibreOffice/25.8.3.2$Linux_X86_64 LibreOffice_project/580$Build-2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KELAS 11</vt:lpstr>
      <vt:lpstr>KELAS 10</vt:lpstr>
      <vt:lpstr>XII 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daniarsyah</cp:lastModifiedBy>
  <cp:revision>196</cp:revision>
  <dcterms:created xsi:type="dcterms:W3CDTF">2018-07-13T06:56:00Z</dcterms:created>
  <cp:lastPrinted>2023-08-10T00:05:00Z</cp:lastPrinted>
  <dcterms:modified xsi:type="dcterms:W3CDTF">2025-12-07T13:18:04Z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B405528AFEC84FC29410A9379A3B6406_13</vt:lpwstr>
  </property>
  <property fmtid="{D5CDD505-2E9C-101B-9397-08002B2CF9AE}" pid="3" name="KSOProductBuildVer">
    <vt:lpwstr>1033-12.1.2.22571</vt:lpwstr>
  </property>
</Properties>
</file>