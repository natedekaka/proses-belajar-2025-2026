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<sst xmlns="http://schemas.openxmlformats.org/spreadsheetml/2006/main" count="3398" uniqueCount="1442">
  <si>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</si>
  <si>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</si>
  <si>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</si>
  <si>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</si>
  <si>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</si>
  <si>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</si>
  <si>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</si>
  <si>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</si>
  <si>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</si>
  <si>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</si>
  <si>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</si>
  <si>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</si>
  <si>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</si>
  <si>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</si>
  <si>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</si>
  <si>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</si>
  <si>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</si>
  <si>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</si>
  <si>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</si>
  <si>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</si>
  <si>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</si>
  <si>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</si>
  <si>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</si>
  <si>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</si>
  <si>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</si>
  <si>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</si>
  <si>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</si>
  <si>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</si>
  <si>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</si>
  <si>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</si>
  <si>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</si>
  <si>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</si>
  <si>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</si>
  <si>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</si>
  <si>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</si>
  <si>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</si>
  <si>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</si>
  <si>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</si>
  <si>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</si>
  <si>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</si>
  <si>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</si>
  <si>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</si>
  <si>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</si>
  <si>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</si>
  <si>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</si>
  <si>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PAS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</si>
  <si>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</si>
  <si>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</si>
  <si>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</si>
  <si>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</si>
  <si>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</si>
  <si>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</si>
  <si>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</si>
  <si>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</si>
  <si>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</si>
  <si>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</si>
  <si>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</si>
  <si>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</si>
  <si>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</si>
  <si>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</si>
  <si>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</si>
  <si>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</si>
  <si>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</si>
  <si>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</si>
  <si>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</si>
  <si>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</si>
  <si>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</si>
  <si>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</si>
  <si>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</si>
  <si>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</si>
  <si>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</si>
  <si>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</si>
  <si>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</si>
  <si>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</si>
  <si>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</si>
  <si>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</si>
  <si>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</si>
  <si>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</si>
  <si>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</si>
  <si>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</si>
  <si>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</si>
  <si>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</si>
  <si>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</si>
  <si>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</si>
  <si>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</si>
  <si>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</si>
  <si>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</si>
  <si>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</si>
  <si>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</si>
  <si>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</si>
  <si>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</si>
  <si>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</si>
  <si>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</si>
  <si>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</si>
  <si>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</si>
  <si>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</si>
  <si>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</si>
  <si>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</si>
  <si>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</si>
  <si>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</si>
  <si>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</si>
  <si>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</si>
  <si>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</si>
  <si>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</si>
  <si>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</si>
  <si>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</si>
  <si>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</si>
  <si>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</si>
  <si>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</si>
  <si>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</si>
  <si>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</si>
  <si>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</si>
  <si>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</si>
  <si>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</si>
  <si>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</si>
  <si>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</si>
  <si>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</si>
  <si>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</si>
  <si>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</si>
  <si>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</si>
  <si>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</si>
  <si>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</si>
  <si>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</si>
  <si>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</si>
  <si>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</si>
  <si>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</si>
  <si>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</si>
  <si>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</si>
  <si>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</si>
  <si>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</si>
  <si>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</si>
  <si>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</si>
  <si>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</si>
  <si>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</si>
  <si>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</si>
  <si>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</si>
  <si>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</si>
  <si>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</si>
  <si>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</si>
  <si>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</si>
  <si>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</si>
  <si>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</si>
  <si>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</si>
  <si>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</si>
  <si>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</si>
  <si>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</si>
  <si>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</si>
  <si>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</si>
  <si>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</si>
  <si>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</si>
  <si>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</si>
  <si>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</si>
  <si>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</si>
  <si>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</si>
  <si>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</si>
  <si>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</si>
  <si>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</si>
  <si>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</si>
  <si>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</si>
  <si>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</si>
  <si>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</si>
  <si>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</si>
  <si>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</si>
  <si>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</si>
  <si>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</si>
  <si>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</si>
  <si>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</si>
  <si>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</si>
  <si>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</si>
  <si>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</si>
  <si>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</si>
  <si>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</si>
  <si>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</si>
  <si>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</si>
  <si>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</si>
  <si>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</si>
  <si>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</si>
  <si>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</si>
  <si>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</si>
  <si>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</si>
  <si>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</si>
  <si>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</si>
  <si>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</si>
  <si>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</si>
  <si>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</si>
  <si>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</si>
  <si>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</si>
  <si>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</si>
  <si>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</si>
  <si>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</si>
  <si>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</si>
  <si>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</si>
  <si>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</si>
  <si>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</si>
  <si>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</si>
  <si>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</si>
  <si>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</si>
  <si>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</si>
  <si>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</si>
  <si>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</si>
  <si>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</si>
  <si>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</si>
  <si>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</si>
  <si>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</si>
  <si>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</si>
  <si>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</si>
  <si>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</si>
  <si>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</si>
  <si>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</si>
  <si>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</si>
  <si>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</si>
  <si>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</si>
  <si>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</si>
  <si>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</si>
  <si>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</si>
  <si>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</si>
  <si>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</si>
  <si>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</si>
  <si>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</si>
  <si>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</si>
  <si>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</si>
  <si>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</si>
  <si>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</si>
  <si>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</si>
  <si>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</si>
  <si>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</si>
  <si>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</si>
  <si>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</si>
  <si>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</si>
  <si>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</si>
  <si>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</si>
  <si>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</si>
  <si>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</si>
  <si>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</si>
  <si>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</si>
  <si>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</si>
  <si>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</si>
  <si>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</si>
  <si>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</si>
  <si>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</si>
  <si>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</si>
  <si>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</si>
  <si>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</si>
  <si>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</si>
  <si>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</si>
  <si>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</si>
  <si>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</si>
  <si>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</si>
  <si>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</si>
  <si>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</si>
  <si>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</si>
  <si>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</si>
  <si>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</si>
  <si>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</si>
  <si>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</si>
  <si>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</si>
  <si>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</si>
  <si>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</si>
  <si>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</si>
  <si>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</si>
  <si>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</si>
  <si>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</si>
  <si>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</si>
  <si>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</si>
  <si>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</si>
  <si>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</si>
  <si>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</si>
  <si>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</si>
  <si>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</si>
  <si>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</si>
  <si>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</si>
  <si>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</si>
  <si>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</si>
  <si>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</si>
  <si>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</si>
  <si>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</si>
  <si>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</si>
  <si>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</si>
  <si>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</si>
  <si>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</si>
  <si>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</si>
  <si>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</si>
  <si>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</si>
  <si>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</si>
  <si>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</si>
  <si>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</si>
  <si>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</si>
  <si>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</si>
  <si>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</si>
  <si>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</si>
  <si>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</si>
  <si>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</si>
  <si>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</si>
  <si>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</si>
  <si>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</si>
  <si>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</si>
  <si>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</si>
  <si>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</si>
  <si>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</si>
  <si>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</si>
  <si>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</si>
  <si>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</si>
  <si>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</si>
  <si>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</si>
  <si>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</si>
  <si>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</si>
  <si>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</si>
  <si>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</si>
  <si>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</si>
  <si>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</si>
  <si>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</si>
  <si>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</si>
  <si>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</si>
  <si>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</si>
  <si>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</si>
  <si>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</si>
  <si>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</si>
  <si>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</si>
  <si>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</si>
  <si>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</si>
  <si>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</si>
  <si>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</si>
  <si>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</si>
  <si>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</si>
  <si>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</si>
  <si>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</si>
  <si>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</si>
  <si>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</si>
  <si>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</si>
  <si>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</si>
  <si>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</si>
  <si>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</si>
  <si>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</si>
  <si>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</si>
  <si>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</si>
  <si>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</si>
  <si>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</si>
  <si>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</si>
  <si>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</si>
  <si>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</si>
  <si>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</si>
  <si>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</si>
  <si>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</si>
  <si>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</si>
  <si>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</si>
  <si>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</si>
  <si>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</si>
  <si>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</si>
  <si>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</si>
  <si>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</si>
  <si>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</si>
  <si>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</si>
  <si>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</si>
  <si>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</si>
  <si>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</si>
  <si>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</si>
  <si>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</si>
  <si>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</si>
  <si>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</si>
  <si>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</si>
  <si>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</si>
  <si>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</si>
  <si>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</si>
  <si>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</si>
  <si>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</si>
  <si>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</si>
  <si>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</si>
  <si>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</si>
  <si>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</si>
  <si>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</si>
  <si>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</si>
  <si>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</si>
  <si>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</si>
  <si>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</si>
  <si>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</si>
  <si>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</si>
  <si>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</si>
  <si>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</si>
  <si>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</si>
  <si>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</si>
  <si>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</si>
  <si>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</si>
  <si>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</si>
  <si>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</si>
  <si>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</si>
  <si>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</si>
  <si>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</si>
  <si>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</si>
  <si>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</si>
  <si>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</si>
  <si>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</si>
  <si>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</si>
  <si>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</si>
  <si>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</si>
  <si>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</si>
  <si>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</si>
  <si>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</si>
  <si>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</si>
  <si>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</si>
  <si>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</si>
  <si>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</si>
  <si>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</si>
  <si>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</si>
  <si>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</si>
  <si>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</si>
  <si>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</si>
  <si>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</si>
  <si>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</si>
  <si>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</si>
  <si>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</si>
  <si>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</si>
  <si>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</si>
  <si>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</si>
  <si>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</si>
  <si>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</si>
  <si>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</si>
  <si>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</si>
  <si>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</si>
  <si>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</si>
  <si>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</si>
  <si>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</si>
  <si>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</si>
  <si>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</si>
  <si>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</si>
  <si>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</si>
  <si>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</si>
  <si>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e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</si>
  <si>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</si>
  <si>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</si>
  <si>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</si>
  <si>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</si>
  <si>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</si>
  <si>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</si>
  <si>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</si>
  <si>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</si>
  <si>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</si>
  <si>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</si>
  <si>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</si>
  <si>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</si>
  <si>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</si>
  <si>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</si>
  <si>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</si>
  <si>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</si>
  <si>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</si>
  <si>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</si>
  <si>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</si>
  <si>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</si>
  <si>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</si>
  <si>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</si>
  <si>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</si>
  <si>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</si>
  <si>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</si>
  <si>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</si>
  <si>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</si>
  <si>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</si>
  <si>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</si>
  <si>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</si>
  <si>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</si>
  <si>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</si>
  <si>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</si>
  <si>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</si>
  <si>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</si>
  <si>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</si>
  <si>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</si>
  <si>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2018-11-26 aktif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</si>
  <si>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</si>
  <si>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</si>
  <si>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</si>
  <si>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</si>
  <si>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</si>
  <si>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</si>
  <si>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</si>
  <si>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</si>
  <si>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</si>
  <si>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</si>
  <si>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</si>
  <si>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</si>
  <si>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</si>
  <si>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</si>
  <si>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</si>
  <si>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</si>
  <si>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</si>
  <si>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</si>
  <si>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</si>
  <si>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</si>
  <si>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</si>
  <si>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</si>
  <si>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</si>
  <si>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</si>
  <si>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</si>
  <si>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</si>
  <si>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</si>
  <si>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</si>
  <si>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</si>
  <si>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</si>
  <si>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</si>
  <si>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</si>
  <si>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</si>
  <si>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</si>
  <si>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</si>
  <si>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</si>
  <si>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</si>
  <si>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</si>
  <si>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</si>
  <si>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</si>
  <si>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</si>
  <si>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</si>
  <si>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</si>
  <si>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</si>
  <si>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</si>
  <si>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</si>
  <si>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</si>
  <si>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</si>
  <si>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</si>
  <si>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</si>
  <si>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</si>
  <si>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</si>
  <si>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</si>
  <si>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</si>
  <si>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</si>
  <si>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</si>
  <si>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</si>
  <si>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</si>
  <si>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</si>
  <si>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</si>
  <si>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</si>
  <si>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</si>
  <si>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</si>
  <si>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</si>
  <si>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</si>
  <si>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</si>
  <si>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</si>
  <si>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</si>
  <si>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s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</si>
  <si>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</si>
  <si>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</si>
  <si>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</si>
  <si>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</si>
  <si>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</si>
  <si>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</si>
  <si>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</si>
  <si>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</si>
  <si>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</si>
  <si>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</si>
  <si>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</si>
  <si>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</si>
  <si>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</si>
  <si>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</si>
  <si>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</si>
  <si>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</si>
  <si>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</si>
  <si>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</si>
  <si>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</si>
  <si>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</si>
  <si>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</si>
  <si>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</si>
  <si>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</si>
  <si>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</si>
  <si>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</si>
  <si>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</si>
  <si>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</si>
  <si>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</si>
  <si>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</si>
  <si>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</si>
  <si>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</si>
  <si>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</si>
  <si>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</si>
  <si>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</si>
  <si>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</si>
  <si>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</si>
  <si>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</si>
  <si>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</si>
  <si>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</si>
  <si>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</si>
  <si>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</si>
  <si>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</si>
  <si>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</si>
  <si>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</si>
  <si>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</si>
  <si>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</si>
  <si>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</si>
  <si>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</si>
  <si>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</si>
  <si>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</si>
  <si>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</si>
  <si>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</si>
  <si>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</si>
  <si>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</si>
  <si>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</si>
  <si>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</si>
  <si>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</si>
  <si>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</si>
  <si>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</si>
  <si>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</si>
  <si>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</si>
  <si>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</si>
  <si>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</si>
  <si>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</si>
  <si>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</si>
  <si>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</si>
  <si>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</si>
  <si>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</si>
  <si>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</si>
  <si>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</si>
  <si>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</si>
  <si>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</si>
  <si>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</si>
  <si>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</si>
  <si>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</si>
  <si>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</si>
  <si>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</si>
  <si>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</si>
  <si>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</si>
  <si>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</si>
  <si>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</si>
  <si>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</si>
  <si>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</si>
  <si>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</si>
  <si>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</si>
  <si>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</si>
  <si>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</si>
  <si>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</si>
  <si>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</si>
  <si>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</si>
  <si>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</si>
  <si>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</si>
  <si>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</si>
  <si>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</si>
  <si>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</si>
  <si>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</si>
  <si>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</si>
  <si>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</si>
  <si>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</si>
  <si>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</si>
  <si>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</si>
  <si>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</si>
  <si>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</si>
  <si>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</si>
  <si>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</si>
  <si>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</si>
  <si>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</si>
  <si>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</si>
  <si>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</si>
  <si>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</si>
  <si>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</si>
  <si>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</si>
  <si>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</si>
  <si>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</si>
  <si>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</si>
  <si>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</si>
  <si>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</si>
  <si>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</si>
  <si>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</si>
  <si>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</si>
  <si>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</si>
  <si>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</si>
  <si>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</si>
  <si>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</si>
  <si>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</si>
  <si>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</si>
  <si>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</si>
  <si>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</si>
  <si>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</si>
  <si>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</si>
  <si>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</si>
  <si>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</si>
  <si>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</si>
  <si>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</si>
  <si>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</si>
  <si>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</si>
  <si>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</si>
  <si>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</si>
  <si>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</si>
  <si>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</si>
  <si>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</si>
  <si>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</si>
  <si>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</si>
  <si>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</si>
  <si>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</si>
  <si>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</si>
  <si>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</si>
  <si>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</si>
  <si>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</si>
  <si>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</si>
  <si>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</si>
  <si>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</si>
  <si>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</si>
  <si>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</si>
  <si>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</si>
  <si>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</si>
  <si>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</si>
  <si>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</si>
  <si>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</si>
  <si>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</si>
  <si>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</si>
  <si>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</si>
  <si>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</si>
  <si>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</si>
  <si>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</si>
  <si>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</si>
  <si>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</si>
  <si>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</si>
  <si>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</si>
  <si>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</si>
  <si>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</si>
  <si>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</si>
  <si>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</si>
  <si>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</si>
  <si>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</si>
  <si>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</si>
  <si>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</si>
  <si>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</si>
  <si>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</si>
  <si>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</si>
  <si>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</si>
  <si>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</si>
  <si>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</si>
  <si>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</si>
  <si>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</si>
  <si>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</si>
  <si>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</si>
  <si>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</si>
  <si>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</si>
  <si>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</si>
  <si>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</si>
  <si>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</si>
  <si>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</si>
  <si>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</si>
  <si>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</si>
  <si>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</si>
  <si>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</si>
  <si>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</si>
  <si>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</si>
  <si>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</si>
  <si>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</si>
  <si>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</si>
  <si>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</si>
  <si>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</si>
  <si>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</si>
  <si>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</si>
  <si>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</si>
  <si>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</si>
  <si>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</si>
  <si>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</si>
  <si>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</si>
  <si>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</si>
  <si>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</si>
  <si>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</si>
  <si>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</si>
  <si>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</si>
  <si>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</si>
  <si>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</si>
  <si>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</si>
  <si>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</si>
  <si>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</si>
  <si>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</si>
  <si>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</si>
  <si>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</si>
  <si>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</si>
  <si>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</si>
  <si>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</si>
  <si>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</si>
  <si>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</si>
  <si>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</si>
  <si>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</si>
  <si>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</si>
  <si>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</si>
  <si>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</si>
  <si>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</si>
  <si>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</si>
  <si>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</si>
  <si>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</si>
  <si>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</si>
  <si>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</si>
  <si>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</si>
  <si>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</si>
  <si>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</si>
  <si>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</si>
  <si>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</si>
  <si>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</si>
  <si>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</si>
  <si>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</si>
  <si>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</si>
  <si>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</si>
  <si>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</si>
  <si>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</si>
  <si>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</si>
  <si>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</si>
  <si>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</si>
  <si>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</si>
  <si>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</si>
  <si>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PTS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</si>
  <si>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</si>
  <si>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</si>
  <si>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</si>
  <si>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</si>
  <si>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</si>
  <si>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</si>
  <si>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</si>
  <si>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</si>
  <si>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</si>
  <si>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UI IMK</t>
  </si>
  <si>
    <t xml:space="preserve">rangkum IMK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</si>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</sst>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yyyy\-mm\-dd"/>
    <numFmt numFmtId="171" formatCode="0%"/>
    <numFmt numFmtId="172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0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6480</xdr:colOff>
      <xdr:row>6</xdr:row>
      <xdr:rowOff>100800</xdr:rowOff>
    </xdr:to>
    <xdr:grpSp>
      <xdr:nvGrpSpPr>
        <xdr:cNvPr id="1" name="Group 1"/>
        <xdr:cNvGrpSpPr/>
      </xdr:nvGrpSpPr>
      <xdr:grpSpPr>
        <a:xfrm>
          <a:off x="35280" y="1170000"/>
          <a:ext cx="5636520" cy="35640"/>
          <a:chOff x="35280" y="1170000"/>
          <a:chExt cx="5636520" cy="35640"/>
        </a:xfrm>
      </xdr:grpSpPr>
      <xdr:cxnSp>
        <xdr:nvCxnSpPr>
          <xdr:cNvPr id="2" name="Straight Connector 2"/>
          <xdr:cNvCxnSpPr/>
        </xdr:nvCxnSpPr>
        <xdr:spPr>
          <a:xfrm>
            <a:off x="36720" y="1188000"/>
            <a:ext cx="563544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563508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731520</xdr:colOff>
      <xdr:row>4</xdr:row>
      <xdr:rowOff>106560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656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731520</xdr:colOff>
      <xdr:row>52</xdr:row>
      <xdr:rowOff>125640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9656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731520</xdr:colOff>
      <xdr:row>52</xdr:row>
      <xdr:rowOff>125640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96560" cy="811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6480</xdr:colOff>
      <xdr:row>55</xdr:row>
      <xdr:rowOff>100800</xdr:rowOff>
    </xdr:to>
    <xdr:grpSp>
      <xdr:nvGrpSpPr>
        <xdr:cNvPr id="7" name="Group 13"/>
        <xdr:cNvGrpSpPr/>
      </xdr:nvGrpSpPr>
      <xdr:grpSpPr>
        <a:xfrm>
          <a:off x="35280" y="9771840"/>
          <a:ext cx="5636520" cy="35640"/>
          <a:chOff x="35280" y="9771840"/>
          <a:chExt cx="5636520" cy="35640"/>
        </a:xfrm>
      </xdr:grpSpPr>
      <xdr:cxnSp>
        <xdr:nvCxnSpPr>
          <xdr:cNvPr id="8" name="Straight Connector 14"/>
          <xdr:cNvCxnSpPr/>
        </xdr:nvCxnSpPr>
        <xdr:spPr>
          <a:xfrm>
            <a:off x="36720" y="9789840"/>
            <a:ext cx="563544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9771840"/>
            <a:ext cx="563508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731520</xdr:colOff>
      <xdr:row>53</xdr:row>
      <xdr:rowOff>119520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96560" cy="814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6480</xdr:colOff>
      <xdr:row>114</xdr:row>
      <xdr:rowOff>100800</xdr:rowOff>
    </xdr:to>
    <xdr:grpSp>
      <xdr:nvGrpSpPr>
        <xdr:cNvPr id="11" name="Group 17"/>
        <xdr:cNvGrpSpPr/>
      </xdr:nvGrpSpPr>
      <xdr:grpSpPr>
        <a:xfrm>
          <a:off x="35280" y="20097000"/>
          <a:ext cx="5636520" cy="35640"/>
          <a:chOff x="35280" y="20097000"/>
          <a:chExt cx="5636520" cy="35640"/>
        </a:xfrm>
      </xdr:grpSpPr>
      <xdr:cxnSp>
        <xdr:nvCxnSpPr>
          <xdr:cNvPr id="12" name="Straight Connector 18"/>
          <xdr:cNvCxnSpPr/>
        </xdr:nvCxnSpPr>
        <xdr:spPr>
          <a:xfrm>
            <a:off x="36720" y="20115000"/>
            <a:ext cx="563544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097000"/>
            <a:ext cx="563508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735120</xdr:colOff>
      <xdr:row>112</xdr:row>
      <xdr:rowOff>100440</xdr:rowOff>
    </xdr:to>
    <xdr:sp>
      <xdr:nvSpPr>
        <xdr:cNvPr id="14" name="Picture 20"/>
        <xdr:cNvSpPr/>
      </xdr:nvSpPr>
      <xdr:spPr>
        <a:xfrm>
          <a:off x="4320" y="18978120"/>
          <a:ext cx="1096560" cy="81108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7200</xdr:colOff>
      <xdr:row>6</xdr:row>
      <xdr:rowOff>100800</xdr:rowOff>
    </xdr:to>
    <xdr:grpSp>
      <xdr:nvGrpSpPr>
        <xdr:cNvPr id="15" name="Group 1"/>
        <xdr:cNvGrpSpPr/>
      </xdr:nvGrpSpPr>
      <xdr:grpSpPr>
        <a:xfrm>
          <a:off x="35280" y="1112760"/>
          <a:ext cx="3122280" cy="35640"/>
          <a:chOff x="35280" y="1112760"/>
          <a:chExt cx="3122280" cy="3564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156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120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744840</xdr:colOff>
      <xdr:row>5</xdr:row>
      <xdr:rowOff>17640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4040" cy="817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7200</xdr:colOff>
      <xdr:row>73</xdr:row>
      <xdr:rowOff>100800</xdr:rowOff>
    </xdr:to>
    <xdr:grpSp>
      <xdr:nvGrpSpPr>
        <xdr:cNvPr id="19" name="Group 45"/>
        <xdr:cNvGrpSpPr/>
      </xdr:nvGrpSpPr>
      <xdr:grpSpPr>
        <a:xfrm>
          <a:off x="35280" y="12190320"/>
          <a:ext cx="3122280" cy="35640"/>
          <a:chOff x="35280" y="12190320"/>
          <a:chExt cx="3122280" cy="3564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156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120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744840</xdr:colOff>
      <xdr:row>72</xdr:row>
      <xdr:rowOff>17640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94040" cy="817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7200</xdr:colOff>
      <xdr:row>140</xdr:row>
      <xdr:rowOff>100800</xdr:rowOff>
    </xdr:to>
    <xdr:grpSp>
      <xdr:nvGrpSpPr>
        <xdr:cNvPr id="23" name="Group 53"/>
        <xdr:cNvGrpSpPr/>
      </xdr:nvGrpSpPr>
      <xdr:grpSpPr>
        <a:xfrm>
          <a:off x="35280" y="23296680"/>
          <a:ext cx="3122280" cy="35640"/>
          <a:chOff x="35280" y="23296680"/>
          <a:chExt cx="3122280" cy="3564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156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1200" cy="180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744840</xdr:colOff>
      <xdr:row>139</xdr:row>
      <xdr:rowOff>17640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94040" cy="817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39240</xdr:colOff>
      <xdr:row>5</xdr:row>
      <xdr:rowOff>144000</xdr:rowOff>
    </xdr:to>
    <xdr:pic>
      <xdr:nvPicPr>
        <xdr:cNvPr id="27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68320" cy="915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false" showRowColHeaders="true" showZeros="true" rightToLeft="false" tabSelected="false" showOutlineSymbols="true" defaultGridColor="true" view="normal" topLeftCell="E60" colorId="64" zoomScale="110" zoomScaleNormal="110" zoomScalePageLayoutView="100" workbookViewId="0">
      <selection pane="topLeft" activeCell="AH88" activeCellId="0" sqref="AH88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2"/>
    <col collapsed="false" customWidth="false" hidden="false" outlineLevel="0" max="37" min="33" style="1" width="11.51"/>
    <col collapsed="false" customWidth="false" hidden="false" outlineLevel="0" max="16384" min="38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  <c r="AG12" s="30" t="s">
        <v>42</v>
      </c>
      <c r="AH12" s="26" t="s">
        <v>43</v>
      </c>
      <c r="AI12" s="26" t="s">
        <v>44</v>
      </c>
      <c r="AJ12" s="26" t="s">
        <v>45</v>
      </c>
    </row>
    <row r="13" customFormat="false" ht="13.5" hidden="false" customHeight="true" outlineLevel="0" collapsed="false">
      <c r="A13" s="31" t="n">
        <v>1</v>
      </c>
      <c r="B13" s="31" t="n">
        <v>1</v>
      </c>
      <c r="C13" s="32" t="s">
        <v>46</v>
      </c>
      <c r="D13" s="33" t="n">
        <v>242510162</v>
      </c>
      <c r="E13" s="33" t="s">
        <v>47</v>
      </c>
      <c r="F13" s="32" t="s">
        <v>48</v>
      </c>
      <c r="G13" s="32" t="s">
        <v>49</v>
      </c>
      <c r="H13" s="34" t="s">
        <v>50</v>
      </c>
      <c r="I13" s="32" t="s">
        <v>51</v>
      </c>
      <c r="J13" s="35" t="s">
        <v>52</v>
      </c>
      <c r="K13" s="36" t="s">
        <v>50</v>
      </c>
      <c r="L13" s="37" t="n">
        <v>39691</v>
      </c>
      <c r="M13" s="38" t="s">
        <v>53</v>
      </c>
      <c r="N13" s="26" t="s">
        <v>54</v>
      </c>
      <c r="O13" s="39" t="n">
        <v>100</v>
      </c>
      <c r="P13" s="32" t="n">
        <v>100</v>
      </c>
      <c r="Q13" s="31"/>
      <c r="R13" s="39" t="n">
        <v>100</v>
      </c>
      <c r="S13" s="31" t="n">
        <v>100</v>
      </c>
      <c r="T13" s="31" t="n">
        <v>100</v>
      </c>
      <c r="U13" s="31"/>
      <c r="V13" s="39" t="n">
        <v>100</v>
      </c>
      <c r="W13" s="31"/>
      <c r="X13" s="32" t="n">
        <v>100</v>
      </c>
      <c r="Y13" s="31"/>
      <c r="Z13" s="31"/>
      <c r="AA13" s="31" t="n">
        <v>2</v>
      </c>
      <c r="AB13" s="31" t="n">
        <v>98</v>
      </c>
      <c r="AC13" s="40" t="n">
        <f aca="false">SUM(AB13+X13+V13+T13+S13+R13+P13+O13)</f>
        <v>798</v>
      </c>
      <c r="AD13" s="31" t="n">
        <f aca="false">SUM(AA13+Z13+Y13+W13+U13+Q13)*100</f>
        <v>200</v>
      </c>
      <c r="AE13" s="41" t="n">
        <f aca="false">(0.8*AC13)+(0.2*AD13)</f>
        <v>678.4</v>
      </c>
      <c r="AF13" s="42" t="n">
        <f aca="false">84+((AE13-$AE$48)/($AE$47-$AE$48)*(92-84))</f>
        <v>90.0056338028169</v>
      </c>
      <c r="AG13" s="31" t="n">
        <v>100</v>
      </c>
      <c r="AH13" s="43" t="n">
        <v>100</v>
      </c>
      <c r="AI13" s="31"/>
      <c r="AJ13" s="31"/>
      <c r="AK13" s="1" t="n">
        <v>3</v>
      </c>
    </row>
    <row r="14" customFormat="false" ht="13.5" hidden="false" customHeight="true" outlineLevel="0" collapsed="false">
      <c r="A14" s="31" t="n">
        <v>2</v>
      </c>
      <c r="B14" s="31" t="n">
        <v>2</v>
      </c>
      <c r="C14" s="32" t="s">
        <v>55</v>
      </c>
      <c r="D14" s="33" t="n">
        <v>242510355</v>
      </c>
      <c r="E14" s="33" t="s">
        <v>56</v>
      </c>
      <c r="F14" s="32" t="s">
        <v>57</v>
      </c>
      <c r="G14" s="32" t="s">
        <v>58</v>
      </c>
      <c r="H14" s="34" t="s">
        <v>59</v>
      </c>
      <c r="I14" s="32" t="s">
        <v>51</v>
      </c>
      <c r="J14" s="35" t="s">
        <v>52</v>
      </c>
      <c r="K14" s="36" t="s">
        <v>59</v>
      </c>
      <c r="L14" s="37" t="n">
        <v>39698</v>
      </c>
      <c r="M14" s="44" t="s">
        <v>60</v>
      </c>
      <c r="N14" s="26" t="s">
        <v>54</v>
      </c>
      <c r="O14" s="39" t="n">
        <v>100</v>
      </c>
      <c r="P14" s="32" t="n">
        <v>100</v>
      </c>
      <c r="Q14" s="31"/>
      <c r="R14" s="39" t="n">
        <v>100</v>
      </c>
      <c r="S14" s="31" t="n">
        <v>100</v>
      </c>
      <c r="T14" s="31" t="n">
        <v>100</v>
      </c>
      <c r="U14" s="31"/>
      <c r="V14" s="39" t="n">
        <v>100</v>
      </c>
      <c r="W14" s="31"/>
      <c r="X14" s="32" t="n">
        <v>100</v>
      </c>
      <c r="Y14" s="31"/>
      <c r="Z14" s="31"/>
      <c r="AA14" s="31" t="n">
        <v>5</v>
      </c>
      <c r="AB14" s="31" t="n">
        <v>100</v>
      </c>
      <c r="AC14" s="40" t="n">
        <f aca="false">SUM(AB14+X14+V14+T14+S14+R14+P14+O14)</f>
        <v>800</v>
      </c>
      <c r="AD14" s="31" t="n">
        <f aca="false">SUM(AA14+Z14+Y14+W14+U14+Q14)*100</f>
        <v>500</v>
      </c>
      <c r="AE14" s="41" t="n">
        <f aca="false">(0.8*AC14)+(0.2*AD14)</f>
        <v>740</v>
      </c>
      <c r="AF14" s="42" t="n">
        <f aca="false">84+((AE14-$AE$48)/($AE$47-$AE$48)*(92-84))</f>
        <v>90.8732394366197</v>
      </c>
      <c r="AG14" s="31" t="n">
        <v>100</v>
      </c>
      <c r="AH14" s="31" t="n">
        <v>100</v>
      </c>
      <c r="AI14" s="31" t="n">
        <v>3</v>
      </c>
      <c r="AJ14" s="31"/>
      <c r="AK14" s="1" t="n">
        <v>5</v>
      </c>
    </row>
    <row r="15" customFormat="false" ht="13.5" hidden="false" customHeight="true" outlineLevel="0" collapsed="false">
      <c r="A15" s="31" t="n">
        <v>3</v>
      </c>
      <c r="B15" s="31" t="n">
        <v>4</v>
      </c>
      <c r="C15" s="32" t="s">
        <v>61</v>
      </c>
      <c r="D15" s="33" t="n">
        <v>242510246</v>
      </c>
      <c r="E15" s="33" t="s">
        <v>62</v>
      </c>
      <c r="F15" s="32" t="s">
        <v>63</v>
      </c>
      <c r="G15" s="32" t="s">
        <v>64</v>
      </c>
      <c r="H15" s="34" t="s">
        <v>65</v>
      </c>
      <c r="I15" s="32" t="s">
        <v>51</v>
      </c>
      <c r="J15" s="35" t="s">
        <v>66</v>
      </c>
      <c r="K15" s="36" t="s">
        <v>65</v>
      </c>
      <c r="L15" s="37" t="n">
        <v>39684</v>
      </c>
      <c r="M15" s="45" t="s">
        <v>67</v>
      </c>
      <c r="N15" s="26" t="s">
        <v>54</v>
      </c>
      <c r="O15" s="39" t="n">
        <v>100</v>
      </c>
      <c r="P15" s="32" t="n">
        <v>100</v>
      </c>
      <c r="Q15" s="31"/>
      <c r="R15" s="39" t="n">
        <v>100</v>
      </c>
      <c r="S15" s="31" t="n">
        <v>100</v>
      </c>
      <c r="T15" s="31" t="n">
        <v>100</v>
      </c>
      <c r="U15" s="31"/>
      <c r="V15" s="39" t="n">
        <v>100</v>
      </c>
      <c r="W15" s="31"/>
      <c r="X15" s="32" t="n">
        <v>100</v>
      </c>
      <c r="Y15" s="31"/>
      <c r="Z15" s="31"/>
      <c r="AA15" s="31"/>
      <c r="AB15" s="31" t="n">
        <v>100</v>
      </c>
      <c r="AC15" s="40" t="n">
        <f aca="false">SUM(AB15+X15+V15+T15+S15+R15+P15+O15)</f>
        <v>800</v>
      </c>
      <c r="AD15" s="31" t="n">
        <f aca="false">SUM(AA15+Z15+Y15+W15+U15+Q15)*100</f>
        <v>0</v>
      </c>
      <c r="AE15" s="41" t="n">
        <f aca="false">(0.8*AC15)+(0.2*AD15)</f>
        <v>640</v>
      </c>
      <c r="AF15" s="42" t="n">
        <f aca="false">84+((AE15-$AE$48)/($AE$47-$AE$48)*(92-84))</f>
        <v>89.4647887323944</v>
      </c>
      <c r="AG15" s="31" t="n">
        <v>100</v>
      </c>
      <c r="AH15" s="31" t="n">
        <v>100</v>
      </c>
      <c r="AI15" s="31"/>
      <c r="AJ15" s="31"/>
      <c r="AK15" s="1" t="n">
        <v>5</v>
      </c>
    </row>
    <row r="16" customFormat="false" ht="13.5" hidden="false" customHeight="true" outlineLevel="0" collapsed="false">
      <c r="A16" s="31" t="n">
        <v>4</v>
      </c>
      <c r="B16" s="31" t="n">
        <v>5</v>
      </c>
      <c r="C16" s="32" t="s">
        <v>68</v>
      </c>
      <c r="D16" s="33" t="n">
        <v>242510281</v>
      </c>
      <c r="E16" s="33" t="s">
        <v>69</v>
      </c>
      <c r="F16" s="32" t="s">
        <v>70</v>
      </c>
      <c r="G16" s="32" t="s">
        <v>71</v>
      </c>
      <c r="H16" s="34" t="s">
        <v>72</v>
      </c>
      <c r="I16" s="32" t="s">
        <v>51</v>
      </c>
      <c r="J16" s="46" t="s">
        <v>52</v>
      </c>
      <c r="K16" s="36" t="s">
        <v>72</v>
      </c>
      <c r="L16" s="37" t="n">
        <v>39616</v>
      </c>
      <c r="M16" s="44" t="s">
        <v>60</v>
      </c>
      <c r="N16" s="26" t="s">
        <v>54</v>
      </c>
      <c r="O16" s="39" t="n">
        <v>100</v>
      </c>
      <c r="P16" s="32" t="n">
        <v>100</v>
      </c>
      <c r="Q16" s="31"/>
      <c r="R16" s="39" t="n">
        <v>100</v>
      </c>
      <c r="S16" s="31" t="n">
        <v>100</v>
      </c>
      <c r="T16" s="31" t="n">
        <v>100</v>
      </c>
      <c r="U16" s="31" t="n">
        <v>1</v>
      </c>
      <c r="V16" s="39" t="n">
        <v>100</v>
      </c>
      <c r="W16" s="31"/>
      <c r="X16" s="32" t="n">
        <v>100</v>
      </c>
      <c r="Y16" s="31"/>
      <c r="Z16" s="31"/>
      <c r="AA16" s="31" t="n">
        <v>3</v>
      </c>
      <c r="AB16" s="31" t="n">
        <v>93</v>
      </c>
      <c r="AC16" s="40" t="n">
        <f aca="false">SUM(AB16+X16+V16+T16+S16+R16+P16+O16)</f>
        <v>793</v>
      </c>
      <c r="AD16" s="31" t="n">
        <f aca="false">SUM(AA16+Z16+Y16+W16+U16+Q16)*100</f>
        <v>400</v>
      </c>
      <c r="AE16" s="41" t="n">
        <f aca="false">(0.8*AC16)+(0.2*AD16)</f>
        <v>714.4</v>
      </c>
      <c r="AF16" s="42" t="n">
        <f aca="false">84+((AE16-$AE$48)/($AE$47-$AE$48)*(92-84))</f>
        <v>90.512676056338</v>
      </c>
      <c r="AG16" s="31" t="n">
        <v>100</v>
      </c>
      <c r="AH16" s="31" t="n">
        <v>100</v>
      </c>
      <c r="AI16" s="31"/>
      <c r="AJ16" s="31"/>
    </row>
    <row r="17" customFormat="false" ht="13.5" hidden="false" customHeight="true" outlineLevel="0" collapsed="false">
      <c r="A17" s="31" t="n">
        <v>5</v>
      </c>
      <c r="B17" s="31" t="n">
        <v>6</v>
      </c>
      <c r="C17" s="32" t="s">
        <v>73</v>
      </c>
      <c r="D17" s="33" t="n">
        <v>242510393</v>
      </c>
      <c r="E17" s="33" t="s">
        <v>74</v>
      </c>
      <c r="F17" s="32" t="s">
        <v>75</v>
      </c>
      <c r="G17" s="32" t="s">
        <v>76</v>
      </c>
      <c r="H17" s="34" t="s">
        <v>77</v>
      </c>
      <c r="I17" s="32" t="s">
        <v>51</v>
      </c>
      <c r="J17" s="35" t="s">
        <v>66</v>
      </c>
      <c r="K17" s="36" t="s">
        <v>77</v>
      </c>
      <c r="L17" s="37" t="n">
        <v>39948</v>
      </c>
      <c r="M17" s="47" t="s">
        <v>78</v>
      </c>
      <c r="N17" s="26" t="s">
        <v>54</v>
      </c>
      <c r="O17" s="39"/>
      <c r="P17" s="32"/>
      <c r="Q17" s="31"/>
      <c r="R17" s="39"/>
      <c r="S17" s="31"/>
      <c r="T17" s="31"/>
      <c r="U17" s="31"/>
      <c r="V17" s="39" t="n">
        <v>100</v>
      </c>
      <c r="W17" s="31" t="n">
        <v>1</v>
      </c>
      <c r="X17" s="32" t="n">
        <v>100</v>
      </c>
      <c r="Y17" s="31"/>
      <c r="Z17" s="31"/>
      <c r="AA17" s="31"/>
      <c r="AB17" s="31" t="n">
        <v>90</v>
      </c>
      <c r="AC17" s="40" t="n">
        <f aca="false">SUM(AB17+X17+V17+T17+S17+R17+P17+O17)</f>
        <v>290</v>
      </c>
      <c r="AD17" s="31" t="n">
        <f aca="false">SUM(AA17+Z17+Y17+W17+U17+Q17)*100</f>
        <v>100</v>
      </c>
      <c r="AE17" s="41" t="n">
        <f aca="false">(0.8*AC17)+(0.2*AD17)</f>
        <v>252</v>
      </c>
      <c r="AF17" s="42" t="n">
        <f aca="false">84+((AE17-$AE$48)/($AE$47-$AE$48)*(92-84))</f>
        <v>84</v>
      </c>
      <c r="AG17" s="31" t="n">
        <v>100</v>
      </c>
      <c r="AH17" s="31"/>
      <c r="AI17" s="31"/>
      <c r="AJ17" s="31"/>
    </row>
    <row r="18" customFormat="false" ht="13.5" hidden="false" customHeight="true" outlineLevel="0" collapsed="false">
      <c r="A18" s="31" t="n">
        <v>6</v>
      </c>
      <c r="B18" s="31" t="n">
        <v>7</v>
      </c>
      <c r="C18" s="32" t="s">
        <v>79</v>
      </c>
      <c r="D18" s="33" t="n">
        <v>242510087</v>
      </c>
      <c r="E18" s="33" t="s">
        <v>80</v>
      </c>
      <c r="F18" s="32" t="s">
        <v>81</v>
      </c>
      <c r="G18" s="32" t="s">
        <v>82</v>
      </c>
      <c r="H18" s="34" t="s">
        <v>83</v>
      </c>
      <c r="I18" s="32" t="s">
        <v>51</v>
      </c>
      <c r="J18" s="35" t="s">
        <v>52</v>
      </c>
      <c r="K18" s="36" t="s">
        <v>83</v>
      </c>
      <c r="L18" s="37" t="n">
        <v>39904</v>
      </c>
      <c r="M18" s="47" t="s">
        <v>78</v>
      </c>
      <c r="N18" s="26" t="s">
        <v>54</v>
      </c>
      <c r="O18" s="39" t="n">
        <v>100</v>
      </c>
      <c r="P18" s="32" t="n">
        <v>100</v>
      </c>
      <c r="Q18" s="31"/>
      <c r="R18" s="39" t="n">
        <v>100</v>
      </c>
      <c r="S18" s="31" t="n">
        <v>100</v>
      </c>
      <c r="T18" s="31" t="n">
        <v>100</v>
      </c>
      <c r="U18" s="31"/>
      <c r="V18" s="39" t="n">
        <v>100</v>
      </c>
      <c r="W18" s="31"/>
      <c r="X18" s="32" t="n">
        <v>100</v>
      </c>
      <c r="Y18" s="31" t="n">
        <v>1</v>
      </c>
      <c r="Z18" s="31"/>
      <c r="AA18" s="31" t="n">
        <v>1</v>
      </c>
      <c r="AB18" s="31" t="n">
        <v>90</v>
      </c>
      <c r="AC18" s="40" t="n">
        <f aca="false">SUM(AB18+X18+V18+T18+S18+R18+P18+O18)</f>
        <v>790</v>
      </c>
      <c r="AD18" s="31" t="n">
        <f aca="false">SUM(AA18+Z18+Y18+W18+U18+Q18)*100</f>
        <v>200</v>
      </c>
      <c r="AE18" s="41" t="n">
        <f aca="false">(0.8*AC18)+(0.2*AD18)</f>
        <v>672</v>
      </c>
      <c r="AF18" s="42" t="n">
        <f aca="false">84+((AE18-$AE$48)/($AE$47-$AE$48)*(92-84))</f>
        <v>89.9154929577465</v>
      </c>
      <c r="AG18" s="31" t="n">
        <v>100</v>
      </c>
      <c r="AH18" s="31" t="n">
        <v>100</v>
      </c>
      <c r="AI18" s="31" t="n">
        <v>1</v>
      </c>
      <c r="AJ18" s="31"/>
      <c r="AK18" s="1" t="n">
        <v>2</v>
      </c>
    </row>
    <row r="19" customFormat="false" ht="13.5" hidden="false" customHeight="true" outlineLevel="0" collapsed="false">
      <c r="A19" s="31" t="n">
        <v>7</v>
      </c>
      <c r="B19" s="31" t="n">
        <v>8</v>
      </c>
      <c r="C19" s="32" t="s">
        <v>84</v>
      </c>
      <c r="D19" s="33" t="n">
        <v>242510088</v>
      </c>
      <c r="E19" s="33" t="s">
        <v>85</v>
      </c>
      <c r="F19" s="32" t="s">
        <v>86</v>
      </c>
      <c r="G19" s="32" t="s">
        <v>87</v>
      </c>
      <c r="H19" s="34" t="s">
        <v>88</v>
      </c>
      <c r="I19" s="32" t="s">
        <v>51</v>
      </c>
      <c r="J19" s="35" t="s">
        <v>66</v>
      </c>
      <c r="K19" s="36" t="s">
        <v>88</v>
      </c>
      <c r="L19" s="37" t="n">
        <v>39710</v>
      </c>
      <c r="M19" s="44" t="s">
        <v>60</v>
      </c>
      <c r="N19" s="26" t="s">
        <v>54</v>
      </c>
      <c r="O19" s="39" t="n">
        <v>100</v>
      </c>
      <c r="P19" s="32" t="n">
        <v>100</v>
      </c>
      <c r="Q19" s="31"/>
      <c r="R19" s="39" t="n">
        <v>100</v>
      </c>
      <c r="S19" s="31" t="n">
        <v>100</v>
      </c>
      <c r="T19" s="31" t="n">
        <v>100</v>
      </c>
      <c r="U19" s="31"/>
      <c r="V19" s="39" t="n">
        <v>100</v>
      </c>
      <c r="W19" s="31"/>
      <c r="X19" s="32" t="n">
        <v>100</v>
      </c>
      <c r="Y19" s="31"/>
      <c r="Z19" s="31"/>
      <c r="AA19" s="31" t="n">
        <v>2</v>
      </c>
      <c r="AB19" s="31" t="n">
        <v>100</v>
      </c>
      <c r="AC19" s="40" t="n">
        <f aca="false">SUM(AB19+X19+V19+T19+S19+R19+P19+O19)</f>
        <v>800</v>
      </c>
      <c r="AD19" s="31" t="n">
        <f aca="false">SUM(AA19+Z19+Y19+W19+U19+Q19)*100</f>
        <v>200</v>
      </c>
      <c r="AE19" s="41" t="n">
        <f aca="false">(0.8*AC19)+(0.2*AD19)</f>
        <v>680</v>
      </c>
      <c r="AF19" s="42" t="n">
        <f aca="false">84+((AE19-$AE$48)/($AE$47-$AE$48)*(92-84))</f>
        <v>90.0281690140845</v>
      </c>
      <c r="AG19" s="31" t="n">
        <v>100</v>
      </c>
      <c r="AH19" s="31" t="n">
        <v>100</v>
      </c>
      <c r="AI19" s="31"/>
      <c r="AJ19" s="31"/>
      <c r="AK19" s="1" t="n">
        <v>4</v>
      </c>
    </row>
    <row r="20" customFormat="false" ht="13.5" hidden="false" customHeight="true" outlineLevel="0" collapsed="false">
      <c r="A20" s="31" t="n">
        <v>8</v>
      </c>
      <c r="B20" s="31" t="n">
        <v>9</v>
      </c>
      <c r="C20" s="32" t="s">
        <v>89</v>
      </c>
      <c r="D20" s="33" t="n">
        <v>242510168</v>
      </c>
      <c r="E20" s="33" t="s">
        <v>90</v>
      </c>
      <c r="F20" s="32" t="s">
        <v>91</v>
      </c>
      <c r="G20" s="32" t="s">
        <v>92</v>
      </c>
      <c r="H20" s="34" t="s">
        <v>93</v>
      </c>
      <c r="I20" s="32" t="s">
        <v>51</v>
      </c>
      <c r="J20" s="35" t="s">
        <v>66</v>
      </c>
      <c r="K20" s="36" t="s">
        <v>93</v>
      </c>
      <c r="L20" s="37" t="n">
        <v>39542</v>
      </c>
      <c r="M20" s="45" t="s">
        <v>67</v>
      </c>
      <c r="N20" s="26" t="s">
        <v>54</v>
      </c>
      <c r="O20" s="39" t="n">
        <v>100</v>
      </c>
      <c r="P20" s="32" t="n">
        <v>100</v>
      </c>
      <c r="Q20" s="31"/>
      <c r="R20" s="39" t="n">
        <v>100</v>
      </c>
      <c r="S20" s="31" t="n">
        <v>100</v>
      </c>
      <c r="T20" s="31" t="n">
        <v>100</v>
      </c>
      <c r="U20" s="31"/>
      <c r="V20" s="39" t="n">
        <v>100</v>
      </c>
      <c r="W20" s="31"/>
      <c r="X20" s="32" t="n">
        <v>100</v>
      </c>
      <c r="Y20" s="31"/>
      <c r="Z20" s="31" t="n">
        <v>2</v>
      </c>
      <c r="AA20" s="31"/>
      <c r="AB20" s="31" t="n">
        <v>85</v>
      </c>
      <c r="AC20" s="40" t="n">
        <f aca="false">SUM(AB20+X20+V20+T20+S20+R20+P20+O20)</f>
        <v>785</v>
      </c>
      <c r="AD20" s="31" t="n">
        <f aca="false">SUM(AA20+Z20+Y20+W20+U20+Q20)*100</f>
        <v>200</v>
      </c>
      <c r="AE20" s="41" t="n">
        <f aca="false">(0.8*AC20)+(0.2*AD20)</f>
        <v>668</v>
      </c>
      <c r="AF20" s="42" t="n">
        <f aca="false">84+((AE20-$AE$48)/($AE$47-$AE$48)*(92-84))</f>
        <v>89.8591549295775</v>
      </c>
      <c r="AG20" s="31"/>
      <c r="AH20" s="31" t="n">
        <v>100</v>
      </c>
      <c r="AI20" s="31"/>
      <c r="AJ20" s="31"/>
      <c r="AK20" s="1" t="n">
        <v>3</v>
      </c>
    </row>
    <row r="21" customFormat="false" ht="13.5" hidden="false" customHeight="true" outlineLevel="0" collapsed="false">
      <c r="A21" s="31" t="n">
        <v>9</v>
      </c>
      <c r="B21" s="31" t="n">
        <v>10</v>
      </c>
      <c r="C21" s="32" t="s">
        <v>94</v>
      </c>
      <c r="D21" s="33" t="n">
        <v>242510169</v>
      </c>
      <c r="E21" s="33" t="s">
        <v>95</v>
      </c>
      <c r="F21" s="32" t="s">
        <v>96</v>
      </c>
      <c r="G21" s="32" t="s">
        <v>97</v>
      </c>
      <c r="H21" s="34" t="s">
        <v>98</v>
      </c>
      <c r="I21" s="32" t="s">
        <v>99</v>
      </c>
      <c r="J21" s="35" t="s">
        <v>66</v>
      </c>
      <c r="K21" s="36" t="s">
        <v>98</v>
      </c>
      <c r="L21" s="37" t="n">
        <v>39886</v>
      </c>
      <c r="M21" s="47" t="s">
        <v>78</v>
      </c>
      <c r="N21" s="26" t="s">
        <v>54</v>
      </c>
      <c r="O21" s="39" t="n">
        <v>100</v>
      </c>
      <c r="P21" s="32" t="n">
        <v>100</v>
      </c>
      <c r="Q21" s="31"/>
      <c r="R21" s="39" t="n">
        <v>100</v>
      </c>
      <c r="S21" s="31" t="n">
        <v>100</v>
      </c>
      <c r="T21" s="31" t="n">
        <v>100</v>
      </c>
      <c r="U21" s="31"/>
      <c r="V21" s="39" t="n">
        <v>100</v>
      </c>
      <c r="W21" s="31"/>
      <c r="X21" s="32" t="n">
        <v>100</v>
      </c>
      <c r="Y21" s="31"/>
      <c r="Z21" s="31"/>
      <c r="AA21" s="31" t="n">
        <v>4</v>
      </c>
      <c r="AB21" s="31" t="n">
        <v>100</v>
      </c>
      <c r="AC21" s="40" t="n">
        <f aca="false">SUM(AB21+X21+V21+T21+S21+R21+P21+O21)</f>
        <v>800</v>
      </c>
      <c r="AD21" s="31" t="n">
        <f aca="false">SUM(AA21+Z21+Y21+W21+U21+Q21)*100</f>
        <v>400</v>
      </c>
      <c r="AE21" s="41" t="n">
        <f aca="false">(0.8*AC21)+(0.2*AD21)</f>
        <v>720</v>
      </c>
      <c r="AF21" s="42" t="n">
        <f aca="false">84+((AE21-$AE$48)/($AE$47-$AE$48)*(92-84))</f>
        <v>90.5915492957747</v>
      </c>
      <c r="AG21" s="31" t="n">
        <v>100</v>
      </c>
      <c r="AH21" s="31" t="n">
        <v>100</v>
      </c>
      <c r="AI21" s="31"/>
      <c r="AJ21" s="31"/>
    </row>
    <row r="22" customFormat="false" ht="13.5" hidden="false" customHeight="true" outlineLevel="0" collapsed="false">
      <c r="A22" s="31" t="n">
        <v>10</v>
      </c>
      <c r="B22" s="31" t="n">
        <v>11</v>
      </c>
      <c r="C22" s="32" t="s">
        <v>100</v>
      </c>
      <c r="D22" s="33" t="n">
        <v>242510009</v>
      </c>
      <c r="E22" s="33" t="s">
        <v>101</v>
      </c>
      <c r="F22" s="32" t="s">
        <v>102</v>
      </c>
      <c r="G22" s="32" t="s">
        <v>103</v>
      </c>
      <c r="H22" s="34" t="s">
        <v>104</v>
      </c>
      <c r="I22" s="32" t="s">
        <v>105</v>
      </c>
      <c r="J22" s="35" t="s">
        <v>52</v>
      </c>
      <c r="K22" s="36" t="s">
        <v>104</v>
      </c>
      <c r="L22" s="37" t="n">
        <v>39944</v>
      </c>
      <c r="M22" s="45" t="s">
        <v>67</v>
      </c>
      <c r="N22" s="26" t="s">
        <v>54</v>
      </c>
      <c r="O22" s="39" t="n">
        <v>100</v>
      </c>
      <c r="P22" s="32" t="n">
        <v>100</v>
      </c>
      <c r="Q22" s="31"/>
      <c r="R22" s="39" t="n">
        <v>100</v>
      </c>
      <c r="S22" s="31" t="n">
        <v>100</v>
      </c>
      <c r="T22" s="31" t="n">
        <v>100</v>
      </c>
      <c r="U22" s="31"/>
      <c r="V22" s="39" t="n">
        <v>100</v>
      </c>
      <c r="W22" s="31"/>
      <c r="X22" s="32" t="n">
        <v>100</v>
      </c>
      <c r="Y22" s="31"/>
      <c r="Z22" s="31" t="n">
        <v>1</v>
      </c>
      <c r="AA22" s="31" t="n">
        <v>2</v>
      </c>
      <c r="AB22" s="31" t="n">
        <v>100</v>
      </c>
      <c r="AC22" s="40" t="n">
        <f aca="false">SUM(AB22+X22+V22+T22+S22+R22+P22+O22)</f>
        <v>800</v>
      </c>
      <c r="AD22" s="31" t="n">
        <f aca="false">SUM(AA22+Z22+Y22+W22+U22+Q22)*100</f>
        <v>300</v>
      </c>
      <c r="AE22" s="41" t="n">
        <f aca="false">(0.8*AC22)+(0.2*AD22)</f>
        <v>700</v>
      </c>
      <c r="AF22" s="42" t="n">
        <f aca="false">84+((AE22-$AE$48)/($AE$47-$AE$48)*(92-84))</f>
        <v>90.3098591549296</v>
      </c>
      <c r="AG22" s="31" t="n">
        <v>100</v>
      </c>
      <c r="AH22" s="31" t="n">
        <v>100</v>
      </c>
      <c r="AI22" s="31" t="n">
        <v>1</v>
      </c>
      <c r="AJ22" s="31"/>
    </row>
    <row r="23" customFormat="false" ht="13.5" hidden="false" customHeight="true" outlineLevel="0" collapsed="false">
      <c r="A23" s="31" t="n">
        <v>11</v>
      </c>
      <c r="B23" s="31" t="n">
        <v>12</v>
      </c>
      <c r="C23" s="32" t="s">
        <v>106</v>
      </c>
      <c r="D23" s="33" t="n">
        <v>242510211</v>
      </c>
      <c r="E23" s="33" t="s">
        <v>107</v>
      </c>
      <c r="F23" s="32" t="s">
        <v>108</v>
      </c>
      <c r="G23" s="32" t="s">
        <v>109</v>
      </c>
      <c r="H23" s="34" t="s">
        <v>110</v>
      </c>
      <c r="I23" s="32" t="s">
        <v>111</v>
      </c>
      <c r="J23" s="35" t="s">
        <v>52</v>
      </c>
      <c r="K23" s="36" t="s">
        <v>110</v>
      </c>
      <c r="L23" s="37" t="n">
        <v>39825</v>
      </c>
      <c r="M23" s="48" t="s">
        <v>112</v>
      </c>
      <c r="N23" s="26" t="s">
        <v>54</v>
      </c>
      <c r="O23" s="39" t="n">
        <v>100</v>
      </c>
      <c r="P23" s="32" t="n">
        <v>100</v>
      </c>
      <c r="Q23" s="31"/>
      <c r="R23" s="39" t="n">
        <v>100</v>
      </c>
      <c r="S23" s="31" t="n">
        <v>100</v>
      </c>
      <c r="T23" s="31" t="n">
        <v>100</v>
      </c>
      <c r="U23" s="31"/>
      <c r="V23" s="39" t="n">
        <v>100</v>
      </c>
      <c r="W23" s="31"/>
      <c r="X23" s="32" t="n">
        <v>100</v>
      </c>
      <c r="Y23" s="31"/>
      <c r="Z23" s="31"/>
      <c r="AA23" s="31" t="n">
        <v>2</v>
      </c>
      <c r="AB23" s="31" t="n">
        <v>99</v>
      </c>
      <c r="AC23" s="40" t="n">
        <f aca="false">SUM(AB23+X23+V23+T23+S23+R23+P23+O23)</f>
        <v>799</v>
      </c>
      <c r="AD23" s="31" t="n">
        <f aca="false">SUM(AA23+Z23+Y23+W23+U23+Q23)*100</f>
        <v>200</v>
      </c>
      <c r="AE23" s="41" t="n">
        <f aca="false">(0.8*AC23)+(0.2*AD23)</f>
        <v>679.2</v>
      </c>
      <c r="AF23" s="42" t="n">
        <f aca="false">84+((AE23-$AE$48)/($AE$47-$AE$48)*(92-84))</f>
        <v>90.0169014084507</v>
      </c>
      <c r="AG23" s="31" t="n">
        <v>100</v>
      </c>
      <c r="AH23" s="31" t="n">
        <v>100</v>
      </c>
      <c r="AI23" s="31" t="n">
        <v>1</v>
      </c>
      <c r="AJ23" s="31"/>
      <c r="AK23" s="1" t="n">
        <v>5</v>
      </c>
    </row>
    <row r="24" customFormat="false" ht="13.5" hidden="false" customHeight="true" outlineLevel="0" collapsed="false">
      <c r="A24" s="31" t="n">
        <v>12</v>
      </c>
      <c r="B24" s="31" t="n">
        <v>13</v>
      </c>
      <c r="C24" s="32" t="s">
        <v>113</v>
      </c>
      <c r="D24" s="33" t="n">
        <v>242510398</v>
      </c>
      <c r="E24" s="33" t="s">
        <v>114</v>
      </c>
      <c r="F24" s="32" t="s">
        <v>115</v>
      </c>
      <c r="G24" s="32" t="s">
        <v>116</v>
      </c>
      <c r="H24" s="34" t="s">
        <v>117</v>
      </c>
      <c r="I24" s="32" t="s">
        <v>51</v>
      </c>
      <c r="J24" s="35" t="s">
        <v>66</v>
      </c>
      <c r="K24" s="36" t="s">
        <v>117</v>
      </c>
      <c r="L24" s="37" t="n">
        <v>39925</v>
      </c>
      <c r="M24" s="47" t="s">
        <v>78</v>
      </c>
      <c r="N24" s="26" t="s">
        <v>54</v>
      </c>
      <c r="O24" s="39" t="n">
        <v>100</v>
      </c>
      <c r="P24" s="32" t="n">
        <v>100</v>
      </c>
      <c r="Q24" s="31"/>
      <c r="R24" s="39" t="n">
        <v>100</v>
      </c>
      <c r="S24" s="31" t="n">
        <v>100</v>
      </c>
      <c r="T24" s="31" t="n">
        <v>100</v>
      </c>
      <c r="U24" s="31"/>
      <c r="V24" s="39" t="n">
        <v>100</v>
      </c>
      <c r="W24" s="31"/>
      <c r="X24" s="32" t="n">
        <v>100</v>
      </c>
      <c r="Y24" s="31"/>
      <c r="Z24" s="31"/>
      <c r="AA24" s="31"/>
      <c r="AB24" s="31" t="n">
        <v>85</v>
      </c>
      <c r="AC24" s="40" t="n">
        <f aca="false">SUM(AB24+X24+V24+T24+S24+R24+P24+O24)</f>
        <v>785</v>
      </c>
      <c r="AD24" s="31" t="n">
        <f aca="false">SUM(AA24+Z24+Y24+W24+U24+Q24)*100</f>
        <v>0</v>
      </c>
      <c r="AE24" s="41" t="n">
        <f aca="false">(0.8*AC24)+(0.2*AD24)</f>
        <v>628</v>
      </c>
      <c r="AF24" s="42" t="n">
        <f aca="false">84+((AE24-$AE$48)/($AE$47-$AE$48)*(92-84))</f>
        <v>89.2957746478873</v>
      </c>
      <c r="AG24" s="31" t="n">
        <v>100</v>
      </c>
      <c r="AH24" s="31" t="n">
        <v>100</v>
      </c>
      <c r="AI24" s="31"/>
      <c r="AJ24" s="31"/>
    </row>
    <row r="25" customFormat="false" ht="13.5" hidden="false" customHeight="true" outlineLevel="0" collapsed="false">
      <c r="A25" s="31" t="n">
        <v>13</v>
      </c>
      <c r="B25" s="31" t="n">
        <v>14</v>
      </c>
      <c r="C25" s="32" t="s">
        <v>118</v>
      </c>
      <c r="D25" s="33" t="n">
        <v>242510212</v>
      </c>
      <c r="E25" s="33" t="s">
        <v>119</v>
      </c>
      <c r="F25" s="32" t="s">
        <v>120</v>
      </c>
      <c r="G25" s="32" t="s">
        <v>121</v>
      </c>
      <c r="H25" s="34" t="s">
        <v>122</v>
      </c>
      <c r="I25" s="32" t="s">
        <v>123</v>
      </c>
      <c r="J25" s="35" t="s">
        <v>66</v>
      </c>
      <c r="K25" s="36" t="s">
        <v>122</v>
      </c>
      <c r="L25" s="37" t="n">
        <v>39836</v>
      </c>
      <c r="M25" s="49" t="s">
        <v>124</v>
      </c>
      <c r="N25" s="26" t="s">
        <v>54</v>
      </c>
      <c r="O25" s="39" t="n">
        <v>100</v>
      </c>
      <c r="P25" s="32" t="n">
        <v>100</v>
      </c>
      <c r="Q25" s="31"/>
      <c r="R25" s="39" t="n">
        <v>100</v>
      </c>
      <c r="S25" s="31" t="n">
        <v>100</v>
      </c>
      <c r="T25" s="31" t="n">
        <v>100</v>
      </c>
      <c r="U25" s="31"/>
      <c r="V25" s="39" t="n">
        <v>100</v>
      </c>
      <c r="W25" s="31"/>
      <c r="X25" s="32" t="n">
        <v>100</v>
      </c>
      <c r="Y25" s="31"/>
      <c r="Z25" s="31"/>
      <c r="AA25" s="31"/>
      <c r="AB25" s="31" t="n">
        <v>100</v>
      </c>
      <c r="AC25" s="40" t="n">
        <f aca="false">SUM(AB25+X25+V25+T25+S25+R25+P25+O25)</f>
        <v>800</v>
      </c>
      <c r="AD25" s="31" t="n">
        <f aca="false">SUM(AA25+Z25+Y25+W25+U25+Q25)*100</f>
        <v>0</v>
      </c>
      <c r="AE25" s="41" t="n">
        <f aca="false">(0.8*AC25)+(0.2*AD25)</f>
        <v>640</v>
      </c>
      <c r="AF25" s="42" t="n">
        <f aca="false">84+((AE25-$AE$48)/($AE$47-$AE$48)*(92-84))</f>
        <v>89.4647887323944</v>
      </c>
      <c r="AG25" s="31" t="n">
        <v>100</v>
      </c>
      <c r="AH25" s="31" t="n">
        <v>100</v>
      </c>
      <c r="AI25" s="31"/>
      <c r="AJ25" s="31"/>
    </row>
    <row r="26" customFormat="false" ht="13.5" hidden="false" customHeight="true" outlineLevel="0" collapsed="false">
      <c r="A26" s="31" t="n">
        <v>14</v>
      </c>
      <c r="B26" s="31" t="n">
        <v>15</v>
      </c>
      <c r="C26" s="32" t="s">
        <v>125</v>
      </c>
      <c r="D26" s="33" t="n">
        <v>242510291</v>
      </c>
      <c r="E26" s="33" t="s">
        <v>126</v>
      </c>
      <c r="F26" s="32" t="s">
        <v>127</v>
      </c>
      <c r="G26" s="32" t="s">
        <v>128</v>
      </c>
      <c r="H26" s="34" t="s">
        <v>129</v>
      </c>
      <c r="I26" s="32" t="s">
        <v>130</v>
      </c>
      <c r="J26" s="35" t="s">
        <v>66</v>
      </c>
      <c r="K26" s="36" t="s">
        <v>129</v>
      </c>
      <c r="L26" s="37" t="n">
        <v>39668</v>
      </c>
      <c r="M26" s="47" t="s">
        <v>78</v>
      </c>
      <c r="N26" s="26" t="s">
        <v>54</v>
      </c>
      <c r="O26" s="39" t="n">
        <v>100</v>
      </c>
      <c r="P26" s="32" t="n">
        <v>100</v>
      </c>
      <c r="Q26" s="31" t="n">
        <v>1</v>
      </c>
      <c r="R26" s="39" t="n">
        <v>100</v>
      </c>
      <c r="S26" s="31" t="n">
        <v>100</v>
      </c>
      <c r="T26" s="31" t="n">
        <v>100</v>
      </c>
      <c r="U26" s="31" t="n">
        <v>1</v>
      </c>
      <c r="V26" s="39" t="n">
        <v>100</v>
      </c>
      <c r="W26" s="31"/>
      <c r="X26" s="32" t="n">
        <v>100</v>
      </c>
      <c r="Y26" s="31" t="n">
        <v>1</v>
      </c>
      <c r="Z26" s="31"/>
      <c r="AA26" s="31" t="n">
        <v>4</v>
      </c>
      <c r="AB26" s="31" t="n">
        <v>100</v>
      </c>
      <c r="AC26" s="40" t="n">
        <f aca="false">SUM(AB26+X26+V26+T26+S26+R26+P26+O26)</f>
        <v>800</v>
      </c>
      <c r="AD26" s="31" t="n">
        <f aca="false">SUM(AA26+Z26+Y26+W26+U26+Q26)*100</f>
        <v>700</v>
      </c>
      <c r="AE26" s="41" t="n">
        <f aca="false">(0.8*AC26)+(0.2*AD26)</f>
        <v>780</v>
      </c>
      <c r="AF26" s="42" t="n">
        <f aca="false">84+((AE26-$AE$48)/($AE$47-$AE$48)*(92-84))</f>
        <v>91.4366197183099</v>
      </c>
      <c r="AG26" s="31" t="n">
        <v>100</v>
      </c>
      <c r="AH26" s="31" t="n">
        <v>100</v>
      </c>
      <c r="AI26" s="31" t="n">
        <v>2</v>
      </c>
      <c r="AJ26" s="31"/>
      <c r="AK26" s="1" t="n">
        <v>5</v>
      </c>
    </row>
    <row r="27" customFormat="false" ht="13.5" hidden="false" customHeight="true" outlineLevel="0" collapsed="false">
      <c r="A27" s="31" t="n">
        <v>15</v>
      </c>
      <c r="B27" s="31"/>
      <c r="C27" s="32"/>
      <c r="D27" s="33" t="n">
        <v>242510216</v>
      </c>
      <c r="E27" s="33" t="s">
        <v>131</v>
      </c>
      <c r="F27" s="32" t="s">
        <v>132</v>
      </c>
      <c r="G27" s="32" t="s">
        <v>133</v>
      </c>
      <c r="H27" s="34" t="s">
        <v>134</v>
      </c>
      <c r="I27" s="32" t="s">
        <v>135</v>
      </c>
      <c r="J27" s="35" t="s">
        <v>52</v>
      </c>
      <c r="K27" s="36" t="s">
        <v>134</v>
      </c>
      <c r="L27" s="37"/>
      <c r="M27" s="48"/>
      <c r="N27" s="26"/>
      <c r="O27" s="39" t="n">
        <v>100</v>
      </c>
      <c r="P27" s="32" t="n">
        <v>100</v>
      </c>
      <c r="Q27" s="31"/>
      <c r="R27" s="39" t="n">
        <v>100</v>
      </c>
      <c r="S27" s="31" t="n">
        <v>100</v>
      </c>
      <c r="T27" s="31" t="n">
        <v>100</v>
      </c>
      <c r="U27" s="31"/>
      <c r="V27" s="39" t="n">
        <v>100</v>
      </c>
      <c r="W27" s="31"/>
      <c r="X27" s="32" t="n">
        <v>100</v>
      </c>
      <c r="Y27" s="31"/>
      <c r="Z27" s="31"/>
      <c r="AA27" s="31"/>
      <c r="AB27" s="31" t="n">
        <v>90</v>
      </c>
      <c r="AC27" s="40" t="n">
        <f aca="false">SUM(AB27+X27+V27+T27+S27+R27+P27+O27)</f>
        <v>790</v>
      </c>
      <c r="AD27" s="31" t="n">
        <f aca="false">SUM(AA27+Z27+Y27+W27+U27+Q27)*100</f>
        <v>0</v>
      </c>
      <c r="AE27" s="41" t="n">
        <f aca="false">(0.8*AC27)+(0.2*AD27)</f>
        <v>632</v>
      </c>
      <c r="AF27" s="42" t="n">
        <f aca="false">84+((AE27-$AE$48)/($AE$47-$AE$48)*(92-84))</f>
        <v>89.3521126760563</v>
      </c>
      <c r="AG27" s="31" t="n">
        <v>100</v>
      </c>
      <c r="AH27" s="31" t="n">
        <v>100</v>
      </c>
      <c r="AI27" s="31"/>
      <c r="AJ27" s="31"/>
      <c r="AK27" s="1" t="n">
        <v>2</v>
      </c>
    </row>
    <row r="28" customFormat="false" ht="13.5" hidden="false" customHeight="true" outlineLevel="0" collapsed="false">
      <c r="A28" s="31" t="n">
        <v>16</v>
      </c>
      <c r="B28" s="31" t="n">
        <v>16</v>
      </c>
      <c r="C28" s="32" t="s">
        <v>136</v>
      </c>
      <c r="D28" s="33" t="n">
        <v>242510050</v>
      </c>
      <c r="E28" s="33" t="s">
        <v>137</v>
      </c>
      <c r="F28" s="32" t="s">
        <v>138</v>
      </c>
      <c r="G28" s="32" t="s">
        <v>139</v>
      </c>
      <c r="H28" s="34" t="s">
        <v>140</v>
      </c>
      <c r="I28" s="32" t="s">
        <v>135</v>
      </c>
      <c r="J28" s="35" t="s">
        <v>66</v>
      </c>
      <c r="K28" s="36" t="s">
        <v>140</v>
      </c>
      <c r="L28" s="37" t="n">
        <v>39654</v>
      </c>
      <c r="M28" s="48" t="s">
        <v>112</v>
      </c>
      <c r="N28" s="26" t="s">
        <v>54</v>
      </c>
      <c r="O28" s="39" t="n">
        <v>100</v>
      </c>
      <c r="P28" s="32" t="n">
        <v>100</v>
      </c>
      <c r="Q28" s="31"/>
      <c r="R28" s="39" t="n">
        <v>100</v>
      </c>
      <c r="S28" s="31" t="n">
        <v>100</v>
      </c>
      <c r="T28" s="31" t="n">
        <v>100</v>
      </c>
      <c r="U28" s="31"/>
      <c r="V28" s="39" t="n">
        <v>100</v>
      </c>
      <c r="W28" s="31"/>
      <c r="X28" s="32" t="n">
        <v>100</v>
      </c>
      <c r="Y28" s="31"/>
      <c r="Z28" s="31"/>
      <c r="AA28" s="31" t="n">
        <v>4</v>
      </c>
      <c r="AB28" s="31" t="n">
        <v>99</v>
      </c>
      <c r="AC28" s="40" t="n">
        <f aca="false">SUM(AB28+X28+V28+T28+S28+R28+P28+O28)</f>
        <v>799</v>
      </c>
      <c r="AD28" s="31" t="n">
        <f aca="false">SUM(AA28+Z28+Y28+W28+U28+Q28)*100</f>
        <v>400</v>
      </c>
      <c r="AE28" s="41" t="n">
        <f aca="false">(0.8*AC28)+(0.2*AD28)</f>
        <v>719.2</v>
      </c>
      <c r="AF28" s="42" t="n">
        <f aca="false">84+((AE28-$AE$48)/($AE$47-$AE$48)*(92-84))</f>
        <v>90.5802816901409</v>
      </c>
      <c r="AG28" s="31" t="n">
        <v>100</v>
      </c>
      <c r="AH28" s="31" t="n">
        <v>100</v>
      </c>
      <c r="AI28" s="31"/>
      <c r="AJ28" s="31"/>
      <c r="AK28" s="1" t="n">
        <v>4</v>
      </c>
    </row>
    <row r="29" customFormat="false" ht="13.5" hidden="false" customHeight="true" outlineLevel="0" collapsed="false">
      <c r="A29" s="31" t="n">
        <v>17</v>
      </c>
      <c r="B29" s="31" t="n">
        <v>18</v>
      </c>
      <c r="C29" s="32" t="s">
        <v>141</v>
      </c>
      <c r="D29" s="33" t="n">
        <v>242510175</v>
      </c>
      <c r="E29" s="33" t="s">
        <v>142</v>
      </c>
      <c r="F29" s="32" t="s">
        <v>143</v>
      </c>
      <c r="G29" s="32" t="s">
        <v>144</v>
      </c>
      <c r="H29" s="34" t="s">
        <v>145</v>
      </c>
      <c r="I29" s="32" t="s">
        <v>146</v>
      </c>
      <c r="J29" s="35" t="s">
        <v>52</v>
      </c>
      <c r="K29" s="36" t="s">
        <v>145</v>
      </c>
      <c r="L29" s="37" t="n">
        <v>39765</v>
      </c>
      <c r="M29" s="50" t="s">
        <v>147</v>
      </c>
      <c r="N29" s="26" t="s">
        <v>54</v>
      </c>
      <c r="O29" s="39" t="n">
        <v>100</v>
      </c>
      <c r="P29" s="32" t="n">
        <v>100</v>
      </c>
      <c r="Q29" s="31" t="n">
        <v>2</v>
      </c>
      <c r="R29" s="39" t="n">
        <v>100</v>
      </c>
      <c r="S29" s="31" t="n">
        <v>100</v>
      </c>
      <c r="T29" s="31" t="n">
        <v>100</v>
      </c>
      <c r="U29" s="31"/>
      <c r="V29" s="39" t="n">
        <v>100</v>
      </c>
      <c r="W29" s="31" t="n">
        <v>1</v>
      </c>
      <c r="X29" s="32" t="n">
        <v>100</v>
      </c>
      <c r="Y29" s="31" t="n">
        <v>1</v>
      </c>
      <c r="Z29" s="31"/>
      <c r="AA29" s="31"/>
      <c r="AB29" s="31" t="n">
        <v>100</v>
      </c>
      <c r="AC29" s="40" t="n">
        <f aca="false">SUM(AB29+X29+V29+T29+S29+R29+P29+O29)</f>
        <v>800</v>
      </c>
      <c r="AD29" s="31" t="n">
        <f aca="false">SUM(AA29+Z29+Y29+W29+U29+Q29)*100</f>
        <v>400</v>
      </c>
      <c r="AE29" s="41" t="n">
        <f aca="false">(0.8*AC29)+(0.2*AD29)</f>
        <v>720</v>
      </c>
      <c r="AF29" s="42" t="n">
        <f aca="false">84+((AE29-$AE$48)/($AE$47-$AE$48)*(92-84))</f>
        <v>90.5915492957747</v>
      </c>
      <c r="AG29" s="31" t="n">
        <v>100</v>
      </c>
      <c r="AH29" s="31" t="n">
        <v>100</v>
      </c>
      <c r="AI29" s="31"/>
      <c r="AJ29" s="31"/>
      <c r="AK29" s="1" t="n">
        <v>5</v>
      </c>
    </row>
    <row r="30" customFormat="false" ht="13.5" hidden="false" customHeight="true" outlineLevel="0" collapsed="false">
      <c r="A30" s="31" t="n">
        <v>18</v>
      </c>
      <c r="B30" s="31" t="n">
        <v>19</v>
      </c>
      <c r="C30" s="32" t="s">
        <v>148</v>
      </c>
      <c r="D30" s="33" t="n">
        <v>242510219</v>
      </c>
      <c r="E30" s="33" t="s">
        <v>149</v>
      </c>
      <c r="F30" s="32" t="s">
        <v>150</v>
      </c>
      <c r="G30" s="32" t="s">
        <v>151</v>
      </c>
      <c r="H30" s="34" t="s">
        <v>152</v>
      </c>
      <c r="I30" s="32" t="s">
        <v>153</v>
      </c>
      <c r="J30" s="35" t="s">
        <v>52</v>
      </c>
      <c r="K30" s="36" t="s">
        <v>152</v>
      </c>
      <c r="L30" s="37" t="n">
        <v>39736</v>
      </c>
      <c r="M30" s="49" t="s">
        <v>124</v>
      </c>
      <c r="N30" s="26" t="s">
        <v>54</v>
      </c>
      <c r="O30" s="39" t="n">
        <v>100</v>
      </c>
      <c r="P30" s="32" t="n">
        <v>100</v>
      </c>
      <c r="Q30" s="31"/>
      <c r="R30" s="39" t="n">
        <v>100</v>
      </c>
      <c r="S30" s="31" t="n">
        <v>100</v>
      </c>
      <c r="T30" s="31" t="n">
        <v>100</v>
      </c>
      <c r="U30" s="31"/>
      <c r="V30" s="39" t="n">
        <v>100</v>
      </c>
      <c r="W30" s="31"/>
      <c r="X30" s="32" t="n">
        <v>100</v>
      </c>
      <c r="Y30" s="31"/>
      <c r="Z30" s="31"/>
      <c r="AA30" s="31" t="n">
        <v>2</v>
      </c>
      <c r="AB30" s="31" t="n">
        <v>95</v>
      </c>
      <c r="AC30" s="40" t="n">
        <f aca="false">SUM(AB30+X30+V30+T30+S30+R30+P30+O30)</f>
        <v>795</v>
      </c>
      <c r="AD30" s="31" t="n">
        <f aca="false">SUM(AA30+Z30+Y30+W30+U30+Q30)*100</f>
        <v>200</v>
      </c>
      <c r="AE30" s="41" t="n">
        <f aca="false">(0.8*AC30)+(0.2*AD30)</f>
        <v>676</v>
      </c>
      <c r="AF30" s="42" t="n">
        <f aca="false">84+((AE30-$AE$48)/($AE$47-$AE$48)*(92-84))</f>
        <v>89.9718309859155</v>
      </c>
      <c r="AG30" s="31" t="n">
        <v>100</v>
      </c>
      <c r="AH30" s="31" t="n">
        <v>100</v>
      </c>
      <c r="AI30" s="31"/>
      <c r="AJ30" s="31"/>
      <c r="AK30" s="1" t="n">
        <v>3</v>
      </c>
    </row>
    <row r="31" customFormat="false" ht="13.5" hidden="false" customHeight="true" outlineLevel="0" collapsed="false">
      <c r="A31" s="31" t="n">
        <v>19</v>
      </c>
      <c r="B31" s="31" t="n">
        <v>20</v>
      </c>
      <c r="C31" s="32" t="s">
        <v>154</v>
      </c>
      <c r="D31" s="33" t="n">
        <v>242510022</v>
      </c>
      <c r="E31" s="33" t="s">
        <v>155</v>
      </c>
      <c r="F31" s="32" t="s">
        <v>156</v>
      </c>
      <c r="G31" s="32" t="s">
        <v>157</v>
      </c>
      <c r="H31" s="34" t="s">
        <v>158</v>
      </c>
      <c r="I31" s="32" t="s">
        <v>130</v>
      </c>
      <c r="J31" s="35" t="s">
        <v>52</v>
      </c>
      <c r="K31" s="36" t="s">
        <v>158</v>
      </c>
      <c r="L31" s="37" t="n">
        <v>39768</v>
      </c>
      <c r="M31" s="45" t="s">
        <v>67</v>
      </c>
      <c r="N31" s="26" t="s">
        <v>54</v>
      </c>
      <c r="O31" s="39" t="n">
        <v>100</v>
      </c>
      <c r="P31" s="32" t="n">
        <v>100</v>
      </c>
      <c r="Q31" s="31" t="n">
        <v>2</v>
      </c>
      <c r="R31" s="39" t="n">
        <v>100</v>
      </c>
      <c r="S31" s="31" t="n">
        <v>100</v>
      </c>
      <c r="T31" s="31" t="n">
        <v>100</v>
      </c>
      <c r="U31" s="31" t="n">
        <v>1</v>
      </c>
      <c r="V31" s="39" t="n">
        <v>100</v>
      </c>
      <c r="W31" s="31" t="n">
        <v>2</v>
      </c>
      <c r="X31" s="32" t="n">
        <v>100</v>
      </c>
      <c r="Y31" s="31" t="n">
        <v>1</v>
      </c>
      <c r="Z31" s="31"/>
      <c r="AA31" s="31" t="n">
        <v>3</v>
      </c>
      <c r="AB31" s="31" t="n">
        <v>100</v>
      </c>
      <c r="AC31" s="40" t="n">
        <f aca="false">SUM(AB31+X31+V31+T31+S31+R31+P31+O31)</f>
        <v>800</v>
      </c>
      <c r="AD31" s="31" t="n">
        <f aca="false">SUM(AA31+Z31+Y31+W31+U31+Q31)*100</f>
        <v>900</v>
      </c>
      <c r="AE31" s="41" t="n">
        <f aca="false">(0.8*AC31)+(0.2*AD31)</f>
        <v>820</v>
      </c>
      <c r="AF31" s="42" t="n">
        <f aca="false">84+((AE31-$AE$48)/($AE$47-$AE$48)*(92-84))</f>
        <v>92</v>
      </c>
      <c r="AG31" s="31" t="n">
        <v>100</v>
      </c>
      <c r="AH31" s="31" t="n">
        <v>100</v>
      </c>
      <c r="AI31" s="31"/>
      <c r="AJ31" s="31"/>
      <c r="AK31" s="1" t="n">
        <v>4</v>
      </c>
    </row>
    <row r="32" customFormat="false" ht="13.5" hidden="false" customHeight="true" outlineLevel="0" collapsed="false">
      <c r="A32" s="31" t="n">
        <v>20</v>
      </c>
      <c r="B32" s="31" t="n">
        <v>21</v>
      </c>
      <c r="C32" s="32" t="s">
        <v>159</v>
      </c>
      <c r="D32" s="33" t="n">
        <v>242510055</v>
      </c>
      <c r="E32" s="33" t="s">
        <v>160</v>
      </c>
      <c r="F32" s="32" t="s">
        <v>161</v>
      </c>
      <c r="G32" s="32" t="s">
        <v>162</v>
      </c>
      <c r="H32" s="34" t="s">
        <v>163</v>
      </c>
      <c r="I32" s="32" t="s">
        <v>51</v>
      </c>
      <c r="J32" s="35" t="s">
        <v>52</v>
      </c>
      <c r="K32" s="36" t="s">
        <v>163</v>
      </c>
      <c r="L32" s="37" t="n">
        <v>39896</v>
      </c>
      <c r="M32" s="47" t="s">
        <v>78</v>
      </c>
      <c r="N32" s="26" t="s">
        <v>54</v>
      </c>
      <c r="O32" s="39" t="n">
        <v>100</v>
      </c>
      <c r="P32" s="32" t="n">
        <v>100</v>
      </c>
      <c r="Q32" s="31"/>
      <c r="R32" s="39" t="n">
        <v>100</v>
      </c>
      <c r="S32" s="31" t="n">
        <v>100</v>
      </c>
      <c r="T32" s="31" t="n">
        <v>100</v>
      </c>
      <c r="U32" s="31"/>
      <c r="V32" s="39" t="n">
        <v>100</v>
      </c>
      <c r="W32" s="31"/>
      <c r="X32" s="32" t="n">
        <v>100</v>
      </c>
      <c r="Y32" s="31"/>
      <c r="Z32" s="31" t="n">
        <v>1</v>
      </c>
      <c r="AA32" s="31" t="n">
        <v>2</v>
      </c>
      <c r="AB32" s="31" t="n">
        <v>98</v>
      </c>
      <c r="AC32" s="40" t="n">
        <f aca="false">SUM(AB32+X32+V32+T32+S32+R32+P32+O32)</f>
        <v>798</v>
      </c>
      <c r="AD32" s="31" t="n">
        <f aca="false">SUM(AA32+Z32+Y32+W32+U32+Q32)*100</f>
        <v>300</v>
      </c>
      <c r="AE32" s="41" t="n">
        <f aca="false">(0.8*AC32)+(0.2*AD32)</f>
        <v>698.4</v>
      </c>
      <c r="AF32" s="42" t="n">
        <f aca="false">84+((AE32-$AE$48)/($AE$47-$AE$48)*(92-84))</f>
        <v>90.287323943662</v>
      </c>
      <c r="AG32" s="31"/>
      <c r="AH32" s="31"/>
      <c r="AI32" s="31"/>
      <c r="AJ32" s="31"/>
    </row>
    <row r="33" customFormat="false" ht="13.5" hidden="false" customHeight="true" outlineLevel="0" collapsed="false">
      <c r="A33" s="31" t="n">
        <v>21</v>
      </c>
      <c r="B33" s="31" t="n">
        <v>22</v>
      </c>
      <c r="C33" s="32" t="s">
        <v>164</v>
      </c>
      <c r="D33" s="33" t="n">
        <v>242510023</v>
      </c>
      <c r="E33" s="33" t="s">
        <v>165</v>
      </c>
      <c r="F33" s="32" t="s">
        <v>166</v>
      </c>
      <c r="G33" s="32" t="s">
        <v>167</v>
      </c>
      <c r="H33" s="34" t="s">
        <v>168</v>
      </c>
      <c r="I33" s="32" t="s">
        <v>169</v>
      </c>
      <c r="J33" s="35" t="s">
        <v>52</v>
      </c>
      <c r="K33" s="36" t="s">
        <v>168</v>
      </c>
      <c r="L33" s="37" t="n">
        <v>40031</v>
      </c>
      <c r="M33" s="47" t="s">
        <v>78</v>
      </c>
      <c r="N33" s="26" t="s">
        <v>54</v>
      </c>
      <c r="O33" s="39" t="n">
        <v>100</v>
      </c>
      <c r="P33" s="32" t="n">
        <v>100</v>
      </c>
      <c r="Q33" s="31" t="n">
        <v>1</v>
      </c>
      <c r="R33" s="39" t="n">
        <v>100</v>
      </c>
      <c r="S33" s="31" t="n">
        <v>100</v>
      </c>
      <c r="T33" s="31" t="n">
        <v>100</v>
      </c>
      <c r="U33" s="31"/>
      <c r="V33" s="39" t="n">
        <v>100</v>
      </c>
      <c r="W33" s="31"/>
      <c r="X33" s="32" t="n">
        <v>100</v>
      </c>
      <c r="Y33" s="31" t="n">
        <v>1</v>
      </c>
      <c r="Z33" s="31"/>
      <c r="AA33" s="31" t="n">
        <v>3</v>
      </c>
      <c r="AB33" s="31" t="n">
        <v>93</v>
      </c>
      <c r="AC33" s="40" t="n">
        <f aca="false">SUM(AB33+X33+V33+T33+S33+R33+P33+O33)</f>
        <v>793</v>
      </c>
      <c r="AD33" s="31" t="n">
        <f aca="false">SUM(AA33+Z33+Y33+W33+U33+Q33)*100</f>
        <v>500</v>
      </c>
      <c r="AE33" s="41" t="n">
        <f aca="false">(0.8*AC33)+(0.2*AD33)</f>
        <v>734.4</v>
      </c>
      <c r="AF33" s="42" t="n">
        <f aca="false">84+((AE33-$AE$48)/($AE$47-$AE$48)*(92-84))</f>
        <v>90.7943661971831</v>
      </c>
      <c r="AG33" s="31" t="n">
        <v>100</v>
      </c>
      <c r="AH33" s="31" t="n">
        <v>100</v>
      </c>
      <c r="AI33" s="31" t="n">
        <v>1</v>
      </c>
      <c r="AJ33" s="31"/>
    </row>
    <row r="34" customFormat="false" ht="13.5" hidden="false" customHeight="true" outlineLevel="0" collapsed="false">
      <c r="A34" s="31" t="n">
        <v>22</v>
      </c>
      <c r="B34" s="51" t="n">
        <v>296</v>
      </c>
      <c r="C34" s="32" t="s">
        <v>170</v>
      </c>
      <c r="D34" s="33" t="n">
        <v>242510409</v>
      </c>
      <c r="E34" s="33" t="s">
        <v>171</v>
      </c>
      <c r="F34" s="32" t="s">
        <v>172</v>
      </c>
      <c r="G34" s="32" t="s">
        <v>173</v>
      </c>
      <c r="H34" s="34" t="s">
        <v>174</v>
      </c>
      <c r="I34" s="32" t="s">
        <v>51</v>
      </c>
      <c r="J34" s="35" t="s">
        <v>52</v>
      </c>
      <c r="K34" s="36" t="s">
        <v>174</v>
      </c>
      <c r="L34" s="37" t="n">
        <v>39926</v>
      </c>
      <c r="M34" s="50" t="s">
        <v>147</v>
      </c>
      <c r="N34" s="26" t="s">
        <v>54</v>
      </c>
      <c r="O34" s="39" t="n">
        <v>100</v>
      </c>
      <c r="P34" s="32" t="n">
        <v>100</v>
      </c>
      <c r="Q34" s="31"/>
      <c r="R34" s="39" t="n">
        <v>100</v>
      </c>
      <c r="S34" s="31" t="n">
        <v>100</v>
      </c>
      <c r="T34" s="31" t="n">
        <v>100</v>
      </c>
      <c r="U34" s="31"/>
      <c r="V34" s="39" t="n">
        <v>100</v>
      </c>
      <c r="W34" s="31"/>
      <c r="X34" s="32" t="n">
        <v>100</v>
      </c>
      <c r="Y34" s="31"/>
      <c r="Z34" s="31"/>
      <c r="AA34" s="31" t="n">
        <v>2</v>
      </c>
      <c r="AB34" s="31" t="n">
        <v>99</v>
      </c>
      <c r="AC34" s="40" t="n">
        <f aca="false">SUM(AB34+X34+V34+T34+S34+R34+P34+O34)</f>
        <v>799</v>
      </c>
      <c r="AD34" s="31" t="n">
        <f aca="false">SUM(AA34+Z34+Y34+W34+U34+Q34)*100</f>
        <v>200</v>
      </c>
      <c r="AE34" s="41" t="n">
        <f aca="false">(0.8*AC34)+(0.2*AD34)</f>
        <v>679.2</v>
      </c>
      <c r="AF34" s="42" t="n">
        <f aca="false">84+((AE34-$AE$48)/($AE$47-$AE$48)*(92-84))</f>
        <v>90.0169014084507</v>
      </c>
      <c r="AG34" s="31"/>
      <c r="AH34" s="31"/>
      <c r="AI34" s="31"/>
      <c r="AJ34" s="31"/>
      <c r="AK34" s="1" t="n">
        <v>2</v>
      </c>
    </row>
    <row r="35" customFormat="false" ht="13.5" hidden="false" customHeight="true" outlineLevel="0" collapsed="false">
      <c r="A35" s="31" t="n">
        <v>23</v>
      </c>
      <c r="B35" s="31" t="n">
        <v>23</v>
      </c>
      <c r="C35" s="32" t="s">
        <v>175</v>
      </c>
      <c r="D35" s="33" t="n">
        <v>242510411</v>
      </c>
      <c r="E35" s="33" t="s">
        <v>176</v>
      </c>
      <c r="F35" s="32" t="s">
        <v>177</v>
      </c>
      <c r="G35" s="32" t="s">
        <v>178</v>
      </c>
      <c r="H35" s="34" t="s">
        <v>179</v>
      </c>
      <c r="I35" s="32" t="s">
        <v>180</v>
      </c>
      <c r="J35" s="35" t="s">
        <v>52</v>
      </c>
      <c r="K35" s="36" t="s">
        <v>179</v>
      </c>
      <c r="L35" s="37" t="n">
        <v>39669</v>
      </c>
      <c r="M35" s="48" t="s">
        <v>112</v>
      </c>
      <c r="N35" s="26" t="s">
        <v>54</v>
      </c>
      <c r="O35" s="39" t="n">
        <v>100</v>
      </c>
      <c r="P35" s="32" t="n">
        <v>100</v>
      </c>
      <c r="Q35" s="31" t="n">
        <v>1</v>
      </c>
      <c r="R35" s="39" t="n">
        <v>100</v>
      </c>
      <c r="S35" s="31" t="n">
        <v>100</v>
      </c>
      <c r="T35" s="31" t="n">
        <v>100</v>
      </c>
      <c r="U35" s="31"/>
      <c r="V35" s="39" t="n">
        <v>100</v>
      </c>
      <c r="W35" s="31" t="n">
        <v>1</v>
      </c>
      <c r="X35" s="32" t="n">
        <v>100</v>
      </c>
      <c r="Y35" s="31"/>
      <c r="Z35" s="31" t="n">
        <v>1</v>
      </c>
      <c r="AA35" s="31" t="n">
        <v>3</v>
      </c>
      <c r="AB35" s="31" t="n">
        <v>100</v>
      </c>
      <c r="AC35" s="40" t="n">
        <f aca="false">SUM(AB35+X35+V35+T35+S35+R35+P35+O35)</f>
        <v>800</v>
      </c>
      <c r="AD35" s="31" t="n">
        <f aca="false">SUM(AA35+Z35+Y35+W35+U35+Q35)*100</f>
        <v>600</v>
      </c>
      <c r="AE35" s="41" t="n">
        <f aca="false">(0.8*AC35)+(0.2*AD35)</f>
        <v>760</v>
      </c>
      <c r="AF35" s="42" t="n">
        <f aca="false">84+((AE35-$AE$48)/($AE$47-$AE$48)*(92-84))</f>
        <v>91.1549295774648</v>
      </c>
      <c r="AG35" s="31" t="n">
        <v>100</v>
      </c>
      <c r="AH35" s="31" t="n">
        <v>100</v>
      </c>
      <c r="AI35" s="31"/>
      <c r="AJ35" s="31"/>
      <c r="AK35" s="1" t="n">
        <v>5</v>
      </c>
    </row>
    <row r="36" customFormat="false" ht="13.5" hidden="false" customHeight="true" outlineLevel="0" collapsed="false">
      <c r="A36" s="31" t="n">
        <v>24</v>
      </c>
      <c r="B36" s="31" t="n">
        <v>24</v>
      </c>
      <c r="C36" s="32" t="s">
        <v>181</v>
      </c>
      <c r="D36" s="33" t="n">
        <v>242510061</v>
      </c>
      <c r="E36" s="33" t="s">
        <v>182</v>
      </c>
      <c r="F36" s="32" t="s">
        <v>183</v>
      </c>
      <c r="G36" s="32" t="s">
        <v>184</v>
      </c>
      <c r="H36" s="34" t="s">
        <v>185</v>
      </c>
      <c r="I36" s="32" t="s">
        <v>186</v>
      </c>
      <c r="J36" s="35" t="s">
        <v>52</v>
      </c>
      <c r="K36" s="36" t="s">
        <v>185</v>
      </c>
      <c r="L36" s="37" t="n">
        <v>39911</v>
      </c>
      <c r="M36" s="44" t="s">
        <v>60</v>
      </c>
      <c r="N36" s="26" t="s">
        <v>54</v>
      </c>
      <c r="O36" s="39" t="n">
        <v>100</v>
      </c>
      <c r="P36" s="32" t="n">
        <v>100</v>
      </c>
      <c r="Q36" s="31"/>
      <c r="R36" s="39" t="n">
        <v>100</v>
      </c>
      <c r="S36" s="31" t="n">
        <v>100</v>
      </c>
      <c r="T36" s="31" t="n">
        <v>100</v>
      </c>
      <c r="U36" s="31"/>
      <c r="V36" s="39" t="n">
        <v>100</v>
      </c>
      <c r="W36" s="31"/>
      <c r="X36" s="32" t="n">
        <v>100</v>
      </c>
      <c r="Y36" s="31"/>
      <c r="Z36" s="31"/>
      <c r="AA36" s="31" t="n">
        <v>1</v>
      </c>
      <c r="AB36" s="31" t="n">
        <v>100</v>
      </c>
      <c r="AC36" s="40" t="n">
        <f aca="false">SUM(AB36+X36+V36+T36+S36+R36+P36+O36)</f>
        <v>800</v>
      </c>
      <c r="AD36" s="31" t="n">
        <f aca="false">SUM(AA36+Z36+Y36+W36+U36+Q36)*100</f>
        <v>100</v>
      </c>
      <c r="AE36" s="41" t="n">
        <f aca="false">(0.8*AC36)+(0.2*AD36)</f>
        <v>660</v>
      </c>
      <c r="AF36" s="42" t="n">
        <f aca="false">84+((AE36-$AE$48)/($AE$47-$AE$48)*(92-84))</f>
        <v>89.7464788732394</v>
      </c>
      <c r="AG36" s="31" t="n">
        <v>100</v>
      </c>
      <c r="AH36" s="31" t="n">
        <v>100</v>
      </c>
      <c r="AI36" s="31"/>
      <c r="AJ36" s="31"/>
      <c r="AK36" s="1" t="n">
        <v>5</v>
      </c>
    </row>
    <row r="37" customFormat="false" ht="13.5" hidden="false" customHeight="true" outlineLevel="0" collapsed="false">
      <c r="A37" s="31" t="n">
        <v>25</v>
      </c>
      <c r="B37" s="31" t="n">
        <v>25</v>
      </c>
      <c r="C37" s="32" t="s">
        <v>187</v>
      </c>
      <c r="D37" s="33" t="n">
        <v>242510062</v>
      </c>
      <c r="E37" s="33" t="s">
        <v>188</v>
      </c>
      <c r="F37" s="32" t="s">
        <v>189</v>
      </c>
      <c r="G37" s="32" t="s">
        <v>190</v>
      </c>
      <c r="H37" s="34" t="s">
        <v>191</v>
      </c>
      <c r="I37" s="32" t="s">
        <v>192</v>
      </c>
      <c r="J37" s="35" t="s">
        <v>52</v>
      </c>
      <c r="K37" s="36" t="s">
        <v>191</v>
      </c>
      <c r="L37" s="37" t="n">
        <v>39728</v>
      </c>
      <c r="M37" s="47" t="s">
        <v>78</v>
      </c>
      <c r="N37" s="26" t="s">
        <v>54</v>
      </c>
      <c r="O37" s="39" t="n">
        <v>100</v>
      </c>
      <c r="P37" s="32" t="n">
        <v>100</v>
      </c>
      <c r="Q37" s="31" t="n">
        <v>1</v>
      </c>
      <c r="R37" s="39" t="n">
        <v>100</v>
      </c>
      <c r="S37" s="31" t="n">
        <v>100</v>
      </c>
      <c r="T37" s="31" t="n">
        <v>100</v>
      </c>
      <c r="U37" s="31"/>
      <c r="V37" s="39" t="n">
        <v>100</v>
      </c>
      <c r="W37" s="31"/>
      <c r="X37" s="32" t="n">
        <v>100</v>
      </c>
      <c r="Y37" s="31" t="n">
        <v>1</v>
      </c>
      <c r="Z37" s="31"/>
      <c r="AA37" s="31"/>
      <c r="AB37" s="31" t="n">
        <v>100</v>
      </c>
      <c r="AC37" s="40" t="n">
        <f aca="false">SUM(AB37+X37+V37+T37+S37+R37+P37+O37)</f>
        <v>800</v>
      </c>
      <c r="AD37" s="31" t="n">
        <f aca="false">SUM(AA37+Z37+Y37+W37+U37+Q37)*100</f>
        <v>200</v>
      </c>
      <c r="AE37" s="41" t="n">
        <f aca="false">(0.8*AC37)+(0.2*AD37)</f>
        <v>680</v>
      </c>
      <c r="AF37" s="42" t="n">
        <f aca="false">84+((AE37-$AE$48)/($AE$47-$AE$48)*(92-84))</f>
        <v>90.0281690140845</v>
      </c>
      <c r="AG37" s="31" t="n">
        <v>100</v>
      </c>
      <c r="AH37" s="31" t="n">
        <v>100</v>
      </c>
      <c r="AI37" s="31" t="n">
        <v>4</v>
      </c>
      <c r="AJ37" s="31"/>
      <c r="AK37" s="1" t="n">
        <v>3</v>
      </c>
    </row>
    <row r="38" customFormat="false" ht="13.5" hidden="false" customHeight="true" outlineLevel="0" collapsed="false">
      <c r="A38" s="31" t="n">
        <v>26</v>
      </c>
      <c r="B38" s="31" t="n">
        <v>26</v>
      </c>
      <c r="C38" s="32" t="s">
        <v>193</v>
      </c>
      <c r="D38" s="33" t="n">
        <v>242510378</v>
      </c>
      <c r="E38" s="33" t="s">
        <v>194</v>
      </c>
      <c r="F38" s="32" t="s">
        <v>195</v>
      </c>
      <c r="G38" s="32" t="s">
        <v>196</v>
      </c>
      <c r="H38" s="34" t="s">
        <v>197</v>
      </c>
      <c r="I38" s="32" t="s">
        <v>198</v>
      </c>
      <c r="J38" s="35" t="s">
        <v>52</v>
      </c>
      <c r="K38" s="36" t="s">
        <v>197</v>
      </c>
      <c r="L38" s="37" t="n">
        <v>39846</v>
      </c>
      <c r="M38" s="45" t="s">
        <v>67</v>
      </c>
      <c r="N38" s="26" t="s">
        <v>54</v>
      </c>
      <c r="O38" s="39" t="n">
        <v>100</v>
      </c>
      <c r="P38" s="32" t="n">
        <v>100</v>
      </c>
      <c r="Q38" s="31"/>
      <c r="R38" s="39" t="n">
        <v>100</v>
      </c>
      <c r="S38" s="31" t="n">
        <v>100</v>
      </c>
      <c r="T38" s="31" t="n">
        <v>100</v>
      </c>
      <c r="U38" s="31"/>
      <c r="V38" s="39" t="n">
        <v>100</v>
      </c>
      <c r="W38" s="31"/>
      <c r="X38" s="32" t="n">
        <v>100</v>
      </c>
      <c r="Y38" s="31" t="n">
        <v>1</v>
      </c>
      <c r="Z38" s="31" t="n">
        <v>1</v>
      </c>
      <c r="AA38" s="31" t="n">
        <v>5</v>
      </c>
      <c r="AB38" s="31" t="n">
        <v>100</v>
      </c>
      <c r="AC38" s="40" t="n">
        <f aca="false">SUM(AB38+X38+V38+T38+S38+R38+P38+O38)</f>
        <v>800</v>
      </c>
      <c r="AD38" s="31" t="n">
        <f aca="false">SUM(AA38+Z38+Y38+W38+U38+Q38)*100</f>
        <v>700</v>
      </c>
      <c r="AE38" s="41" t="n">
        <f aca="false">(0.8*AC38)+(0.2*AD38)</f>
        <v>780</v>
      </c>
      <c r="AF38" s="42" t="n">
        <f aca="false">84+((AE38-$AE$48)/($AE$47-$AE$48)*(92-84))</f>
        <v>91.4366197183099</v>
      </c>
      <c r="AG38" s="31" t="n">
        <v>100</v>
      </c>
      <c r="AH38" s="31" t="n">
        <v>100</v>
      </c>
      <c r="AI38" s="31" t="n">
        <v>2</v>
      </c>
      <c r="AJ38" s="31"/>
      <c r="AK38" s="1" t="n">
        <v>5</v>
      </c>
    </row>
    <row r="39" customFormat="false" ht="13.5" hidden="false" customHeight="true" outlineLevel="0" collapsed="false">
      <c r="A39" s="31" t="n">
        <v>27</v>
      </c>
      <c r="B39" s="31" t="n">
        <v>27</v>
      </c>
      <c r="C39" s="32" t="s">
        <v>199</v>
      </c>
      <c r="D39" s="33" t="n">
        <v>242510230</v>
      </c>
      <c r="E39" s="33" t="s">
        <v>200</v>
      </c>
      <c r="F39" s="32" t="s">
        <v>201</v>
      </c>
      <c r="G39" s="32" t="s">
        <v>202</v>
      </c>
      <c r="H39" s="34" t="s">
        <v>203</v>
      </c>
      <c r="I39" s="32" t="s">
        <v>146</v>
      </c>
      <c r="J39" s="35" t="s">
        <v>52</v>
      </c>
      <c r="K39" s="36" t="s">
        <v>203</v>
      </c>
      <c r="L39" s="37" t="n">
        <v>39769</v>
      </c>
      <c r="M39" s="47" t="s">
        <v>78</v>
      </c>
      <c r="N39" s="26" t="s">
        <v>54</v>
      </c>
      <c r="O39" s="39" t="n">
        <v>100</v>
      </c>
      <c r="P39" s="32" t="n">
        <v>100</v>
      </c>
      <c r="Q39" s="31"/>
      <c r="R39" s="39" t="n">
        <v>100</v>
      </c>
      <c r="S39" s="31" t="n">
        <v>100</v>
      </c>
      <c r="T39" s="31" t="n">
        <v>100</v>
      </c>
      <c r="U39" s="31" t="n">
        <v>1</v>
      </c>
      <c r="V39" s="39"/>
      <c r="W39" s="31"/>
      <c r="X39" s="32" t="n">
        <v>100</v>
      </c>
      <c r="Y39" s="31"/>
      <c r="Z39" s="31"/>
      <c r="AA39" s="31"/>
      <c r="AB39" s="31" t="n">
        <v>90</v>
      </c>
      <c r="AC39" s="40" t="n">
        <f aca="false">SUM(AB39+X39+V39+T39+S39+R39+P39+O39)</f>
        <v>690</v>
      </c>
      <c r="AD39" s="31" t="n">
        <f aca="false">SUM(AA39+Z39+Y39+W39+U39+Q39)*100</f>
        <v>100</v>
      </c>
      <c r="AE39" s="41" t="n">
        <f aca="false">(0.8*AC39)+(0.2*AD39)</f>
        <v>572</v>
      </c>
      <c r="AF39" s="42" t="n">
        <f aca="false">84+((AE39-$AE$48)/($AE$47-$AE$48)*(92-84))</f>
        <v>88.5070422535211</v>
      </c>
      <c r="AG39" s="31" t="n">
        <v>100</v>
      </c>
      <c r="AH39" s="31" t="n">
        <v>100</v>
      </c>
      <c r="AI39" s="31" t="n">
        <v>1</v>
      </c>
      <c r="AJ39" s="31"/>
      <c r="AK39" s="1" t="n">
        <v>3</v>
      </c>
    </row>
    <row r="40" customFormat="false" ht="13.5" hidden="false" customHeight="true" outlineLevel="0" collapsed="false">
      <c r="A40" s="31" t="n">
        <v>28</v>
      </c>
      <c r="B40" s="31" t="n">
        <v>28</v>
      </c>
      <c r="C40" s="32" t="s">
        <v>204</v>
      </c>
      <c r="D40" s="33" t="n">
        <v>242510110</v>
      </c>
      <c r="E40" s="33" t="s">
        <v>205</v>
      </c>
      <c r="F40" s="32" t="s">
        <v>206</v>
      </c>
      <c r="G40" s="32" t="s">
        <v>207</v>
      </c>
      <c r="H40" s="34" t="s">
        <v>208</v>
      </c>
      <c r="I40" s="32" t="s">
        <v>209</v>
      </c>
      <c r="J40" s="35" t="s">
        <v>52</v>
      </c>
      <c r="K40" s="36" t="s">
        <v>208</v>
      </c>
      <c r="L40" s="37" t="n">
        <v>39862</v>
      </c>
      <c r="M40" s="44" t="s">
        <v>60</v>
      </c>
      <c r="N40" s="26" t="s">
        <v>54</v>
      </c>
      <c r="O40" s="39" t="n">
        <v>100</v>
      </c>
      <c r="P40" s="32" t="n">
        <v>100</v>
      </c>
      <c r="Q40" s="31"/>
      <c r="R40" s="39" t="n">
        <v>100</v>
      </c>
      <c r="S40" s="31" t="n">
        <v>100</v>
      </c>
      <c r="T40" s="31" t="n">
        <v>100</v>
      </c>
      <c r="U40" s="31"/>
      <c r="V40" s="39" t="n">
        <v>100</v>
      </c>
      <c r="W40" s="31"/>
      <c r="X40" s="32" t="n">
        <v>100</v>
      </c>
      <c r="Y40" s="31"/>
      <c r="Z40" s="31"/>
      <c r="AA40" s="31" t="n">
        <v>2</v>
      </c>
      <c r="AB40" s="31" t="n">
        <v>90</v>
      </c>
      <c r="AC40" s="40" t="n">
        <f aca="false">SUM(AB40+X40+V40+T40+S40+R40+P40+O40)</f>
        <v>790</v>
      </c>
      <c r="AD40" s="31" t="n">
        <f aca="false">SUM(AA40+Z40+Y40+W40+U40+Q40)*100</f>
        <v>200</v>
      </c>
      <c r="AE40" s="41" t="n">
        <f aca="false">(0.8*AC40)+(0.2*AD40)</f>
        <v>672</v>
      </c>
      <c r="AF40" s="42" t="n">
        <f aca="false">84+((AE40-$AE$48)/($AE$47-$AE$48)*(92-84))</f>
        <v>89.9154929577465</v>
      </c>
      <c r="AG40" s="31" t="n">
        <v>100</v>
      </c>
      <c r="AH40" s="31" t="n">
        <v>100</v>
      </c>
      <c r="AI40" s="31"/>
      <c r="AJ40" s="31"/>
      <c r="AK40" s="1" t="n">
        <v>2</v>
      </c>
    </row>
    <row r="41" customFormat="false" ht="13.55" hidden="false" customHeight="true" outlineLevel="0" collapsed="false">
      <c r="A41" s="31" t="n">
        <v>29</v>
      </c>
      <c r="B41" s="31" t="n">
        <v>29</v>
      </c>
      <c r="C41" s="32" t="s">
        <v>210</v>
      </c>
      <c r="D41" s="33" t="n">
        <v>242510232</v>
      </c>
      <c r="E41" s="33" t="s">
        <v>211</v>
      </c>
      <c r="F41" s="32" t="s">
        <v>212</v>
      </c>
      <c r="G41" s="32" t="s">
        <v>213</v>
      </c>
      <c r="H41" s="34" t="s">
        <v>214</v>
      </c>
      <c r="I41" s="32" t="s">
        <v>51</v>
      </c>
      <c r="J41" s="35" t="s">
        <v>52</v>
      </c>
      <c r="K41" s="36" t="s">
        <v>214</v>
      </c>
      <c r="L41" s="37" t="n">
        <v>39998</v>
      </c>
      <c r="M41" s="47" t="s">
        <v>78</v>
      </c>
      <c r="N41" s="26" t="s">
        <v>54</v>
      </c>
      <c r="O41" s="39" t="n">
        <v>100</v>
      </c>
      <c r="P41" s="32" t="n">
        <v>100</v>
      </c>
      <c r="Q41" s="31"/>
      <c r="R41" s="39" t="n">
        <v>100</v>
      </c>
      <c r="S41" s="31" t="n">
        <v>100</v>
      </c>
      <c r="T41" s="31" t="n">
        <v>100</v>
      </c>
      <c r="U41" s="31"/>
      <c r="V41" s="39" t="n">
        <v>100</v>
      </c>
      <c r="W41" s="31"/>
      <c r="X41" s="32" t="n">
        <v>100</v>
      </c>
      <c r="Y41" s="31"/>
      <c r="Z41" s="31"/>
      <c r="AA41" s="31"/>
      <c r="AB41" s="31" t="n">
        <v>100</v>
      </c>
      <c r="AC41" s="40" t="n">
        <f aca="false">SUM(AB41+X41+V41+T41+S41+R41+P41+O41)</f>
        <v>800</v>
      </c>
      <c r="AD41" s="31" t="n">
        <f aca="false">SUM(AA41+Z41+Y41+W41+U41+Q41)*100</f>
        <v>0</v>
      </c>
      <c r="AE41" s="41" t="n">
        <f aca="false">(0.8*AC41)+(0.2*AD41)</f>
        <v>640</v>
      </c>
      <c r="AF41" s="42" t="n">
        <f aca="false">84+((AE41-$AE$48)/($AE$47-$AE$48)*(92-84))</f>
        <v>89.4647887323944</v>
      </c>
      <c r="AG41" s="31" t="n">
        <v>100</v>
      </c>
      <c r="AH41" s="31" t="n">
        <v>100</v>
      </c>
      <c r="AI41" s="31"/>
      <c r="AJ41" s="31"/>
      <c r="AK41" s="1" t="n">
        <v>2</v>
      </c>
    </row>
    <row r="42" customFormat="false" ht="13.5" hidden="false" customHeight="true" outlineLevel="0" collapsed="false">
      <c r="A42" s="31" t="n">
        <v>30</v>
      </c>
      <c r="B42" s="31" t="n">
        <v>30</v>
      </c>
      <c r="C42" s="32" t="s">
        <v>215</v>
      </c>
      <c r="D42" s="33" t="n">
        <v>242510070</v>
      </c>
      <c r="E42" s="33" t="s">
        <v>216</v>
      </c>
      <c r="F42" s="32"/>
      <c r="G42" s="32"/>
      <c r="H42" s="34" t="s">
        <v>217</v>
      </c>
      <c r="I42" s="32"/>
      <c r="J42" s="35" t="s">
        <v>66</v>
      </c>
      <c r="K42" s="36" t="s">
        <v>217</v>
      </c>
      <c r="L42" s="37" t="n">
        <v>39566</v>
      </c>
      <c r="M42" s="47" t="s">
        <v>78</v>
      </c>
      <c r="N42" s="26" t="s">
        <v>54</v>
      </c>
      <c r="O42" s="39" t="n">
        <v>100</v>
      </c>
      <c r="P42" s="32" t="n">
        <v>100</v>
      </c>
      <c r="Q42" s="31"/>
      <c r="R42" s="39" t="n">
        <v>100</v>
      </c>
      <c r="S42" s="31" t="n">
        <v>100</v>
      </c>
      <c r="T42" s="31" t="n">
        <v>100</v>
      </c>
      <c r="U42" s="31"/>
      <c r="V42" s="39" t="n">
        <v>100</v>
      </c>
      <c r="W42" s="31"/>
      <c r="X42" s="32" t="n">
        <v>100</v>
      </c>
      <c r="Y42" s="31"/>
      <c r="Z42" s="31"/>
      <c r="AA42" s="31"/>
      <c r="AB42" s="31" t="n">
        <v>95</v>
      </c>
      <c r="AC42" s="40" t="n">
        <f aca="false">SUM(AB42+X42+V42+T42+S42+R42+P42+O42)</f>
        <v>795</v>
      </c>
      <c r="AD42" s="31" t="n">
        <f aca="false">SUM(AA42+Z42+Y42+W42+U42+Q42)*100</f>
        <v>0</v>
      </c>
      <c r="AE42" s="41" t="n">
        <f aca="false">(0.8*AC42)+(0.2*AD42)</f>
        <v>636</v>
      </c>
      <c r="AF42" s="42" t="n">
        <f aca="false">84+((AE42-$AE$48)/($AE$47-$AE$48)*(92-84))</f>
        <v>89.4084507042253</v>
      </c>
      <c r="AG42" s="31"/>
      <c r="AH42" s="31" t="n">
        <v>100</v>
      </c>
      <c r="AI42" s="31" t="n">
        <v>1</v>
      </c>
      <c r="AJ42" s="31" t="n">
        <v>1</v>
      </c>
      <c r="AK42" s="1" t="n">
        <v>4</v>
      </c>
    </row>
    <row r="43" customFormat="false" ht="13.5" hidden="false" customHeight="true" outlineLevel="0" collapsed="false">
      <c r="A43" s="31" t="n">
        <v>31</v>
      </c>
      <c r="B43" s="31" t="n">
        <v>31</v>
      </c>
      <c r="C43" s="32" t="s">
        <v>218</v>
      </c>
      <c r="D43" s="33" t="n">
        <v>242510191</v>
      </c>
      <c r="E43" s="33" t="s">
        <v>219</v>
      </c>
      <c r="F43" s="32" t="s">
        <v>220</v>
      </c>
      <c r="G43" s="32" t="s">
        <v>221</v>
      </c>
      <c r="H43" s="34" t="s">
        <v>222</v>
      </c>
      <c r="I43" s="32" t="s">
        <v>186</v>
      </c>
      <c r="J43" s="35" t="s">
        <v>66</v>
      </c>
      <c r="K43" s="36" t="s">
        <v>222</v>
      </c>
      <c r="L43" s="37" t="n">
        <v>39851</v>
      </c>
      <c r="M43" s="47" t="s">
        <v>78</v>
      </c>
      <c r="N43" s="26" t="s">
        <v>54</v>
      </c>
      <c r="O43" s="39" t="n">
        <v>100</v>
      </c>
      <c r="P43" s="32" t="n">
        <v>100</v>
      </c>
      <c r="Q43" s="31"/>
      <c r="R43" s="39" t="n">
        <v>100</v>
      </c>
      <c r="S43" s="31" t="n">
        <v>100</v>
      </c>
      <c r="T43" s="31" t="n">
        <v>100</v>
      </c>
      <c r="U43" s="31"/>
      <c r="V43" s="39" t="n">
        <v>100</v>
      </c>
      <c r="W43" s="31"/>
      <c r="X43" s="32" t="n">
        <v>100</v>
      </c>
      <c r="Y43" s="31"/>
      <c r="Z43" s="31"/>
      <c r="AA43" s="31" t="n">
        <v>2</v>
      </c>
      <c r="AB43" s="31" t="n">
        <v>95</v>
      </c>
      <c r="AC43" s="40" t="n">
        <f aca="false">SUM(AB43+X43+V43+T43+S43+R43+P43+O43)</f>
        <v>795</v>
      </c>
      <c r="AD43" s="31" t="n">
        <f aca="false">SUM(AA43+Z43+Y43+W43+U43+Q43)*100</f>
        <v>200</v>
      </c>
      <c r="AE43" s="41" t="n">
        <f aca="false">(0.8*AC43)+(0.2*AD43)</f>
        <v>676</v>
      </c>
      <c r="AF43" s="42" t="n">
        <f aca="false">84+((AE43-$AE$48)/($AE$47-$AE$48)*(92-84))</f>
        <v>89.9718309859155</v>
      </c>
      <c r="AG43" s="31" t="n">
        <v>100</v>
      </c>
      <c r="AH43" s="31" t="n">
        <v>100</v>
      </c>
      <c r="AI43" s="31"/>
      <c r="AJ43" s="31"/>
      <c r="AK43" s="1" t="n">
        <v>2</v>
      </c>
    </row>
    <row r="44" customFormat="false" ht="13.5" hidden="false" customHeight="true" outlineLevel="0" collapsed="false">
      <c r="A44" s="31" t="n">
        <v>32</v>
      </c>
      <c r="B44" s="31" t="n">
        <v>32</v>
      </c>
      <c r="C44" s="32" t="s">
        <v>223</v>
      </c>
      <c r="D44" s="33" t="n">
        <v>242510273</v>
      </c>
      <c r="E44" s="33" t="s">
        <v>224</v>
      </c>
      <c r="F44" s="32" t="s">
        <v>225</v>
      </c>
      <c r="G44" s="32" t="s">
        <v>226</v>
      </c>
      <c r="H44" s="34" t="s">
        <v>227</v>
      </c>
      <c r="I44" s="32" t="s">
        <v>228</v>
      </c>
      <c r="J44" s="35" t="s">
        <v>52</v>
      </c>
      <c r="K44" s="36" t="s">
        <v>227</v>
      </c>
      <c r="L44" s="37" t="n">
        <v>39889</v>
      </c>
      <c r="M44" s="44" t="s">
        <v>60</v>
      </c>
      <c r="N44" s="26" t="s">
        <v>54</v>
      </c>
      <c r="O44" s="39" t="n">
        <v>100</v>
      </c>
      <c r="P44" s="32" t="n">
        <v>100</v>
      </c>
      <c r="Q44" s="31"/>
      <c r="R44" s="39" t="n">
        <v>100</v>
      </c>
      <c r="S44" s="31" t="n">
        <v>100</v>
      </c>
      <c r="T44" s="31" t="n">
        <v>100</v>
      </c>
      <c r="U44" s="31"/>
      <c r="V44" s="39" t="n">
        <v>100</v>
      </c>
      <c r="W44" s="31"/>
      <c r="X44" s="32" t="n">
        <v>100</v>
      </c>
      <c r="Y44" s="31"/>
      <c r="Z44" s="31" t="n">
        <v>1</v>
      </c>
      <c r="AA44" s="31" t="n">
        <v>2</v>
      </c>
      <c r="AB44" s="31" t="n">
        <v>80</v>
      </c>
      <c r="AC44" s="40" t="n">
        <f aca="false">SUM(AB44+X44+V44+T44+S44+R44+P44+O44)</f>
        <v>780</v>
      </c>
      <c r="AD44" s="31" t="n">
        <f aca="false">SUM(AA44+Z44+Y44+W44+U44+Q44)*100</f>
        <v>300</v>
      </c>
      <c r="AE44" s="41" t="n">
        <f aca="false">(0.8*AC44)+(0.2*AD44)</f>
        <v>684</v>
      </c>
      <c r="AF44" s="42" t="n">
        <f aca="false">84+((AE44-$AE$48)/($AE$47-$AE$48)*(92-84))</f>
        <v>90.0845070422535</v>
      </c>
      <c r="AG44" s="31" t="n">
        <v>100</v>
      </c>
      <c r="AH44" s="31" t="n">
        <v>100</v>
      </c>
      <c r="AI44" s="31"/>
      <c r="AJ44" s="31"/>
      <c r="AK44" s="1" t="n">
        <v>3</v>
      </c>
    </row>
    <row r="45" customFormat="false" ht="13.5" hidden="false" customHeight="true" outlineLevel="0" collapsed="false">
      <c r="A45" s="31" t="n">
        <v>33</v>
      </c>
      <c r="B45" s="31" t="n">
        <v>33</v>
      </c>
      <c r="C45" s="32" t="s">
        <v>229</v>
      </c>
      <c r="D45" s="33" t="n">
        <v>242510424</v>
      </c>
      <c r="E45" s="33" t="s">
        <v>230</v>
      </c>
      <c r="F45" s="32" t="s">
        <v>231</v>
      </c>
      <c r="G45" s="32" t="s">
        <v>232</v>
      </c>
      <c r="H45" s="34" t="s">
        <v>233</v>
      </c>
      <c r="I45" s="32" t="s">
        <v>51</v>
      </c>
      <c r="J45" s="35" t="s">
        <v>52</v>
      </c>
      <c r="K45" s="36" t="s">
        <v>233</v>
      </c>
      <c r="L45" s="37" t="n">
        <v>39654</v>
      </c>
      <c r="M45" s="44" t="s">
        <v>60</v>
      </c>
      <c r="N45" s="26" t="s">
        <v>54</v>
      </c>
      <c r="O45" s="39" t="n">
        <v>100</v>
      </c>
      <c r="P45" s="32" t="n">
        <v>100</v>
      </c>
      <c r="Q45" s="31"/>
      <c r="R45" s="39" t="n">
        <v>100</v>
      </c>
      <c r="S45" s="31" t="n">
        <v>100</v>
      </c>
      <c r="T45" s="31" t="n">
        <v>100</v>
      </c>
      <c r="U45" s="31"/>
      <c r="V45" s="39" t="n">
        <v>100</v>
      </c>
      <c r="W45" s="31" t="n">
        <v>1</v>
      </c>
      <c r="X45" s="32" t="n">
        <v>100</v>
      </c>
      <c r="Y45" s="31" t="n">
        <v>1</v>
      </c>
      <c r="Z45" s="31" t="n">
        <v>1</v>
      </c>
      <c r="AA45" s="31" t="n">
        <v>3</v>
      </c>
      <c r="AB45" s="31" t="n">
        <v>100</v>
      </c>
      <c r="AC45" s="40" t="n">
        <f aca="false">SUM(AB45+X45+V45+T45+S45+R45+P45+O45)</f>
        <v>800</v>
      </c>
      <c r="AD45" s="31" t="n">
        <f aca="false">SUM(AA45+Z45+Y45+W45+U45+Q45)*100</f>
        <v>600</v>
      </c>
      <c r="AE45" s="41" t="n">
        <f aca="false">(0.8*AC45)+(0.2*AD45)</f>
        <v>760</v>
      </c>
      <c r="AF45" s="42" t="n">
        <f aca="false">84+((AE45-$AE$48)/($AE$47-$AE$48)*(92-84))</f>
        <v>91.1549295774648</v>
      </c>
      <c r="AG45" s="31" t="n">
        <v>100</v>
      </c>
      <c r="AH45" s="31" t="n">
        <v>100</v>
      </c>
      <c r="AI45" s="31"/>
      <c r="AJ45" s="31"/>
      <c r="AK45" s="1" t="n">
        <v>4</v>
      </c>
    </row>
    <row r="46" customFormat="false" ht="13.5" hidden="false" customHeight="true" outlineLevel="0" collapsed="false">
      <c r="A46" s="31" t="n">
        <v>34</v>
      </c>
      <c r="B46" s="31" t="n">
        <v>34</v>
      </c>
      <c r="C46" s="32" t="s">
        <v>234</v>
      </c>
      <c r="D46" s="33" t="n">
        <v>242510238</v>
      </c>
      <c r="E46" s="33" t="s">
        <v>235</v>
      </c>
      <c r="F46" s="32" t="s">
        <v>236</v>
      </c>
      <c r="G46" s="32" t="s">
        <v>237</v>
      </c>
      <c r="H46" s="34" t="s">
        <v>238</v>
      </c>
      <c r="I46" s="32" t="s">
        <v>239</v>
      </c>
      <c r="J46" s="35" t="s">
        <v>52</v>
      </c>
      <c r="K46" s="36" t="s">
        <v>238</v>
      </c>
      <c r="L46" s="37" t="n">
        <v>39675</v>
      </c>
      <c r="M46" s="47" t="s">
        <v>78</v>
      </c>
      <c r="N46" s="26" t="s">
        <v>54</v>
      </c>
      <c r="O46" s="39" t="n">
        <v>100</v>
      </c>
      <c r="P46" s="32" t="n">
        <v>100</v>
      </c>
      <c r="Q46" s="31"/>
      <c r="R46" s="39" t="n">
        <v>100</v>
      </c>
      <c r="S46" s="31" t="n">
        <v>100</v>
      </c>
      <c r="T46" s="31" t="n">
        <v>100</v>
      </c>
      <c r="U46" s="31"/>
      <c r="V46" s="39" t="n">
        <v>100</v>
      </c>
      <c r="W46" s="31"/>
      <c r="X46" s="32" t="n">
        <v>100</v>
      </c>
      <c r="Y46" s="31"/>
      <c r="Z46" s="31"/>
      <c r="AA46" s="31" t="n">
        <v>3</v>
      </c>
      <c r="AB46" s="31" t="n">
        <v>95</v>
      </c>
      <c r="AC46" s="40" t="n">
        <f aca="false">SUM(AB46+X46+V46+T46+S46+R46+P46+O46)</f>
        <v>795</v>
      </c>
      <c r="AD46" s="31" t="n">
        <f aca="false">SUM(AA46+Z46+Y46+W46+U46+Q46)*100</f>
        <v>300</v>
      </c>
      <c r="AE46" s="41" t="n">
        <f aca="false">(0.8*AC46)+(0.2*AD46)</f>
        <v>696</v>
      </c>
      <c r="AF46" s="42" t="n">
        <f aca="false">84+((AE46-$AE$48)/($AE$47-$AE$48)*(92-84))</f>
        <v>90.2535211267606</v>
      </c>
      <c r="AG46" s="31" t="n">
        <v>100</v>
      </c>
      <c r="AH46" s="31" t="n">
        <v>100</v>
      </c>
      <c r="AI46" s="31"/>
      <c r="AJ46" s="31"/>
      <c r="AK46" s="1" t="n">
        <v>5</v>
      </c>
    </row>
    <row r="47" customFormat="false" ht="13.5" hidden="false" customHeight="true" outlineLevel="0" collapsed="false">
      <c r="H47" s="17" t="s">
        <v>240</v>
      </c>
      <c r="I47" s="52"/>
      <c r="J47" s="1" t="n">
        <f aca="false">COUNTIF(J13:J46,"L")</f>
        <v>11</v>
      </c>
      <c r="L47" s="53"/>
      <c r="AD47" s="1" t="s">
        <v>241</v>
      </c>
      <c r="AE47" s="2" t="n">
        <f aca="false">MAX(AE13:AE46)</f>
        <v>820</v>
      </c>
      <c r="AF47" s="54"/>
    </row>
    <row r="48" customFormat="false" ht="13.5" hidden="false" customHeight="true" outlineLevel="0" collapsed="false">
      <c r="A48" s="55"/>
      <c r="E48" s="2"/>
      <c r="H48" s="17" t="s">
        <v>242</v>
      </c>
      <c r="I48" s="1"/>
      <c r="J48" s="1" t="n">
        <f aca="false">COUNTIF(J13:O47,"P")</f>
        <v>23</v>
      </c>
      <c r="K48" s="53"/>
      <c r="M48" s="4"/>
      <c r="N48" s="2"/>
      <c r="AD48" s="1" t="s">
        <v>243</v>
      </c>
      <c r="AE48" s="2" t="n">
        <f aca="false">MIN(AE13:AE46)</f>
        <v>252</v>
      </c>
      <c r="AF48" s="54"/>
    </row>
    <row r="49" customFormat="false" ht="13.5" hidden="false" customHeight="true" outlineLevel="0" collapsed="false">
      <c r="L49" s="53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1" t="s">
        <v>244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60" customFormat="true" ht="13.5" hidden="false" customHeight="true" outlineLevel="0" collapsed="false">
      <c r="A59" s="2"/>
      <c r="B59" s="16"/>
      <c r="C59" s="2"/>
      <c r="D59" s="56"/>
      <c r="E59" s="4"/>
      <c r="F59" s="16"/>
      <c r="G59" s="16"/>
      <c r="H59" s="57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8"/>
      <c r="U59" s="58"/>
      <c r="V59" s="59"/>
      <c r="W59" s="58"/>
      <c r="Y59" s="58"/>
      <c r="Z59" s="58"/>
      <c r="AA59" s="58"/>
      <c r="AB59" s="58"/>
      <c r="AC59" s="61"/>
      <c r="AD59" s="58"/>
      <c r="AF59" s="58"/>
      <c r="AG59" s="58"/>
      <c r="AH59" s="58"/>
      <c r="AI59" s="58"/>
      <c r="AJ59" s="58"/>
      <c r="AK59" s="58"/>
    </row>
    <row r="60" customFormat="false" ht="13.5" hidden="false" customHeight="true" outlineLevel="0" collapsed="false">
      <c r="A60" s="15" t="s">
        <v>246</v>
      </c>
      <c r="B60" s="16"/>
      <c r="F60" s="16"/>
      <c r="G60" s="16"/>
      <c r="H60" s="57" t="s">
        <v>8</v>
      </c>
      <c r="I60" s="16" t="s">
        <v>247</v>
      </c>
      <c r="J60" s="62" t="s">
        <v>248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249</v>
      </c>
      <c r="X61" s="26"/>
      <c r="Y61" s="26" t="s">
        <v>250</v>
      </c>
      <c r="Z61" s="26" t="s">
        <v>251</v>
      </c>
      <c r="AA61" s="26" t="s">
        <v>252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1" t="n">
        <v>1</v>
      </c>
      <c r="B62" s="31" t="n">
        <v>113</v>
      </c>
      <c r="C62" s="32" t="s">
        <v>253</v>
      </c>
      <c r="D62" s="33" t="n">
        <v>242510353</v>
      </c>
      <c r="E62" s="33" t="s">
        <v>254</v>
      </c>
      <c r="F62" s="32" t="s">
        <v>255</v>
      </c>
      <c r="G62" s="32" t="s">
        <v>256</v>
      </c>
      <c r="H62" s="34" t="s">
        <v>257</v>
      </c>
      <c r="I62" s="32" t="s">
        <v>51</v>
      </c>
      <c r="J62" s="35" t="s">
        <v>52</v>
      </c>
      <c r="K62" s="36" t="s">
        <v>257</v>
      </c>
      <c r="L62" s="37" t="n">
        <v>39890</v>
      </c>
      <c r="M62" s="44" t="s">
        <v>60</v>
      </c>
      <c r="N62" s="26" t="s">
        <v>258</v>
      </c>
      <c r="O62" s="39" t="n">
        <v>100</v>
      </c>
      <c r="P62" s="32" t="n">
        <v>100</v>
      </c>
      <c r="Q62" s="31" t="n">
        <v>1</v>
      </c>
      <c r="R62" s="31" t="n">
        <v>100</v>
      </c>
      <c r="S62" s="31" t="n">
        <v>100</v>
      </c>
      <c r="T62" s="31" t="n">
        <v>100</v>
      </c>
      <c r="U62" s="31"/>
      <c r="V62" s="39"/>
      <c r="W62" s="31"/>
      <c r="X62" s="32"/>
      <c r="Y62" s="31"/>
      <c r="Z62" s="31" t="s">
        <v>259</v>
      </c>
      <c r="AA62" s="31" t="n">
        <v>100</v>
      </c>
      <c r="AB62" s="63"/>
      <c r="AC62" s="64" t="n">
        <f aca="false">O62+P62+R62+S62+T62+AA62</f>
        <v>600</v>
      </c>
      <c r="AD62" s="39" t="n">
        <f aca="false">(Q62+U62+W62+Y62)*100</f>
        <v>100</v>
      </c>
      <c r="AE62" s="41" t="n">
        <f aca="false">(0.8*AC62)+(0.2*AD62)</f>
        <v>500</v>
      </c>
      <c r="AF62" s="65" t="n">
        <f aca="false">84+((AE62-$AE$99)/($AE$98-$AE$99)*(92-84))</f>
        <v>89.5238095238095</v>
      </c>
      <c r="AG62" s="1" t="n">
        <v>2</v>
      </c>
    </row>
    <row r="63" customFormat="false" ht="13.5" hidden="false" customHeight="true" outlineLevel="0" collapsed="false">
      <c r="A63" s="31" t="n">
        <v>2</v>
      </c>
      <c r="B63" s="31" t="n">
        <v>114</v>
      </c>
      <c r="C63" s="32" t="s">
        <v>260</v>
      </c>
      <c r="D63" s="33" t="n">
        <v>242510041</v>
      </c>
      <c r="E63" s="33" t="s">
        <v>261</v>
      </c>
      <c r="F63" s="32" t="s">
        <v>262</v>
      </c>
      <c r="G63" s="32" t="s">
        <v>263</v>
      </c>
      <c r="H63" s="34" t="s">
        <v>264</v>
      </c>
      <c r="I63" s="32" t="s">
        <v>51</v>
      </c>
      <c r="J63" s="35" t="s">
        <v>52</v>
      </c>
      <c r="K63" s="36" t="s">
        <v>264</v>
      </c>
      <c r="L63" s="37" t="n">
        <v>39837</v>
      </c>
      <c r="M63" s="44" t="s">
        <v>60</v>
      </c>
      <c r="N63" s="26" t="s">
        <v>258</v>
      </c>
      <c r="O63" s="39" t="n">
        <v>100</v>
      </c>
      <c r="P63" s="32" t="n">
        <v>100</v>
      </c>
      <c r="Q63" s="66" t="n">
        <v>1</v>
      </c>
      <c r="R63" s="31" t="n">
        <v>100</v>
      </c>
      <c r="S63" s="31" t="n">
        <v>100</v>
      </c>
      <c r="T63" s="31" t="n">
        <v>100</v>
      </c>
      <c r="U63" s="31"/>
      <c r="V63" s="39"/>
      <c r="W63" s="31"/>
      <c r="X63" s="32"/>
      <c r="Y63" s="31"/>
      <c r="Z63" s="31" t="s">
        <v>259</v>
      </c>
      <c r="AA63" s="31" t="n">
        <v>100</v>
      </c>
      <c r="AB63" s="63"/>
      <c r="AC63" s="64" t="n">
        <f aca="false">O63+P63+R63+S63+T63+AA63</f>
        <v>600</v>
      </c>
      <c r="AD63" s="39" t="n">
        <f aca="false">(Q63+U63+W63+Y63)*100</f>
        <v>100</v>
      </c>
      <c r="AE63" s="41" t="n">
        <f aca="false">(0.8*AC63)+(0.2*AD63)</f>
        <v>500</v>
      </c>
      <c r="AF63" s="65" t="n">
        <f aca="false">84+((AE63-$AE$99)/($AE$98-$AE$99)*(92-84))</f>
        <v>89.5238095238095</v>
      </c>
      <c r="AG63" s="1" t="n">
        <v>1</v>
      </c>
      <c r="AH63" s="1" t="n">
        <v>2</v>
      </c>
    </row>
    <row r="64" customFormat="false" ht="13.5" hidden="false" customHeight="true" outlineLevel="0" collapsed="false">
      <c r="A64" s="31" t="n">
        <v>3</v>
      </c>
      <c r="B64" s="31" t="n">
        <v>115</v>
      </c>
      <c r="C64" s="32" t="s">
        <v>265</v>
      </c>
      <c r="D64" s="33" t="n">
        <v>242510164</v>
      </c>
      <c r="E64" s="33" t="s">
        <v>266</v>
      </c>
      <c r="F64" s="32" t="s">
        <v>267</v>
      </c>
      <c r="G64" s="32" t="s">
        <v>268</v>
      </c>
      <c r="H64" s="34" t="s">
        <v>269</v>
      </c>
      <c r="I64" s="32" t="s">
        <v>153</v>
      </c>
      <c r="J64" s="35" t="s">
        <v>52</v>
      </c>
      <c r="K64" s="36" t="s">
        <v>269</v>
      </c>
      <c r="L64" s="37" t="n">
        <v>39838</v>
      </c>
      <c r="M64" s="47" t="s">
        <v>78</v>
      </c>
      <c r="N64" s="26" t="s">
        <v>258</v>
      </c>
      <c r="O64" s="39" t="n">
        <v>100</v>
      </c>
      <c r="P64" s="32" t="n">
        <v>100</v>
      </c>
      <c r="Q64" s="31"/>
      <c r="R64" s="31" t="n">
        <v>100</v>
      </c>
      <c r="S64" s="31" t="n">
        <v>100</v>
      </c>
      <c r="T64" s="31" t="n">
        <v>80</v>
      </c>
      <c r="U64" s="31"/>
      <c r="V64" s="39"/>
      <c r="W64" s="31"/>
      <c r="X64" s="32"/>
      <c r="Y64" s="31"/>
      <c r="Z64" s="31" t="s">
        <v>259</v>
      </c>
      <c r="AA64" s="31" t="n">
        <v>95</v>
      </c>
      <c r="AB64" s="67"/>
      <c r="AC64" s="64" t="n">
        <f aca="false">O64+P64+R64+S64+T64+AA64</f>
        <v>575</v>
      </c>
      <c r="AD64" s="39" t="n">
        <f aca="false">(Q64+U64+W64+Y64)*100</f>
        <v>0</v>
      </c>
      <c r="AE64" s="41" t="n">
        <f aca="false">(0.8*AC64)+(0.2*AD64)</f>
        <v>460</v>
      </c>
      <c r="AF64" s="65" t="n">
        <f aca="false">84+((AE64-$AE$99)/($AE$98-$AE$99)*(92-84))</f>
        <v>87.6190476190476</v>
      </c>
      <c r="AH64" s="1" t="n">
        <v>3</v>
      </c>
    </row>
    <row r="65" customFormat="false" ht="13.5" hidden="false" customHeight="true" outlineLevel="0" collapsed="false">
      <c r="A65" s="31" t="n">
        <v>4</v>
      </c>
      <c r="B65" s="31" t="n">
        <v>116</v>
      </c>
      <c r="C65" s="32" t="s">
        <v>270</v>
      </c>
      <c r="D65" s="33" t="n">
        <v>242510166</v>
      </c>
      <c r="E65" s="33" t="s">
        <v>271</v>
      </c>
      <c r="F65" s="32" t="s">
        <v>272</v>
      </c>
      <c r="G65" s="32" t="s">
        <v>273</v>
      </c>
      <c r="H65" s="34" t="s">
        <v>274</v>
      </c>
      <c r="I65" s="32" t="s">
        <v>135</v>
      </c>
      <c r="J65" s="35" t="s">
        <v>52</v>
      </c>
      <c r="K65" s="36" t="s">
        <v>274</v>
      </c>
      <c r="L65" s="37" t="n">
        <v>39617</v>
      </c>
      <c r="M65" s="47" t="s">
        <v>78</v>
      </c>
      <c r="N65" s="26" t="s">
        <v>258</v>
      </c>
      <c r="O65" s="39" t="n">
        <v>100</v>
      </c>
      <c r="P65" s="32" t="n">
        <v>100</v>
      </c>
      <c r="Q65" s="31"/>
      <c r="R65" s="31" t="n">
        <v>100</v>
      </c>
      <c r="S65" s="31" t="n">
        <v>100</v>
      </c>
      <c r="T65" s="31" t="n">
        <v>100</v>
      </c>
      <c r="U65" s="31"/>
      <c r="V65" s="39"/>
      <c r="W65" s="31" t="n">
        <v>1</v>
      </c>
      <c r="X65" s="32"/>
      <c r="Y65" s="31"/>
      <c r="Z65" s="31" t="s">
        <v>259</v>
      </c>
      <c r="AA65" s="31" t="n">
        <v>100</v>
      </c>
      <c r="AB65" s="63"/>
      <c r="AC65" s="64" t="n">
        <f aca="false">O65+P65+R65+S65+T65+AA65</f>
        <v>600</v>
      </c>
      <c r="AD65" s="39" t="n">
        <f aca="false">(Q65+U65+W65+Y65)*100</f>
        <v>100</v>
      </c>
      <c r="AE65" s="41" t="n">
        <f aca="false">(0.8*AC65)+(0.2*AD65)</f>
        <v>500</v>
      </c>
      <c r="AF65" s="65" t="n">
        <f aca="false">84+((AE65-$AE$99)/($AE$98-$AE$99)*(92-84))</f>
        <v>89.5238095238095</v>
      </c>
      <c r="AG65" s="1" t="n">
        <v>2</v>
      </c>
      <c r="AH65" s="1" t="n">
        <v>3</v>
      </c>
    </row>
    <row r="66" customFormat="false" ht="13.5" hidden="false" customHeight="true" outlineLevel="0" collapsed="false">
      <c r="A66" s="31" t="n">
        <v>5</v>
      </c>
      <c r="B66" s="31" t="n">
        <v>117</v>
      </c>
      <c r="C66" s="32" t="s">
        <v>275</v>
      </c>
      <c r="D66" s="33" t="n">
        <v>242510086</v>
      </c>
      <c r="E66" s="33" t="s">
        <v>276</v>
      </c>
      <c r="F66" s="32" t="s">
        <v>277</v>
      </c>
      <c r="G66" s="32" t="s">
        <v>278</v>
      </c>
      <c r="H66" s="34" t="s">
        <v>279</v>
      </c>
      <c r="I66" s="32" t="s">
        <v>51</v>
      </c>
      <c r="J66" s="35" t="s">
        <v>52</v>
      </c>
      <c r="K66" s="36" t="s">
        <v>279</v>
      </c>
      <c r="L66" s="37" t="n">
        <v>39891</v>
      </c>
      <c r="M66" s="47" t="s">
        <v>78</v>
      </c>
      <c r="N66" s="26" t="s">
        <v>258</v>
      </c>
      <c r="O66" s="39" t="n">
        <v>100</v>
      </c>
      <c r="P66" s="32" t="n">
        <v>100</v>
      </c>
      <c r="Q66" s="31"/>
      <c r="R66" s="31" t="n">
        <v>100</v>
      </c>
      <c r="S66" s="31" t="n">
        <v>100</v>
      </c>
      <c r="T66" s="31" t="n">
        <v>80</v>
      </c>
      <c r="U66" s="31"/>
      <c r="V66" s="39"/>
      <c r="W66" s="31"/>
      <c r="X66" s="32"/>
      <c r="Y66" s="31"/>
      <c r="Z66" s="31" t="s">
        <v>259</v>
      </c>
      <c r="AA66" s="31" t="n">
        <v>100</v>
      </c>
      <c r="AB66" s="63"/>
      <c r="AC66" s="64" t="n">
        <f aca="false">O66+P66+R66+S66+T66+AA66</f>
        <v>580</v>
      </c>
      <c r="AD66" s="39" t="n">
        <f aca="false">(Q66+U66+W66+Y66)*100</f>
        <v>0</v>
      </c>
      <c r="AE66" s="41" t="n">
        <f aca="false">(0.8*AC66)+(0.2*AD66)</f>
        <v>464</v>
      </c>
      <c r="AF66" s="65" t="n">
        <f aca="false">84+((AE66-$AE$99)/($AE$98-$AE$99)*(92-84))</f>
        <v>87.8095238095238</v>
      </c>
      <c r="AH66" s="1" t="n">
        <v>1</v>
      </c>
    </row>
    <row r="67" customFormat="false" ht="13.5" hidden="false" customHeight="true" outlineLevel="0" collapsed="false">
      <c r="A67" s="31" t="n">
        <v>6</v>
      </c>
      <c r="B67" s="31" t="n">
        <v>118</v>
      </c>
      <c r="C67" s="32" t="s">
        <v>280</v>
      </c>
      <c r="D67" s="33" t="n">
        <v>242510043</v>
      </c>
      <c r="E67" s="33" t="s">
        <v>281</v>
      </c>
      <c r="F67" s="32" t="s">
        <v>282</v>
      </c>
      <c r="G67" s="32" t="s">
        <v>283</v>
      </c>
      <c r="H67" s="34" t="s">
        <v>284</v>
      </c>
      <c r="I67" s="32" t="s">
        <v>285</v>
      </c>
      <c r="J67" s="35" t="s">
        <v>66</v>
      </c>
      <c r="K67" s="36" t="s">
        <v>284</v>
      </c>
      <c r="L67" s="37" t="n">
        <v>39699</v>
      </c>
      <c r="M67" s="50" t="s">
        <v>147</v>
      </c>
      <c r="N67" s="26" t="s">
        <v>258</v>
      </c>
      <c r="O67" s="39" t="n">
        <v>100</v>
      </c>
      <c r="P67" s="32" t="n">
        <v>100</v>
      </c>
      <c r="Q67" s="31"/>
      <c r="R67" s="31" t="n">
        <v>100</v>
      </c>
      <c r="S67" s="31" t="n">
        <v>100</v>
      </c>
      <c r="T67" s="31" t="n">
        <v>100</v>
      </c>
      <c r="U67" s="31"/>
      <c r="V67" s="39"/>
      <c r="W67" s="31"/>
      <c r="X67" s="32"/>
      <c r="Y67" s="31"/>
      <c r="Z67" s="31" t="s">
        <v>259</v>
      </c>
      <c r="AA67" s="31" t="n">
        <v>95</v>
      </c>
      <c r="AB67" s="63"/>
      <c r="AC67" s="64" t="n">
        <f aca="false">O67+P67+R67+S67+T67+AA67</f>
        <v>595</v>
      </c>
      <c r="AD67" s="39" t="n">
        <f aca="false">(Q67+U67+W67+Y67)*100</f>
        <v>0</v>
      </c>
      <c r="AE67" s="41" t="n">
        <f aca="false">(0.8*AC67)+(0.2*AD67)</f>
        <v>476</v>
      </c>
      <c r="AF67" s="65" t="n">
        <f aca="false">84+((AE67-$AE$99)/($AE$98-$AE$99)*(92-84))</f>
        <v>88.3809523809524</v>
      </c>
    </row>
    <row r="68" customFormat="false" ht="13.5" hidden="false" customHeight="true" outlineLevel="0" collapsed="false">
      <c r="A68" s="31" t="n">
        <v>7</v>
      </c>
      <c r="B68" s="31" t="n">
        <v>119</v>
      </c>
      <c r="C68" s="32" t="s">
        <v>286</v>
      </c>
      <c r="D68" s="33" t="n">
        <v>242510394</v>
      </c>
      <c r="E68" s="33" t="s">
        <v>287</v>
      </c>
      <c r="F68" s="32" t="s">
        <v>288</v>
      </c>
      <c r="G68" s="32" t="s">
        <v>289</v>
      </c>
      <c r="H68" s="34" t="s">
        <v>290</v>
      </c>
      <c r="I68" s="32" t="s">
        <v>51</v>
      </c>
      <c r="J68" s="35" t="s">
        <v>52</v>
      </c>
      <c r="K68" s="36" t="s">
        <v>290</v>
      </c>
      <c r="L68" s="37" t="n">
        <v>39736</v>
      </c>
      <c r="M68" s="47" t="s">
        <v>78</v>
      </c>
      <c r="N68" s="26" t="s">
        <v>258</v>
      </c>
      <c r="O68" s="39" t="n">
        <v>100</v>
      </c>
      <c r="P68" s="32" t="n">
        <v>100</v>
      </c>
      <c r="Q68" s="31"/>
      <c r="R68" s="31" t="n">
        <v>100</v>
      </c>
      <c r="S68" s="31" t="n">
        <v>100</v>
      </c>
      <c r="T68" s="31" t="n">
        <v>80</v>
      </c>
      <c r="U68" s="31"/>
      <c r="V68" s="39"/>
      <c r="W68" s="31"/>
      <c r="X68" s="32"/>
      <c r="Y68" s="31"/>
      <c r="Z68" s="31" t="s">
        <v>259</v>
      </c>
      <c r="AA68" s="31" t="n">
        <v>95</v>
      </c>
      <c r="AB68" s="63"/>
      <c r="AC68" s="64" t="n">
        <f aca="false">O68+P68+R68+S68+T68+AA68</f>
        <v>575</v>
      </c>
      <c r="AD68" s="39" t="n">
        <f aca="false">(Q68+U68+W68+Y68)*100</f>
        <v>0</v>
      </c>
      <c r="AE68" s="41" t="n">
        <f aca="false">(0.8*AC68)+(0.2*AD68)</f>
        <v>460</v>
      </c>
      <c r="AF68" s="65" t="n">
        <f aca="false">84+((AE68-$AE$99)/($AE$98-$AE$99)*(92-84))</f>
        <v>87.6190476190476</v>
      </c>
    </row>
    <row r="69" customFormat="false" ht="13.5" hidden="false" customHeight="true" outlineLevel="0" collapsed="false">
      <c r="A69" s="31" t="n">
        <v>8</v>
      </c>
      <c r="B69" s="31" t="n">
        <v>120</v>
      </c>
      <c r="C69" s="32" t="s">
        <v>291</v>
      </c>
      <c r="D69" s="33" t="n">
        <v>242510288</v>
      </c>
      <c r="E69" s="33" t="s">
        <v>292</v>
      </c>
      <c r="F69" s="32" t="s">
        <v>293</v>
      </c>
      <c r="G69" s="32" t="s">
        <v>294</v>
      </c>
      <c r="H69" s="34" t="s">
        <v>295</v>
      </c>
      <c r="I69" s="32" t="s">
        <v>51</v>
      </c>
      <c r="J69" s="35" t="s">
        <v>66</v>
      </c>
      <c r="K69" s="36" t="s">
        <v>295</v>
      </c>
      <c r="L69" s="37" t="n">
        <v>39872</v>
      </c>
      <c r="M69" s="45" t="s">
        <v>67</v>
      </c>
      <c r="N69" s="26" t="s">
        <v>258</v>
      </c>
      <c r="O69" s="39" t="n">
        <v>100</v>
      </c>
      <c r="P69" s="32" t="n">
        <v>100</v>
      </c>
      <c r="Q69" s="31"/>
      <c r="R69" s="31" t="n">
        <v>100</v>
      </c>
      <c r="S69" s="31" t="n">
        <v>100</v>
      </c>
      <c r="T69" s="31" t="n">
        <v>80</v>
      </c>
      <c r="U69" s="31" t="n">
        <v>1</v>
      </c>
      <c r="V69" s="39"/>
      <c r="W69" s="31"/>
      <c r="X69" s="32"/>
      <c r="Y69" s="31"/>
      <c r="Z69" s="31" t="s">
        <v>259</v>
      </c>
      <c r="AA69" s="31" t="n">
        <v>95</v>
      </c>
      <c r="AB69" s="63"/>
      <c r="AC69" s="64" t="n">
        <f aca="false">O69+P69+R69+S69+T69+AA69</f>
        <v>575</v>
      </c>
      <c r="AD69" s="39" t="n">
        <f aca="false">(Q69+U69+W69+Y69)*100</f>
        <v>100</v>
      </c>
      <c r="AE69" s="41" t="n">
        <f aca="false">(0.8*AC69)+(0.2*AD69)</f>
        <v>480</v>
      </c>
      <c r="AF69" s="65" t="n">
        <f aca="false">84+((AE69-$AE$99)/($AE$98-$AE$99)*(92-84))</f>
        <v>88.5714285714286</v>
      </c>
      <c r="AH69" s="1" t="n">
        <v>3</v>
      </c>
    </row>
    <row r="70" customFormat="false" ht="13.5" hidden="false" customHeight="true" outlineLevel="0" collapsed="false">
      <c r="A70" s="31" t="n">
        <v>9</v>
      </c>
      <c r="B70" s="31" t="n">
        <v>121</v>
      </c>
      <c r="C70" s="32" t="s">
        <v>296</v>
      </c>
      <c r="D70" s="33" t="n">
        <v>242510396</v>
      </c>
      <c r="E70" s="33" t="s">
        <v>297</v>
      </c>
      <c r="F70" s="32" t="s">
        <v>298</v>
      </c>
      <c r="G70" s="32" t="s">
        <v>299</v>
      </c>
      <c r="H70" s="34" t="s">
        <v>300</v>
      </c>
      <c r="I70" s="32" t="s">
        <v>301</v>
      </c>
      <c r="J70" s="35" t="s">
        <v>52</v>
      </c>
      <c r="K70" s="36" t="s">
        <v>300</v>
      </c>
      <c r="L70" s="37" t="n">
        <v>39951</v>
      </c>
      <c r="M70" s="45" t="s">
        <v>67</v>
      </c>
      <c r="N70" s="26" t="s">
        <v>258</v>
      </c>
      <c r="O70" s="39" t="n">
        <v>100</v>
      </c>
      <c r="P70" s="32" t="n">
        <v>100</v>
      </c>
      <c r="Q70" s="31"/>
      <c r="R70" s="31" t="n">
        <v>100</v>
      </c>
      <c r="S70" s="31" t="n">
        <v>100</v>
      </c>
      <c r="T70" s="31"/>
      <c r="U70" s="31" t="n">
        <v>1</v>
      </c>
      <c r="V70" s="39"/>
      <c r="W70" s="31" t="n">
        <v>1</v>
      </c>
      <c r="X70" s="32"/>
      <c r="Y70" s="31" t="n">
        <v>1</v>
      </c>
      <c r="Z70" s="31" t="s">
        <v>259</v>
      </c>
      <c r="AA70" s="31" t="n">
        <v>100</v>
      </c>
      <c r="AB70" s="63"/>
      <c r="AC70" s="64" t="n">
        <f aca="false">O70+P70+R70+S70+T70+AA70</f>
        <v>500</v>
      </c>
      <c r="AD70" s="39" t="n">
        <f aca="false">(Q70+U70+W70+Y70)*100</f>
        <v>300</v>
      </c>
      <c r="AE70" s="41" t="n">
        <f aca="false">(0.8*AC70)+(0.2*AD70)</f>
        <v>460</v>
      </c>
      <c r="AF70" s="65" t="n">
        <f aca="false">84+((AE70-$AE$99)/($AE$98-$AE$99)*(92-84))</f>
        <v>87.6190476190476</v>
      </c>
      <c r="AG70" s="1" t="n">
        <v>2</v>
      </c>
      <c r="AH70" s="1" t="n">
        <v>1</v>
      </c>
    </row>
    <row r="71" customFormat="false" ht="13.5" hidden="false" customHeight="true" outlineLevel="0" collapsed="false">
      <c r="A71" s="31" t="n">
        <v>10</v>
      </c>
      <c r="B71" s="31" t="n">
        <v>122</v>
      </c>
      <c r="C71" s="32" t="s">
        <v>302</v>
      </c>
      <c r="D71" s="33" t="n">
        <v>242510046</v>
      </c>
      <c r="E71" s="33" t="s">
        <v>303</v>
      </c>
      <c r="F71" s="32" t="s">
        <v>304</v>
      </c>
      <c r="G71" s="32" t="s">
        <v>305</v>
      </c>
      <c r="H71" s="34" t="s">
        <v>306</v>
      </c>
      <c r="I71" s="32" t="s">
        <v>186</v>
      </c>
      <c r="J71" s="35" t="s">
        <v>66</v>
      </c>
      <c r="K71" s="36" t="s">
        <v>306</v>
      </c>
      <c r="L71" s="37" t="n">
        <v>39857</v>
      </c>
      <c r="M71" s="44" t="s">
        <v>60</v>
      </c>
      <c r="N71" s="26" t="s">
        <v>258</v>
      </c>
      <c r="O71" s="39" t="n">
        <v>100</v>
      </c>
      <c r="P71" s="32" t="n">
        <v>100</v>
      </c>
      <c r="Q71" s="31"/>
      <c r="R71" s="31" t="n">
        <v>100</v>
      </c>
      <c r="S71" s="31" t="n">
        <v>100</v>
      </c>
      <c r="T71" s="31" t="n">
        <v>80</v>
      </c>
      <c r="U71" s="31"/>
      <c r="V71" s="39"/>
      <c r="W71" s="31"/>
      <c r="X71" s="32"/>
      <c r="Y71" s="31"/>
      <c r="Z71" s="31" t="s">
        <v>259</v>
      </c>
      <c r="AA71" s="31" t="n">
        <v>80</v>
      </c>
      <c r="AB71" s="63"/>
      <c r="AC71" s="64" t="n">
        <f aca="false">O71+P71+R71+S71+T71+AA71</f>
        <v>560</v>
      </c>
      <c r="AD71" s="39" t="n">
        <f aca="false">(Q71+U71+W71+Y71)*100</f>
        <v>0</v>
      </c>
      <c r="AE71" s="41" t="n">
        <f aca="false">(0.8*AC71)+(0.2*AD71)</f>
        <v>448</v>
      </c>
      <c r="AF71" s="65" t="n">
        <f aca="false">84+((AE71-$AE$99)/($AE$98-$AE$99)*(92-84))</f>
        <v>87.0476190476191</v>
      </c>
    </row>
    <row r="72" customFormat="false" ht="13.5" hidden="false" customHeight="true" outlineLevel="0" collapsed="false">
      <c r="A72" s="31" t="n">
        <v>11</v>
      </c>
      <c r="B72" s="31" t="n">
        <v>123</v>
      </c>
      <c r="C72" s="32" t="s">
        <v>307</v>
      </c>
      <c r="D72" s="33" t="n">
        <v>242510093</v>
      </c>
      <c r="E72" s="33" t="s">
        <v>308</v>
      </c>
      <c r="F72" s="32" t="s">
        <v>309</v>
      </c>
      <c r="G72" s="32" t="s">
        <v>310</v>
      </c>
      <c r="H72" s="34" t="s">
        <v>311</v>
      </c>
      <c r="I72" s="32" t="s">
        <v>51</v>
      </c>
      <c r="J72" s="35" t="s">
        <v>66</v>
      </c>
      <c r="K72" s="36" t="s">
        <v>311</v>
      </c>
      <c r="L72" s="37" t="n">
        <v>39981</v>
      </c>
      <c r="M72" s="47" t="s">
        <v>78</v>
      </c>
      <c r="N72" s="26" t="s">
        <v>258</v>
      </c>
      <c r="O72" s="39" t="n">
        <v>100</v>
      </c>
      <c r="P72" s="32" t="n">
        <v>100</v>
      </c>
      <c r="Q72" s="31"/>
      <c r="R72" s="31" t="n">
        <v>100</v>
      </c>
      <c r="S72" s="31" t="n">
        <v>100</v>
      </c>
      <c r="T72" s="31" t="n">
        <v>100</v>
      </c>
      <c r="U72" s="31"/>
      <c r="V72" s="39"/>
      <c r="W72" s="31"/>
      <c r="X72" s="32"/>
      <c r="Y72" s="31"/>
      <c r="Z72" s="31" t="s">
        <v>259</v>
      </c>
      <c r="AA72" s="31" t="n">
        <v>95</v>
      </c>
      <c r="AB72" s="63"/>
      <c r="AC72" s="64" t="n">
        <f aca="false">O72+P72+R72+S72+T72+AA72</f>
        <v>595</v>
      </c>
      <c r="AD72" s="39" t="n">
        <f aca="false">(Q72+U72+W72+Y72)*100</f>
        <v>0</v>
      </c>
      <c r="AE72" s="41" t="n">
        <f aca="false">(0.8*AC72)+(0.2*AD72)</f>
        <v>476</v>
      </c>
      <c r="AF72" s="65" t="n">
        <f aca="false">84+((AE72-$AE$99)/($AE$98-$AE$99)*(92-84))</f>
        <v>88.3809523809524</v>
      </c>
    </row>
    <row r="73" customFormat="false" ht="13.5" hidden="false" customHeight="true" outlineLevel="0" collapsed="false">
      <c r="A73" s="31" t="n">
        <v>12</v>
      </c>
      <c r="B73" s="31" t="n">
        <v>124</v>
      </c>
      <c r="C73" s="32" t="s">
        <v>312</v>
      </c>
      <c r="D73" s="33" t="n">
        <v>242510213</v>
      </c>
      <c r="E73" s="33" t="s">
        <v>313</v>
      </c>
      <c r="F73" s="32" t="s">
        <v>314</v>
      </c>
      <c r="G73" s="32" t="s">
        <v>315</v>
      </c>
      <c r="H73" s="34" t="s">
        <v>316</v>
      </c>
      <c r="I73" s="32" t="s">
        <v>317</v>
      </c>
      <c r="J73" s="35" t="s">
        <v>66</v>
      </c>
      <c r="K73" s="36" t="s">
        <v>316</v>
      </c>
      <c r="L73" s="37" t="n">
        <v>39943</v>
      </c>
      <c r="M73" s="45" t="s">
        <v>67</v>
      </c>
      <c r="N73" s="26" t="s">
        <v>258</v>
      </c>
      <c r="O73" s="39" t="n">
        <v>100</v>
      </c>
      <c r="P73" s="32" t="n">
        <v>100</v>
      </c>
      <c r="Q73" s="31"/>
      <c r="R73" s="31" t="n">
        <v>100</v>
      </c>
      <c r="S73" s="31" t="n">
        <v>100</v>
      </c>
      <c r="T73" s="31" t="n">
        <v>100</v>
      </c>
      <c r="U73" s="31"/>
      <c r="V73" s="39"/>
      <c r="W73" s="31"/>
      <c r="X73" s="32"/>
      <c r="Y73" s="31"/>
      <c r="Z73" s="31" t="s">
        <v>259</v>
      </c>
      <c r="AA73" s="31" t="n">
        <v>100</v>
      </c>
      <c r="AB73" s="63"/>
      <c r="AC73" s="64" t="n">
        <f aca="false">O73+P73+R73+S73+T73+AA73</f>
        <v>600</v>
      </c>
      <c r="AD73" s="39" t="n">
        <f aca="false">(Q73+U73+W73+Y73)*100</f>
        <v>0</v>
      </c>
      <c r="AE73" s="41" t="n">
        <f aca="false">(0.8*AC73)+(0.2*AD73)</f>
        <v>480</v>
      </c>
      <c r="AF73" s="65" t="n">
        <f aca="false">84+((AE73-$AE$99)/($AE$98-$AE$99)*(92-84))</f>
        <v>88.5714285714286</v>
      </c>
      <c r="AG73" s="1" t="n">
        <v>2</v>
      </c>
    </row>
    <row r="74" customFormat="false" ht="13.5" hidden="false" customHeight="true" outlineLevel="0" collapsed="false">
      <c r="A74" s="31" t="n">
        <v>13</v>
      </c>
      <c r="B74" s="31" t="n">
        <v>125</v>
      </c>
      <c r="C74" s="32" t="s">
        <v>318</v>
      </c>
      <c r="D74" s="33" t="n">
        <v>242510096</v>
      </c>
      <c r="E74" s="33" t="s">
        <v>319</v>
      </c>
      <c r="F74" s="32" t="s">
        <v>320</v>
      </c>
      <c r="G74" s="32" t="s">
        <v>321</v>
      </c>
      <c r="H74" s="34" t="s">
        <v>322</v>
      </c>
      <c r="I74" s="32" t="s">
        <v>123</v>
      </c>
      <c r="J74" s="35" t="s">
        <v>52</v>
      </c>
      <c r="K74" s="36" t="s">
        <v>322</v>
      </c>
      <c r="L74" s="37" t="n">
        <v>39728</v>
      </c>
      <c r="M74" s="48" t="s">
        <v>112</v>
      </c>
      <c r="N74" s="26" t="s">
        <v>258</v>
      </c>
      <c r="O74" s="39" t="n">
        <v>100</v>
      </c>
      <c r="P74" s="32" t="n">
        <v>100</v>
      </c>
      <c r="Q74" s="31"/>
      <c r="R74" s="31" t="n">
        <v>100</v>
      </c>
      <c r="S74" s="31" t="n">
        <v>100</v>
      </c>
      <c r="T74" s="31"/>
      <c r="U74" s="31"/>
      <c r="V74" s="39"/>
      <c r="W74" s="31"/>
      <c r="X74" s="32"/>
      <c r="Y74" s="31"/>
      <c r="Z74" s="31" t="s">
        <v>259</v>
      </c>
      <c r="AA74" s="31" t="n">
        <v>90</v>
      </c>
      <c r="AB74" s="63"/>
      <c r="AC74" s="64" t="n">
        <f aca="false">O74+P74+R74+S74+T74+AA74</f>
        <v>490</v>
      </c>
      <c r="AD74" s="39" t="n">
        <f aca="false">(Q74+U74+W74+Y74)*100</f>
        <v>0</v>
      </c>
      <c r="AE74" s="41" t="n">
        <f aca="false">(0.8*AC74)+(0.2*AD74)</f>
        <v>392</v>
      </c>
      <c r="AF74" s="65" t="n">
        <f aca="false">84+((AE74-$AE$99)/($AE$98-$AE$99)*(92-84))</f>
        <v>84.3809523809524</v>
      </c>
    </row>
    <row r="75" customFormat="false" ht="13.5" hidden="false" customHeight="true" outlineLevel="0" collapsed="false">
      <c r="A75" s="31" t="n">
        <v>14</v>
      </c>
      <c r="B75" s="31" t="n">
        <v>126</v>
      </c>
      <c r="C75" s="32" t="s">
        <v>323</v>
      </c>
      <c r="D75" s="33" t="n">
        <v>242510293</v>
      </c>
      <c r="E75" s="33" t="s">
        <v>324</v>
      </c>
      <c r="F75" s="32" t="s">
        <v>325</v>
      </c>
      <c r="G75" s="32" t="s">
        <v>326</v>
      </c>
      <c r="H75" s="34" t="s">
        <v>327</v>
      </c>
      <c r="I75" s="32" t="s">
        <v>51</v>
      </c>
      <c r="J75" s="35" t="s">
        <v>66</v>
      </c>
      <c r="K75" s="36" t="s">
        <v>327</v>
      </c>
      <c r="L75" s="37" t="n">
        <v>39958</v>
      </c>
      <c r="M75" s="47" t="s">
        <v>78</v>
      </c>
      <c r="N75" s="26" t="s">
        <v>258</v>
      </c>
      <c r="O75" s="39" t="n">
        <v>100</v>
      </c>
      <c r="P75" s="32" t="n">
        <v>100</v>
      </c>
      <c r="Q75" s="66" t="n">
        <v>1</v>
      </c>
      <c r="R75" s="31" t="n">
        <v>100</v>
      </c>
      <c r="S75" s="31" t="n">
        <v>100</v>
      </c>
      <c r="T75" s="31" t="n">
        <v>90</v>
      </c>
      <c r="U75" s="31" t="n">
        <v>1</v>
      </c>
      <c r="V75" s="39"/>
      <c r="W75" s="31"/>
      <c r="X75" s="32"/>
      <c r="Y75" s="31" t="n">
        <v>2</v>
      </c>
      <c r="Z75" s="31" t="s">
        <v>259</v>
      </c>
      <c r="AA75" s="31" t="n">
        <v>100</v>
      </c>
      <c r="AB75" s="63"/>
      <c r="AC75" s="64" t="n">
        <f aca="false">O75+P75+R75+S75+T75+AA75</f>
        <v>590</v>
      </c>
      <c r="AD75" s="39" t="n">
        <f aca="false">(Q75+U75+W75+Y75)*100</f>
        <v>400</v>
      </c>
      <c r="AE75" s="41" t="n">
        <f aca="false">(0.8*AC75)+(0.2*AD75)</f>
        <v>552</v>
      </c>
      <c r="AF75" s="65" t="n">
        <f aca="false">84+((AE75-$AE$99)/($AE$98-$AE$99)*(92-84))</f>
        <v>92</v>
      </c>
      <c r="AG75" s="1" t="n">
        <v>2</v>
      </c>
      <c r="AH75" s="1" t="n">
        <v>3</v>
      </c>
    </row>
    <row r="76" customFormat="false" ht="13.5" hidden="false" customHeight="true" outlineLevel="0" collapsed="false">
      <c r="A76" s="31" t="n">
        <v>15</v>
      </c>
      <c r="B76" s="31" t="n">
        <v>127</v>
      </c>
      <c r="C76" s="32" t="s">
        <v>328</v>
      </c>
      <c r="D76" s="33" t="n">
        <v>242510333</v>
      </c>
      <c r="E76" s="33" t="s">
        <v>329</v>
      </c>
      <c r="F76" s="32" t="s">
        <v>330</v>
      </c>
      <c r="G76" s="32" t="s">
        <v>331</v>
      </c>
      <c r="H76" s="34" t="s">
        <v>332</v>
      </c>
      <c r="I76" s="32" t="s">
        <v>186</v>
      </c>
      <c r="J76" s="35" t="s">
        <v>52</v>
      </c>
      <c r="K76" s="36" t="s">
        <v>332</v>
      </c>
      <c r="L76" s="37" t="n">
        <v>39877</v>
      </c>
      <c r="M76" s="47" t="s">
        <v>78</v>
      </c>
      <c r="N76" s="26" t="s">
        <v>258</v>
      </c>
      <c r="O76" s="39" t="n">
        <v>100</v>
      </c>
      <c r="P76" s="32" t="n">
        <v>100</v>
      </c>
      <c r="Q76" s="31"/>
      <c r="R76" s="31" t="n">
        <v>100</v>
      </c>
      <c r="S76" s="31" t="n">
        <v>100</v>
      </c>
      <c r="T76" s="31" t="n">
        <v>90</v>
      </c>
      <c r="U76" s="31"/>
      <c r="V76" s="39"/>
      <c r="W76" s="31"/>
      <c r="X76" s="32"/>
      <c r="Y76" s="31"/>
      <c r="Z76" s="31" t="s">
        <v>259</v>
      </c>
      <c r="AA76" s="31" t="n">
        <v>95</v>
      </c>
      <c r="AB76" s="63"/>
      <c r="AC76" s="64" t="n">
        <f aca="false">O76+P76+R76+S76+T76+AA76</f>
        <v>585</v>
      </c>
      <c r="AD76" s="39" t="n">
        <f aca="false">(Q76+U76+W76+Y76)*100</f>
        <v>0</v>
      </c>
      <c r="AE76" s="41" t="n">
        <f aca="false">(0.8*AC76)+(0.2*AD76)</f>
        <v>468</v>
      </c>
      <c r="AF76" s="65" t="n">
        <f aca="false">84+((AE76-$AE$99)/($AE$98-$AE$99)*(92-84))</f>
        <v>88</v>
      </c>
      <c r="AH76" s="1" t="n">
        <v>2</v>
      </c>
    </row>
    <row r="77" customFormat="false" ht="13.5" hidden="false" customHeight="true" outlineLevel="0" collapsed="false">
      <c r="A77" s="31" t="n">
        <v>16</v>
      </c>
      <c r="B77" s="31" t="n">
        <v>128</v>
      </c>
      <c r="C77" s="32" t="s">
        <v>333</v>
      </c>
      <c r="D77" s="33" t="n">
        <v>242510256</v>
      </c>
      <c r="E77" s="33" t="s">
        <v>334</v>
      </c>
      <c r="F77" s="32" t="s">
        <v>335</v>
      </c>
      <c r="G77" s="32" t="s">
        <v>336</v>
      </c>
      <c r="H77" s="34" t="s">
        <v>337</v>
      </c>
      <c r="I77" s="32" t="s">
        <v>338</v>
      </c>
      <c r="J77" s="35" t="s">
        <v>52</v>
      </c>
      <c r="K77" s="36" t="s">
        <v>337</v>
      </c>
      <c r="L77" s="37" t="n">
        <v>39867</v>
      </c>
      <c r="M77" s="44" t="s">
        <v>60</v>
      </c>
      <c r="N77" s="26" t="s">
        <v>258</v>
      </c>
      <c r="O77" s="39" t="n">
        <v>100</v>
      </c>
      <c r="P77" s="32" t="n">
        <v>100</v>
      </c>
      <c r="Q77" s="31"/>
      <c r="R77" s="31" t="n">
        <v>100</v>
      </c>
      <c r="S77" s="31" t="n">
        <v>100</v>
      </c>
      <c r="T77" s="31" t="n">
        <v>100</v>
      </c>
      <c r="U77" s="31"/>
      <c r="V77" s="39"/>
      <c r="W77" s="31"/>
      <c r="X77" s="32"/>
      <c r="Y77" s="31"/>
      <c r="Z77" s="31" t="s">
        <v>259</v>
      </c>
      <c r="AA77" s="31" t="n">
        <v>95</v>
      </c>
      <c r="AB77" s="63"/>
      <c r="AC77" s="64" t="n">
        <f aca="false">O77+P77+R77+S77+T77+AA77</f>
        <v>595</v>
      </c>
      <c r="AD77" s="39" t="n">
        <f aca="false">(Q77+U77+W77+Y77)*100</f>
        <v>0</v>
      </c>
      <c r="AE77" s="41" t="n">
        <f aca="false">(0.8*AC77)+(0.2*AD77)</f>
        <v>476</v>
      </c>
      <c r="AF77" s="65" t="n">
        <f aca="false">84+((AE77-$AE$99)/($AE$98-$AE$99)*(92-84))</f>
        <v>88.3809523809524</v>
      </c>
      <c r="AG77" s="1" t="n">
        <v>3</v>
      </c>
      <c r="AH77" s="1" t="n">
        <v>2</v>
      </c>
    </row>
    <row r="78" customFormat="false" ht="13.5" hidden="false" customHeight="true" outlineLevel="0" collapsed="false">
      <c r="A78" s="31" t="n">
        <v>17</v>
      </c>
      <c r="B78" s="31" t="n">
        <v>129</v>
      </c>
      <c r="C78" s="32" t="s">
        <v>339</v>
      </c>
      <c r="D78" s="33" t="n">
        <v>242510334</v>
      </c>
      <c r="E78" s="33" t="s">
        <v>340</v>
      </c>
      <c r="F78" s="32" t="s">
        <v>341</v>
      </c>
      <c r="G78" s="32" t="s">
        <v>342</v>
      </c>
      <c r="H78" s="34" t="s">
        <v>343</v>
      </c>
      <c r="I78" s="32" t="s">
        <v>51</v>
      </c>
      <c r="J78" s="35" t="s">
        <v>52</v>
      </c>
      <c r="K78" s="36" t="s">
        <v>343</v>
      </c>
      <c r="L78" s="37" t="n">
        <v>39873</v>
      </c>
      <c r="M78" s="48" t="s">
        <v>112</v>
      </c>
      <c r="N78" s="26" t="s">
        <v>258</v>
      </c>
      <c r="O78" s="39" t="n">
        <v>100</v>
      </c>
      <c r="P78" s="32" t="n">
        <v>100</v>
      </c>
      <c r="Q78" s="66" t="n">
        <v>2</v>
      </c>
      <c r="R78" s="31" t="n">
        <v>100</v>
      </c>
      <c r="S78" s="31" t="n">
        <v>100</v>
      </c>
      <c r="T78" s="31" t="n">
        <v>100</v>
      </c>
      <c r="U78" s="31"/>
      <c r="V78" s="39"/>
      <c r="W78" s="31"/>
      <c r="X78" s="32"/>
      <c r="Y78" s="31"/>
      <c r="Z78" s="31" t="s">
        <v>259</v>
      </c>
      <c r="AA78" s="31" t="n">
        <v>95</v>
      </c>
      <c r="AB78" s="67"/>
      <c r="AC78" s="64" t="n">
        <f aca="false">O78+P78+R78+S78+T78+AA78</f>
        <v>595</v>
      </c>
      <c r="AD78" s="39" t="n">
        <f aca="false">(Q78+U78+W78+Y78)*100</f>
        <v>200</v>
      </c>
      <c r="AE78" s="41" t="n">
        <f aca="false">(0.8*AC78)+(0.2*AD78)</f>
        <v>516</v>
      </c>
      <c r="AF78" s="65" t="n">
        <f aca="false">84+((AE78-$AE$99)/($AE$98-$AE$99)*(92-84))</f>
        <v>90.2857142857143</v>
      </c>
      <c r="AH78" s="1" t="n">
        <v>1</v>
      </c>
    </row>
    <row r="79" customFormat="false" ht="13.5" hidden="false" customHeight="true" outlineLevel="0" collapsed="false">
      <c r="A79" s="31" t="n">
        <v>18</v>
      </c>
      <c r="B79" s="31" t="n">
        <v>130</v>
      </c>
      <c r="C79" s="32" t="s">
        <v>344</v>
      </c>
      <c r="D79" s="33" t="n">
        <v>242510369</v>
      </c>
      <c r="E79" s="33" t="s">
        <v>345</v>
      </c>
      <c r="F79" s="32" t="s">
        <v>346</v>
      </c>
      <c r="G79" s="32" t="s">
        <v>347</v>
      </c>
      <c r="H79" s="34" t="s">
        <v>348</v>
      </c>
      <c r="I79" s="32" t="s">
        <v>51</v>
      </c>
      <c r="J79" s="35" t="s">
        <v>52</v>
      </c>
      <c r="K79" s="36" t="s">
        <v>348</v>
      </c>
      <c r="L79" s="37" t="n">
        <v>39476</v>
      </c>
      <c r="M79" s="32" t="s">
        <v>78</v>
      </c>
      <c r="N79" s="26" t="s">
        <v>258</v>
      </c>
      <c r="O79" s="39" t="n">
        <v>100</v>
      </c>
      <c r="P79" s="32" t="n">
        <v>100</v>
      </c>
      <c r="Q79" s="31"/>
      <c r="R79" s="31" t="n">
        <v>100</v>
      </c>
      <c r="S79" s="31" t="n">
        <v>100</v>
      </c>
      <c r="T79" s="31" t="n">
        <v>80</v>
      </c>
      <c r="U79" s="31"/>
      <c r="V79" s="39"/>
      <c r="W79" s="31"/>
      <c r="X79" s="32"/>
      <c r="Y79" s="31"/>
      <c r="Z79" s="31" t="s">
        <v>259</v>
      </c>
      <c r="AA79" s="31" t="n">
        <v>100</v>
      </c>
      <c r="AB79" s="63"/>
      <c r="AC79" s="64" t="n">
        <f aca="false">O79+P79+R79+S79+T79+AA79</f>
        <v>580</v>
      </c>
      <c r="AD79" s="39" t="n">
        <f aca="false">(Q79+U79+W79+Y79)*100</f>
        <v>0</v>
      </c>
      <c r="AE79" s="41" t="n">
        <f aca="false">(0.8*AC79)+(0.2*AD79)</f>
        <v>464</v>
      </c>
      <c r="AF79" s="65" t="n">
        <f aca="false">84+((AE79-$AE$99)/($AE$98-$AE$99)*(92-84))</f>
        <v>87.8095238095238</v>
      </c>
    </row>
    <row r="80" customFormat="false" ht="13.5" hidden="false" customHeight="true" outlineLevel="0" collapsed="false">
      <c r="A80" s="31" t="n">
        <v>19</v>
      </c>
      <c r="B80" s="31" t="n">
        <v>131</v>
      </c>
      <c r="C80" s="32" t="s">
        <v>349</v>
      </c>
      <c r="D80" s="33" t="n">
        <v>242510404</v>
      </c>
      <c r="E80" s="33" t="s">
        <v>350</v>
      </c>
      <c r="F80" s="32" t="s">
        <v>351</v>
      </c>
      <c r="G80" s="32" t="s">
        <v>352</v>
      </c>
      <c r="H80" s="34" t="s">
        <v>353</v>
      </c>
      <c r="I80" s="32" t="s">
        <v>123</v>
      </c>
      <c r="J80" s="35" t="s">
        <v>52</v>
      </c>
      <c r="K80" s="36" t="s">
        <v>353</v>
      </c>
      <c r="L80" s="37" t="n">
        <v>39517</v>
      </c>
      <c r="M80" s="47" t="s">
        <v>78</v>
      </c>
      <c r="N80" s="26" t="s">
        <v>258</v>
      </c>
      <c r="O80" s="39" t="n">
        <v>100</v>
      </c>
      <c r="P80" s="32" t="n">
        <v>100</v>
      </c>
      <c r="Q80" s="31"/>
      <c r="R80" s="31" t="n">
        <v>100</v>
      </c>
      <c r="S80" s="31" t="n">
        <v>100</v>
      </c>
      <c r="T80" s="31" t="n">
        <v>80</v>
      </c>
      <c r="U80" s="31"/>
      <c r="V80" s="39"/>
      <c r="W80" s="31"/>
      <c r="X80" s="32"/>
      <c r="Y80" s="31"/>
      <c r="Z80" s="31" t="s">
        <v>259</v>
      </c>
      <c r="AA80" s="31" t="n">
        <v>95</v>
      </c>
      <c r="AB80" s="63"/>
      <c r="AC80" s="64" t="n">
        <f aca="false">O80+P80+R80+S80+T80+AA80</f>
        <v>575</v>
      </c>
      <c r="AD80" s="39" t="n">
        <f aca="false">(Q80+U80+W80+Y80)*100</f>
        <v>0</v>
      </c>
      <c r="AE80" s="41" t="n">
        <f aca="false">(0.8*AC80)+(0.2*AD80)</f>
        <v>460</v>
      </c>
      <c r="AF80" s="65" t="n">
        <f aca="false">84+((AE80-$AE$99)/($AE$98-$AE$99)*(92-84))</f>
        <v>87.6190476190476</v>
      </c>
      <c r="AH80" s="1" t="n">
        <v>1</v>
      </c>
    </row>
    <row r="81" customFormat="false" ht="13.5" hidden="false" customHeight="true" outlineLevel="0" collapsed="false">
      <c r="A81" s="31" t="n">
        <v>20</v>
      </c>
      <c r="B81" s="31" t="n">
        <v>132</v>
      </c>
      <c r="C81" s="32" t="s">
        <v>354</v>
      </c>
      <c r="D81" s="33" t="n">
        <v>242510102</v>
      </c>
      <c r="E81" s="33" t="s">
        <v>355</v>
      </c>
      <c r="F81" s="32" t="s">
        <v>356</v>
      </c>
      <c r="G81" s="32" t="s">
        <v>357</v>
      </c>
      <c r="H81" s="34" t="s">
        <v>358</v>
      </c>
      <c r="I81" s="32" t="s">
        <v>51</v>
      </c>
      <c r="J81" s="35" t="s">
        <v>52</v>
      </c>
      <c r="K81" s="36" t="s">
        <v>358</v>
      </c>
      <c r="L81" s="37" t="n">
        <v>39896</v>
      </c>
      <c r="M81" s="47" t="s">
        <v>78</v>
      </c>
      <c r="N81" s="26" t="s">
        <v>258</v>
      </c>
      <c r="O81" s="39" t="n">
        <v>100</v>
      </c>
      <c r="P81" s="32" t="n">
        <v>100</v>
      </c>
      <c r="Q81" s="31"/>
      <c r="R81" s="31" t="n">
        <v>100</v>
      </c>
      <c r="S81" s="31" t="n">
        <v>100</v>
      </c>
      <c r="T81" s="31" t="n">
        <v>80</v>
      </c>
      <c r="U81" s="31"/>
      <c r="V81" s="39"/>
      <c r="W81" s="31"/>
      <c r="X81" s="32"/>
      <c r="Y81" s="31"/>
      <c r="Z81" s="31" t="s">
        <v>259</v>
      </c>
      <c r="AA81" s="31" t="n">
        <v>95</v>
      </c>
      <c r="AB81" s="63"/>
      <c r="AC81" s="64" t="n">
        <f aca="false">O81+P81+R81+S81+T81+AA81</f>
        <v>575</v>
      </c>
      <c r="AD81" s="39" t="n">
        <f aca="false">(Q81+U81+W81+Y81)*100</f>
        <v>0</v>
      </c>
      <c r="AE81" s="41" t="n">
        <f aca="false">(0.8*AC81)+(0.2*AD81)</f>
        <v>460</v>
      </c>
      <c r="AF81" s="65" t="n">
        <f aca="false">84+((AE81-$AE$99)/($AE$98-$AE$99)*(92-84))</f>
        <v>87.6190476190476</v>
      </c>
      <c r="AG81" s="1" t="n">
        <v>1</v>
      </c>
      <c r="AH81" s="1" t="n">
        <v>1</v>
      </c>
    </row>
    <row r="82" customFormat="false" ht="13.5" hidden="false" customHeight="true" outlineLevel="0" collapsed="false">
      <c r="A82" s="31" t="n">
        <v>21</v>
      </c>
      <c r="B82" s="31" t="n">
        <v>133</v>
      </c>
      <c r="C82" s="32" t="s">
        <v>359</v>
      </c>
      <c r="D82" s="33" t="n">
        <v>242510138</v>
      </c>
      <c r="E82" s="33" t="s">
        <v>360</v>
      </c>
      <c r="F82" s="32" t="s">
        <v>361</v>
      </c>
      <c r="G82" s="32" t="s">
        <v>362</v>
      </c>
      <c r="H82" s="34" t="s">
        <v>363</v>
      </c>
      <c r="I82" s="32" t="s">
        <v>364</v>
      </c>
      <c r="J82" s="35" t="s">
        <v>52</v>
      </c>
      <c r="K82" s="36" t="s">
        <v>363</v>
      </c>
      <c r="L82" s="37" t="n">
        <v>39747</v>
      </c>
      <c r="M82" s="48" t="s">
        <v>112</v>
      </c>
      <c r="N82" s="26" t="s">
        <v>258</v>
      </c>
      <c r="O82" s="39" t="n">
        <v>100</v>
      </c>
      <c r="P82" s="32" t="n">
        <v>100</v>
      </c>
      <c r="Q82" s="31"/>
      <c r="R82" s="31" t="n">
        <v>100</v>
      </c>
      <c r="S82" s="31" t="n">
        <v>100</v>
      </c>
      <c r="T82" s="31" t="n">
        <v>100</v>
      </c>
      <c r="U82" s="31"/>
      <c r="V82" s="39"/>
      <c r="W82" s="31"/>
      <c r="X82" s="32"/>
      <c r="Y82" s="31"/>
      <c r="Z82" s="31" t="s">
        <v>259</v>
      </c>
      <c r="AA82" s="31" t="n">
        <v>100</v>
      </c>
      <c r="AB82" s="63"/>
      <c r="AC82" s="64" t="n">
        <f aca="false">O82+P82+R82+S82+T82+AA82</f>
        <v>600</v>
      </c>
      <c r="AD82" s="39" t="n">
        <f aca="false">(Q82+U82+W82+Y82)*100</f>
        <v>0</v>
      </c>
      <c r="AE82" s="41" t="n">
        <f aca="false">(0.8*AC82)+(0.2*AD82)</f>
        <v>480</v>
      </c>
      <c r="AF82" s="65" t="n">
        <f aca="false">84+((AE82-$AE$99)/($AE$98-$AE$99)*(92-84))</f>
        <v>88.5714285714286</v>
      </c>
      <c r="AG82" s="1" t="n">
        <v>1</v>
      </c>
    </row>
    <row r="83" customFormat="false" ht="13.5" hidden="false" customHeight="true" outlineLevel="0" collapsed="false">
      <c r="A83" s="31" t="n">
        <v>22</v>
      </c>
      <c r="B83" s="31" t="n">
        <v>134</v>
      </c>
      <c r="C83" s="32" t="s">
        <v>365</v>
      </c>
      <c r="D83" s="33" t="n">
        <v>242510056</v>
      </c>
      <c r="E83" s="33" t="s">
        <v>366</v>
      </c>
      <c r="F83" s="32" t="s">
        <v>367</v>
      </c>
      <c r="G83" s="32" t="s">
        <v>368</v>
      </c>
      <c r="H83" s="34" t="s">
        <v>369</v>
      </c>
      <c r="I83" s="32" t="s">
        <v>370</v>
      </c>
      <c r="J83" s="35" t="s">
        <v>66</v>
      </c>
      <c r="K83" s="36" t="s">
        <v>369</v>
      </c>
      <c r="L83" s="37" t="n">
        <v>39810</v>
      </c>
      <c r="M83" s="44" t="s">
        <v>60</v>
      </c>
      <c r="N83" s="26" t="s">
        <v>258</v>
      </c>
      <c r="O83" s="39" t="n">
        <v>100</v>
      </c>
      <c r="P83" s="32" t="n">
        <v>100</v>
      </c>
      <c r="Q83" s="31"/>
      <c r="R83" s="31" t="n">
        <v>100</v>
      </c>
      <c r="S83" s="31" t="n">
        <v>100</v>
      </c>
      <c r="T83" s="31" t="n">
        <v>80</v>
      </c>
      <c r="U83" s="31"/>
      <c r="V83" s="39"/>
      <c r="W83" s="31"/>
      <c r="X83" s="32"/>
      <c r="Y83" s="31"/>
      <c r="Z83" s="31" t="s">
        <v>259</v>
      </c>
      <c r="AA83" s="31" t="n">
        <v>80</v>
      </c>
      <c r="AB83" s="63"/>
      <c r="AC83" s="64" t="n">
        <f aca="false">O83+P83+R83+S83+T83+AA83</f>
        <v>560</v>
      </c>
      <c r="AD83" s="39" t="n">
        <f aca="false">(Q83+U83+W83+Y83)*100</f>
        <v>0</v>
      </c>
      <c r="AE83" s="41" t="n">
        <f aca="false">(0.8*AC83)+(0.2*AD83)</f>
        <v>448</v>
      </c>
      <c r="AF83" s="65" t="n">
        <f aca="false">84+((AE83-$AE$99)/($AE$98-$AE$99)*(92-84))</f>
        <v>87.0476190476191</v>
      </c>
    </row>
    <row r="84" customFormat="false" ht="13.5" hidden="false" customHeight="true" outlineLevel="0" collapsed="false">
      <c r="A84" s="31" t="n">
        <v>23</v>
      </c>
      <c r="B84" s="31" t="n">
        <v>135</v>
      </c>
      <c r="C84" s="32" t="s">
        <v>371</v>
      </c>
      <c r="D84" s="33" t="n">
        <v>242510185</v>
      </c>
      <c r="E84" s="33" t="s">
        <v>372</v>
      </c>
      <c r="F84" s="32" t="s">
        <v>373</v>
      </c>
      <c r="G84" s="32" t="s">
        <v>374</v>
      </c>
      <c r="H84" s="34" t="s">
        <v>375</v>
      </c>
      <c r="I84" s="32" t="s">
        <v>376</v>
      </c>
      <c r="J84" s="35" t="s">
        <v>66</v>
      </c>
      <c r="K84" s="36" t="s">
        <v>375</v>
      </c>
      <c r="L84" s="37" t="n">
        <v>39837</v>
      </c>
      <c r="M84" s="48" t="s">
        <v>112</v>
      </c>
      <c r="N84" s="26" t="s">
        <v>258</v>
      </c>
      <c r="O84" s="39" t="n">
        <v>100</v>
      </c>
      <c r="P84" s="32" t="n">
        <v>100</v>
      </c>
      <c r="Q84" s="31"/>
      <c r="R84" s="31" t="n">
        <v>100</v>
      </c>
      <c r="S84" s="31" t="n">
        <v>100</v>
      </c>
      <c r="T84" s="31" t="n">
        <v>80</v>
      </c>
      <c r="U84" s="31"/>
      <c r="V84" s="39"/>
      <c r="W84" s="31"/>
      <c r="X84" s="32"/>
      <c r="Y84" s="31"/>
      <c r="Z84" s="31" t="s">
        <v>259</v>
      </c>
      <c r="AA84" s="31" t="n">
        <v>80</v>
      </c>
      <c r="AB84" s="63"/>
      <c r="AC84" s="64" t="n">
        <f aca="false">O84+P84+R84+S84+T84+AA84</f>
        <v>560</v>
      </c>
      <c r="AD84" s="39" t="n">
        <f aca="false">(Q84+U84+W84+Y84)*100</f>
        <v>0</v>
      </c>
      <c r="AE84" s="41" t="n">
        <f aca="false">(0.8*AC84)+(0.2*AD84)</f>
        <v>448</v>
      </c>
      <c r="AF84" s="65" t="n">
        <f aca="false">84+((AE84-$AE$99)/($AE$98-$AE$99)*(92-84))</f>
        <v>87.0476190476191</v>
      </c>
    </row>
    <row r="85" customFormat="false" ht="13.5" hidden="false" customHeight="true" outlineLevel="0" collapsed="false">
      <c r="A85" s="31" t="n">
        <v>24</v>
      </c>
      <c r="B85" s="31" t="n">
        <v>136</v>
      </c>
      <c r="C85" s="32" t="s">
        <v>377</v>
      </c>
      <c r="D85" s="33" t="n">
        <v>242510227</v>
      </c>
      <c r="E85" s="33" t="s">
        <v>378</v>
      </c>
      <c r="F85" s="32" t="s">
        <v>379</v>
      </c>
      <c r="G85" s="32" t="s">
        <v>380</v>
      </c>
      <c r="H85" s="34" t="s">
        <v>381</v>
      </c>
      <c r="I85" s="32" t="s">
        <v>228</v>
      </c>
      <c r="J85" s="35" t="s">
        <v>52</v>
      </c>
      <c r="K85" s="36" t="s">
        <v>381</v>
      </c>
      <c r="L85" s="37" t="n">
        <v>39688</v>
      </c>
      <c r="M85" s="47" t="s">
        <v>78</v>
      </c>
      <c r="N85" s="26" t="s">
        <v>258</v>
      </c>
      <c r="O85" s="39" t="n">
        <v>100</v>
      </c>
      <c r="P85" s="32" t="n">
        <v>100</v>
      </c>
      <c r="Q85" s="31"/>
      <c r="R85" s="31" t="n">
        <v>100</v>
      </c>
      <c r="S85" s="31" t="n">
        <v>100</v>
      </c>
      <c r="T85" s="31" t="n">
        <v>80</v>
      </c>
      <c r="U85" s="31"/>
      <c r="V85" s="39"/>
      <c r="W85" s="31"/>
      <c r="X85" s="32"/>
      <c r="Y85" s="31"/>
      <c r="Z85" s="31" t="s">
        <v>259</v>
      </c>
      <c r="AA85" s="31" t="n">
        <v>100</v>
      </c>
      <c r="AB85" s="63"/>
      <c r="AC85" s="64" t="n">
        <f aca="false">O85+P85+R85+S85+T85+AA85</f>
        <v>580</v>
      </c>
      <c r="AD85" s="39" t="n">
        <f aca="false">(Q85+U85+W85+Y85)*100</f>
        <v>0</v>
      </c>
      <c r="AE85" s="41" t="n">
        <f aca="false">(0.8*AC85)+(0.2*AD85)</f>
        <v>464</v>
      </c>
      <c r="AF85" s="65" t="n">
        <f aca="false">84+((AE85-$AE$99)/($AE$98-$AE$99)*(92-84))</f>
        <v>87.8095238095238</v>
      </c>
    </row>
    <row r="86" customFormat="false" ht="13.5" hidden="false" customHeight="true" outlineLevel="0" collapsed="false">
      <c r="A86" s="31" t="n">
        <v>25</v>
      </c>
      <c r="B86" s="31" t="n">
        <v>137</v>
      </c>
      <c r="C86" s="32" t="s">
        <v>382</v>
      </c>
      <c r="D86" s="33" t="n">
        <v>242510228</v>
      </c>
      <c r="E86" s="33" t="s">
        <v>383</v>
      </c>
      <c r="F86" s="32" t="s">
        <v>384</v>
      </c>
      <c r="G86" s="32" t="s">
        <v>385</v>
      </c>
      <c r="H86" s="34" t="s">
        <v>386</v>
      </c>
      <c r="I86" s="32" t="s">
        <v>169</v>
      </c>
      <c r="J86" s="46" t="s">
        <v>52</v>
      </c>
      <c r="K86" s="36" t="s">
        <v>386</v>
      </c>
      <c r="L86" s="37" t="n">
        <v>39740</v>
      </c>
      <c r="M86" s="49" t="s">
        <v>124</v>
      </c>
      <c r="N86" s="26" t="s">
        <v>258</v>
      </c>
      <c r="O86" s="39" t="n">
        <v>100</v>
      </c>
      <c r="P86" s="32" t="n">
        <v>100</v>
      </c>
      <c r="Q86" s="31"/>
      <c r="R86" s="31" t="n">
        <v>100</v>
      </c>
      <c r="S86" s="31" t="n">
        <v>100</v>
      </c>
      <c r="T86" s="31" t="n">
        <v>80</v>
      </c>
      <c r="U86" s="31"/>
      <c r="V86" s="39"/>
      <c r="W86" s="31"/>
      <c r="X86" s="32"/>
      <c r="Y86" s="31"/>
      <c r="Z86" s="31" t="s">
        <v>259</v>
      </c>
      <c r="AA86" s="31" t="n">
        <v>95</v>
      </c>
      <c r="AB86" s="63"/>
      <c r="AC86" s="64" t="n">
        <f aca="false">O86+P86+R86+S86+T86+AA86</f>
        <v>575</v>
      </c>
      <c r="AD86" s="39" t="n">
        <f aca="false">(Q86+U86+W86+Y86)*100</f>
        <v>0</v>
      </c>
      <c r="AE86" s="41" t="n">
        <f aca="false">(0.8*AC86)+(0.2*AD86)</f>
        <v>460</v>
      </c>
      <c r="AF86" s="65" t="n">
        <f aca="false">84+((AE86-$AE$99)/($AE$98-$AE$99)*(92-84))</f>
        <v>87.6190476190476</v>
      </c>
      <c r="AG86" s="1" t="n">
        <v>1</v>
      </c>
    </row>
    <row r="87" customFormat="false" ht="13.5" hidden="false" customHeight="true" outlineLevel="0" collapsed="false">
      <c r="A87" s="31" t="n">
        <v>26</v>
      </c>
      <c r="B87" s="31" t="n">
        <v>138</v>
      </c>
      <c r="C87" s="32" t="s">
        <v>387</v>
      </c>
      <c r="D87" s="33" t="n">
        <v>242510031</v>
      </c>
      <c r="E87" s="33" t="s">
        <v>388</v>
      </c>
      <c r="F87" s="32" t="s">
        <v>389</v>
      </c>
      <c r="G87" s="32" t="s">
        <v>390</v>
      </c>
      <c r="H87" s="34" t="s">
        <v>391</v>
      </c>
      <c r="I87" s="32" t="s">
        <v>51</v>
      </c>
      <c r="J87" s="35" t="s">
        <v>52</v>
      </c>
      <c r="K87" s="36" t="s">
        <v>391</v>
      </c>
      <c r="L87" s="37" t="n">
        <v>39718</v>
      </c>
      <c r="M87" s="44" t="s">
        <v>60</v>
      </c>
      <c r="N87" s="26" t="s">
        <v>258</v>
      </c>
      <c r="O87" s="39" t="n">
        <v>100</v>
      </c>
      <c r="P87" s="32" t="n">
        <v>100</v>
      </c>
      <c r="Q87" s="66" t="n">
        <v>1</v>
      </c>
      <c r="R87" s="31" t="n">
        <v>100</v>
      </c>
      <c r="S87" s="31" t="n">
        <v>100</v>
      </c>
      <c r="T87" s="31" t="n">
        <v>100</v>
      </c>
      <c r="U87" s="31"/>
      <c r="V87" s="39"/>
      <c r="W87" s="31"/>
      <c r="X87" s="32"/>
      <c r="Y87" s="31"/>
      <c r="Z87" s="31" t="s">
        <v>259</v>
      </c>
      <c r="AA87" s="31" t="n">
        <v>100</v>
      </c>
      <c r="AB87" s="63"/>
      <c r="AC87" s="64" t="n">
        <f aca="false">O87+P87+R87+S87+T87+AA87</f>
        <v>600</v>
      </c>
      <c r="AD87" s="39" t="n">
        <f aca="false">(Q87+U87+W87+Y87)*100</f>
        <v>100</v>
      </c>
      <c r="AE87" s="41" t="n">
        <f aca="false">(0.8*AC87)+(0.2*AD87)</f>
        <v>500</v>
      </c>
      <c r="AF87" s="65" t="n">
        <f aca="false">84+((AE87-$AE$99)/($AE$98-$AE$99)*(92-84))</f>
        <v>89.5238095238095</v>
      </c>
      <c r="AG87" s="1" t="n">
        <v>1</v>
      </c>
      <c r="AH87" s="1" t="n">
        <v>2</v>
      </c>
    </row>
    <row r="88" customFormat="false" ht="13.5" hidden="false" customHeight="true" outlineLevel="0" collapsed="false">
      <c r="A88" s="31" t="n">
        <v>27</v>
      </c>
      <c r="B88" s="31" t="n">
        <v>139</v>
      </c>
      <c r="C88" s="32" t="s">
        <v>392</v>
      </c>
      <c r="D88" s="33" t="n">
        <v>242510264</v>
      </c>
      <c r="E88" s="33" t="s">
        <v>393</v>
      </c>
      <c r="F88" s="32" t="s">
        <v>394</v>
      </c>
      <c r="G88" s="32" t="s">
        <v>395</v>
      </c>
      <c r="H88" s="34" t="s">
        <v>396</v>
      </c>
      <c r="I88" s="32" t="s">
        <v>153</v>
      </c>
      <c r="J88" s="35" t="s">
        <v>52</v>
      </c>
      <c r="K88" s="36" t="s">
        <v>396</v>
      </c>
      <c r="L88" s="37" t="n">
        <v>39675</v>
      </c>
      <c r="M88" s="47" t="s">
        <v>78</v>
      </c>
      <c r="N88" s="26" t="s">
        <v>258</v>
      </c>
      <c r="O88" s="39" t="n">
        <v>100</v>
      </c>
      <c r="P88" s="32" t="n">
        <v>100</v>
      </c>
      <c r="Q88" s="31"/>
      <c r="R88" s="31" t="n">
        <v>100</v>
      </c>
      <c r="S88" s="31" t="n">
        <v>100</v>
      </c>
      <c r="T88" s="31" t="n">
        <v>100</v>
      </c>
      <c r="U88" s="31"/>
      <c r="V88" s="39"/>
      <c r="W88" s="31"/>
      <c r="X88" s="32"/>
      <c r="Y88" s="31"/>
      <c r="Z88" s="31" t="s">
        <v>259</v>
      </c>
      <c r="AA88" s="31" t="n">
        <v>90</v>
      </c>
      <c r="AB88" s="63"/>
      <c r="AC88" s="64" t="n">
        <f aca="false">O88+P88+R88+S88+T88+AA88</f>
        <v>590</v>
      </c>
      <c r="AD88" s="39" t="n">
        <f aca="false">(Q88+U88+W88+Y88)*100</f>
        <v>0</v>
      </c>
      <c r="AE88" s="41" t="n">
        <f aca="false">(0.8*AC88)+(0.2*AD88)</f>
        <v>472</v>
      </c>
      <c r="AF88" s="65" t="n">
        <f aca="false">84+((AE88-$AE$99)/($AE$98-$AE$99)*(92-84))</f>
        <v>88.1904761904762</v>
      </c>
    </row>
    <row r="89" customFormat="false" ht="13.5" hidden="false" customHeight="true" outlineLevel="0" collapsed="false">
      <c r="A89" s="31" t="n">
        <v>28</v>
      </c>
      <c r="B89" s="31" t="n">
        <v>141</v>
      </c>
      <c r="C89" s="32" t="s">
        <v>397</v>
      </c>
      <c r="D89" s="33" t="n">
        <v>242510340</v>
      </c>
      <c r="E89" s="33" t="s">
        <v>398</v>
      </c>
      <c r="F89" s="32" t="s">
        <v>399</v>
      </c>
      <c r="G89" s="32" t="s">
        <v>400</v>
      </c>
      <c r="H89" s="34" t="s">
        <v>401</v>
      </c>
      <c r="I89" s="32" t="s">
        <v>51</v>
      </c>
      <c r="J89" s="35" t="s">
        <v>52</v>
      </c>
      <c r="K89" s="36" t="s">
        <v>401</v>
      </c>
      <c r="L89" s="37" t="n">
        <v>39763</v>
      </c>
      <c r="M89" s="44" t="s">
        <v>60</v>
      </c>
      <c r="N89" s="26" t="s">
        <v>258</v>
      </c>
      <c r="O89" s="39" t="n">
        <v>100</v>
      </c>
      <c r="P89" s="32" t="n">
        <v>100</v>
      </c>
      <c r="Q89" s="31"/>
      <c r="R89" s="31" t="n">
        <v>100</v>
      </c>
      <c r="S89" s="31" t="n">
        <v>100</v>
      </c>
      <c r="T89" s="31" t="n">
        <v>100</v>
      </c>
      <c r="U89" s="31"/>
      <c r="V89" s="39"/>
      <c r="W89" s="31"/>
      <c r="X89" s="32"/>
      <c r="Y89" s="31"/>
      <c r="Z89" s="31" t="s">
        <v>259</v>
      </c>
      <c r="AA89" s="31" t="n">
        <v>100</v>
      </c>
      <c r="AB89" s="63"/>
      <c r="AC89" s="64" t="n">
        <f aca="false">O89+P89+R89+S89+T89+AA89</f>
        <v>600</v>
      </c>
      <c r="AD89" s="39" t="n">
        <f aca="false">(Q89+U89+W89+Y89)*100</f>
        <v>0</v>
      </c>
      <c r="AE89" s="41" t="n">
        <f aca="false">(0.8*AC89)+(0.2*AD89)</f>
        <v>480</v>
      </c>
      <c r="AF89" s="65" t="n">
        <f aca="false">84+((AE89-$AE$99)/($AE$98-$AE$99)*(92-84))</f>
        <v>88.5714285714286</v>
      </c>
      <c r="AH89" s="1" t="n">
        <v>2</v>
      </c>
    </row>
    <row r="90" customFormat="false" ht="13.5" hidden="false" customHeight="true" outlineLevel="0" collapsed="false">
      <c r="A90" s="31" t="n">
        <v>29</v>
      </c>
      <c r="B90" s="31" t="n">
        <v>142</v>
      </c>
      <c r="C90" s="32" t="s">
        <v>402</v>
      </c>
      <c r="D90" s="33" t="n">
        <v>242510060</v>
      </c>
      <c r="E90" s="33" t="s">
        <v>403</v>
      </c>
      <c r="F90" s="32" t="s">
        <v>404</v>
      </c>
      <c r="G90" s="32" t="s">
        <v>405</v>
      </c>
      <c r="H90" s="34" t="s">
        <v>406</v>
      </c>
      <c r="I90" s="32" t="s">
        <v>51</v>
      </c>
      <c r="J90" s="35" t="s">
        <v>52</v>
      </c>
      <c r="K90" s="36" t="s">
        <v>406</v>
      </c>
      <c r="L90" s="37" t="n">
        <v>39297</v>
      </c>
      <c r="M90" s="47" t="s">
        <v>78</v>
      </c>
      <c r="N90" s="26" t="s">
        <v>258</v>
      </c>
      <c r="O90" s="39" t="n">
        <v>100</v>
      </c>
      <c r="P90" s="32" t="n">
        <v>100</v>
      </c>
      <c r="Q90" s="31"/>
      <c r="R90" s="31" t="n">
        <v>100</v>
      </c>
      <c r="S90" s="31" t="n">
        <v>100</v>
      </c>
      <c r="T90" s="31" t="n">
        <v>100</v>
      </c>
      <c r="U90" s="31"/>
      <c r="V90" s="39"/>
      <c r="W90" s="31"/>
      <c r="X90" s="32"/>
      <c r="Y90" s="31"/>
      <c r="Z90" s="31" t="s">
        <v>259</v>
      </c>
      <c r="AA90" s="31" t="n">
        <v>100</v>
      </c>
      <c r="AB90" s="63"/>
      <c r="AC90" s="64" t="n">
        <f aca="false">O90+P90+R90+S90+T90+AA90</f>
        <v>600</v>
      </c>
      <c r="AD90" s="39" t="n">
        <f aca="false">(Q90+U90+W90+Y90)*100</f>
        <v>0</v>
      </c>
      <c r="AE90" s="41" t="n">
        <f aca="false">(0.8*AC90)+(0.2*AD90)</f>
        <v>480</v>
      </c>
      <c r="AF90" s="65" t="n">
        <f aca="false">84+((AE90-$AE$99)/($AE$98-$AE$99)*(92-84))</f>
        <v>88.5714285714286</v>
      </c>
    </row>
    <row r="91" customFormat="false" ht="13.5" hidden="false" customHeight="true" outlineLevel="0" collapsed="false">
      <c r="A91" s="31" t="n">
        <v>30</v>
      </c>
      <c r="B91" s="31"/>
      <c r="C91" s="32"/>
      <c r="D91" s="33" t="n">
        <v>242510413</v>
      </c>
      <c r="E91" s="33" t="s">
        <v>407</v>
      </c>
      <c r="F91" s="32" t="s">
        <v>408</v>
      </c>
      <c r="G91" s="32" t="s">
        <v>409</v>
      </c>
      <c r="H91" s="34" t="s">
        <v>410</v>
      </c>
      <c r="I91" s="32" t="s">
        <v>51</v>
      </c>
      <c r="J91" s="35" t="s">
        <v>66</v>
      </c>
      <c r="K91" s="36" t="s">
        <v>410</v>
      </c>
      <c r="L91" s="37"/>
      <c r="M91" s="47"/>
      <c r="N91" s="26"/>
      <c r="O91" s="39" t="n">
        <v>100</v>
      </c>
      <c r="P91" s="32" t="n">
        <v>100</v>
      </c>
      <c r="Q91" s="31"/>
      <c r="R91" s="31" t="n">
        <v>100</v>
      </c>
      <c r="S91" s="31" t="n">
        <v>100</v>
      </c>
      <c r="T91" s="31" t="n">
        <v>100</v>
      </c>
      <c r="U91" s="31"/>
      <c r="V91" s="39"/>
      <c r="W91" s="31"/>
      <c r="X91" s="32"/>
      <c r="Y91" s="31"/>
      <c r="Z91" s="31" t="s">
        <v>259</v>
      </c>
      <c r="AA91" s="31" t="n">
        <v>95</v>
      </c>
      <c r="AB91" s="63"/>
      <c r="AC91" s="64" t="n">
        <f aca="false">O91+P91+R91+S91+T91+AA91</f>
        <v>595</v>
      </c>
      <c r="AD91" s="39" t="n">
        <f aca="false">(Q91+U91+W91+Y91)*100</f>
        <v>0</v>
      </c>
      <c r="AE91" s="41" t="n">
        <f aca="false">(0.8*AC91)+(0.2*AD91)</f>
        <v>476</v>
      </c>
      <c r="AF91" s="65" t="n">
        <f aca="false">84+((AE91-$AE$99)/($AE$98-$AE$99)*(92-84))</f>
        <v>88.3809523809524</v>
      </c>
    </row>
    <row r="92" customFormat="false" ht="13.5" hidden="false" customHeight="true" outlineLevel="0" collapsed="false">
      <c r="A92" s="31" t="n">
        <v>31</v>
      </c>
      <c r="B92" s="31" t="n">
        <v>143</v>
      </c>
      <c r="C92" s="32" t="s">
        <v>411</v>
      </c>
      <c r="D92" s="33" t="n">
        <v>242510109</v>
      </c>
      <c r="E92" s="33" t="s">
        <v>412</v>
      </c>
      <c r="F92" s="32" t="s">
        <v>413</v>
      </c>
      <c r="G92" s="32" t="s">
        <v>414</v>
      </c>
      <c r="H92" s="34" t="s">
        <v>415</v>
      </c>
      <c r="I92" s="32" t="s">
        <v>51</v>
      </c>
      <c r="J92" s="35" t="s">
        <v>66</v>
      </c>
      <c r="K92" s="36" t="s">
        <v>415</v>
      </c>
      <c r="L92" s="37" t="n">
        <v>39743</v>
      </c>
      <c r="M92" s="47" t="s">
        <v>78</v>
      </c>
      <c r="N92" s="26" t="s">
        <v>258</v>
      </c>
      <c r="O92" s="39" t="n">
        <v>100</v>
      </c>
      <c r="P92" s="32" t="n">
        <v>100</v>
      </c>
      <c r="Q92" s="31"/>
      <c r="R92" s="31" t="n">
        <v>100</v>
      </c>
      <c r="S92" s="31" t="n">
        <v>100</v>
      </c>
      <c r="T92" s="31" t="n">
        <v>80</v>
      </c>
      <c r="U92" s="31" t="n">
        <v>1</v>
      </c>
      <c r="V92" s="39"/>
      <c r="W92" s="31"/>
      <c r="X92" s="32"/>
      <c r="Y92" s="31" t="n">
        <v>1</v>
      </c>
      <c r="Z92" s="31" t="s">
        <v>259</v>
      </c>
      <c r="AA92" s="31" t="n">
        <v>100</v>
      </c>
      <c r="AB92" s="63"/>
      <c r="AC92" s="64" t="n">
        <f aca="false">O92+P92+R92+S92+T92+AA92</f>
        <v>580</v>
      </c>
      <c r="AD92" s="39" t="n">
        <f aca="false">(Q92+U92+W92+Y92)*100</f>
        <v>200</v>
      </c>
      <c r="AE92" s="41" t="n">
        <f aca="false">(0.8*AC92)+(0.2*AD92)</f>
        <v>504</v>
      </c>
      <c r="AF92" s="65" t="n">
        <f aca="false">84+((AE92-$AE$99)/($AE$98-$AE$99)*(92-84))</f>
        <v>89.7142857142857</v>
      </c>
      <c r="AG92" s="1" t="n">
        <v>1</v>
      </c>
      <c r="AH92" s="1" t="n">
        <v>1</v>
      </c>
    </row>
    <row r="93" customFormat="false" ht="13.5" hidden="false" customHeight="true" outlineLevel="0" collapsed="false">
      <c r="A93" s="31" t="n">
        <v>32</v>
      </c>
      <c r="B93" s="31" t="n">
        <v>144</v>
      </c>
      <c r="C93" s="32" t="s">
        <v>416</v>
      </c>
      <c r="D93" s="33" t="n">
        <v>242510268</v>
      </c>
      <c r="E93" s="33" t="s">
        <v>417</v>
      </c>
      <c r="F93" s="32" t="s">
        <v>418</v>
      </c>
      <c r="G93" s="32" t="s">
        <v>419</v>
      </c>
      <c r="H93" s="34" t="s">
        <v>420</v>
      </c>
      <c r="I93" s="32" t="s">
        <v>135</v>
      </c>
      <c r="J93" s="35" t="s">
        <v>52</v>
      </c>
      <c r="K93" s="36" t="s">
        <v>420</v>
      </c>
      <c r="L93" s="37" t="n">
        <v>39713</v>
      </c>
      <c r="M93" s="38" t="s">
        <v>53</v>
      </c>
      <c r="N93" s="26" t="s">
        <v>258</v>
      </c>
      <c r="O93" s="39" t="n">
        <v>100</v>
      </c>
      <c r="P93" s="32" t="n">
        <v>100</v>
      </c>
      <c r="Q93" s="31"/>
      <c r="R93" s="31" t="n">
        <v>100</v>
      </c>
      <c r="S93" s="31" t="n">
        <v>100</v>
      </c>
      <c r="T93" s="31" t="n">
        <v>90</v>
      </c>
      <c r="U93" s="31"/>
      <c r="V93" s="39"/>
      <c r="W93" s="31"/>
      <c r="X93" s="32"/>
      <c r="Y93" s="31"/>
      <c r="Z93" s="31" t="s">
        <v>259</v>
      </c>
      <c r="AA93" s="31" t="n">
        <v>95</v>
      </c>
      <c r="AB93" s="63"/>
      <c r="AC93" s="64" t="n">
        <f aca="false">O93+P93+R93+S93+T93+AA93</f>
        <v>585</v>
      </c>
      <c r="AD93" s="39" t="n">
        <f aca="false">(Q93+U93+W93+Y93)*100</f>
        <v>0</v>
      </c>
      <c r="AE93" s="41" t="n">
        <f aca="false">(0.8*AC93)+(0.2*AD93)</f>
        <v>468</v>
      </c>
      <c r="AF93" s="65" t="n">
        <f aca="false">84+((AE93-$AE$99)/($AE$98-$AE$99)*(92-84))</f>
        <v>88</v>
      </c>
      <c r="AH93" s="1" t="n">
        <v>2</v>
      </c>
    </row>
    <row r="94" customFormat="false" ht="13.5" hidden="false" customHeight="true" outlineLevel="0" collapsed="false">
      <c r="A94" s="31" t="n">
        <v>33</v>
      </c>
      <c r="B94" s="31" t="n">
        <v>145</v>
      </c>
      <c r="C94" s="32" t="s">
        <v>421</v>
      </c>
      <c r="D94" s="33" t="n">
        <v>242510075</v>
      </c>
      <c r="E94" s="33" t="s">
        <v>422</v>
      </c>
      <c r="F94" s="32" t="s">
        <v>423</v>
      </c>
      <c r="G94" s="32" t="s">
        <v>424</v>
      </c>
      <c r="H94" s="34" t="s">
        <v>425</v>
      </c>
      <c r="I94" s="32" t="s">
        <v>51</v>
      </c>
      <c r="J94" s="35" t="s">
        <v>52</v>
      </c>
      <c r="K94" s="36" t="s">
        <v>425</v>
      </c>
      <c r="L94" s="37" t="n">
        <v>39769</v>
      </c>
      <c r="M94" s="50" t="s">
        <v>147</v>
      </c>
      <c r="N94" s="26" t="s">
        <v>258</v>
      </c>
      <c r="O94" s="39" t="n">
        <v>100</v>
      </c>
      <c r="P94" s="32" t="n">
        <v>100</v>
      </c>
      <c r="Q94" s="31"/>
      <c r="R94" s="31" t="n">
        <v>100</v>
      </c>
      <c r="S94" s="31"/>
      <c r="T94" s="31" t="n">
        <v>80</v>
      </c>
      <c r="U94" s="31"/>
      <c r="V94" s="39"/>
      <c r="W94" s="31"/>
      <c r="X94" s="32"/>
      <c r="Y94" s="31"/>
      <c r="Z94" s="31" t="s">
        <v>259</v>
      </c>
      <c r="AA94" s="31" t="n">
        <v>100</v>
      </c>
      <c r="AB94" s="63"/>
      <c r="AC94" s="64" t="n">
        <f aca="false">O94+P94+R94+S94+T94+AA94</f>
        <v>480</v>
      </c>
      <c r="AD94" s="39" t="n">
        <f aca="false">(Q94+U94+W94+Y94)*100</f>
        <v>0</v>
      </c>
      <c r="AE94" s="41" t="n">
        <f aca="false">(0.8*AC94)+(0.2*AD94)</f>
        <v>384</v>
      </c>
      <c r="AF94" s="65" t="n">
        <f aca="false">84+((AE94-$AE$99)/($AE$98-$AE$99)*(92-84))</f>
        <v>84</v>
      </c>
      <c r="AH94" s="1" t="s">
        <v>426</v>
      </c>
    </row>
    <row r="95" customFormat="false" ht="13.5" hidden="false" customHeight="true" outlineLevel="0" collapsed="false">
      <c r="A95" s="31" t="n">
        <v>34</v>
      </c>
      <c r="B95" s="31" t="n">
        <v>72</v>
      </c>
      <c r="C95" s="32" t="s">
        <v>427</v>
      </c>
      <c r="D95" s="33" t="n">
        <v>242510153</v>
      </c>
      <c r="E95" s="33" t="s">
        <v>428</v>
      </c>
      <c r="F95" s="32" t="s">
        <v>429</v>
      </c>
      <c r="G95" s="32" t="s">
        <v>430</v>
      </c>
      <c r="H95" s="34" t="s">
        <v>431</v>
      </c>
      <c r="I95" s="32" t="s">
        <v>432</v>
      </c>
      <c r="J95" s="35" t="s">
        <v>52</v>
      </c>
      <c r="K95" s="36" t="s">
        <v>431</v>
      </c>
      <c r="L95" s="37" t="n">
        <v>39724</v>
      </c>
      <c r="M95" s="47" t="s">
        <v>78</v>
      </c>
      <c r="N95" s="26" t="s">
        <v>433</v>
      </c>
      <c r="O95" s="39" t="n">
        <v>100</v>
      </c>
      <c r="P95" s="32" t="n">
        <v>100</v>
      </c>
      <c r="Q95" s="31"/>
      <c r="R95" s="31" t="n">
        <v>100</v>
      </c>
      <c r="S95" s="31" t="n">
        <v>100</v>
      </c>
      <c r="T95" s="31" t="n">
        <v>100</v>
      </c>
      <c r="U95" s="31"/>
      <c r="V95" s="39"/>
      <c r="W95" s="31"/>
      <c r="X95" s="32"/>
      <c r="Y95" s="31"/>
      <c r="Z95" s="31" t="s">
        <v>259</v>
      </c>
      <c r="AA95" s="31" t="n">
        <v>100</v>
      </c>
      <c r="AB95" s="63"/>
      <c r="AC95" s="64" t="n">
        <f aca="false">O95+P95+R95+S95+T95+AA95</f>
        <v>600</v>
      </c>
      <c r="AD95" s="39" t="n">
        <f aca="false">(Q95+U95+W95+Y95)*100</f>
        <v>0</v>
      </c>
      <c r="AE95" s="41" t="n">
        <f aca="false">(0.8*AC95)+(0.2*AD95)</f>
        <v>480</v>
      </c>
      <c r="AF95" s="65" t="n">
        <f aca="false">84+((AE95-$AE$99)/($AE$98-$AE$99)*(92-84))</f>
        <v>88.5714285714286</v>
      </c>
      <c r="AH95" s="1" t="n">
        <v>1</v>
      </c>
    </row>
    <row r="96" customFormat="false" ht="13.5" hidden="false" customHeight="true" outlineLevel="0" collapsed="false">
      <c r="A96" s="31" t="n">
        <v>35</v>
      </c>
      <c r="B96" s="31" t="n">
        <v>146</v>
      </c>
      <c r="C96" s="32" t="s">
        <v>434</v>
      </c>
      <c r="D96" s="33" t="n">
        <v>242510196</v>
      </c>
      <c r="E96" s="33" t="s">
        <v>435</v>
      </c>
      <c r="F96" s="32" t="s">
        <v>436</v>
      </c>
      <c r="G96" s="32" t="s">
        <v>437</v>
      </c>
      <c r="H96" s="34" t="s">
        <v>438</v>
      </c>
      <c r="I96" s="32" t="s">
        <v>439</v>
      </c>
      <c r="J96" s="35" t="s">
        <v>52</v>
      </c>
      <c r="K96" s="68" t="s">
        <v>438</v>
      </c>
      <c r="L96" s="37" t="n">
        <v>39678</v>
      </c>
      <c r="M96" s="44" t="s">
        <v>60</v>
      </c>
      <c r="N96" s="26" t="s">
        <v>258</v>
      </c>
      <c r="O96" s="39" t="n">
        <v>100</v>
      </c>
      <c r="P96" s="32" t="n">
        <v>100</v>
      </c>
      <c r="Q96" s="31"/>
      <c r="R96" s="31" t="n">
        <v>100</v>
      </c>
      <c r="S96" s="31" t="n">
        <v>100</v>
      </c>
      <c r="T96" s="31" t="n">
        <v>80</v>
      </c>
      <c r="U96" s="31"/>
      <c r="V96" s="39"/>
      <c r="W96" s="31"/>
      <c r="X96" s="32"/>
      <c r="Y96" s="31"/>
      <c r="Z96" s="31" t="s">
        <v>259</v>
      </c>
      <c r="AA96" s="31" t="n">
        <v>95</v>
      </c>
      <c r="AB96" s="63"/>
      <c r="AC96" s="64" t="n">
        <f aca="false">O96+P96+R96+S96+T96+AA96</f>
        <v>575</v>
      </c>
      <c r="AD96" s="39" t="n">
        <f aca="false">(Q96+U96+W96+Y96)*100</f>
        <v>0</v>
      </c>
      <c r="AE96" s="41" t="n">
        <f aca="false">(0.8*AC96)+(0.2*AD96)</f>
        <v>460</v>
      </c>
      <c r="AF96" s="65" t="n">
        <f aca="false">84+((AE96-$AE$99)/($AE$98-$AE$99)*(92-84))</f>
        <v>87.6190476190476</v>
      </c>
      <c r="AH96" s="1" t="n">
        <v>1</v>
      </c>
    </row>
    <row r="97" customFormat="false" ht="13.5" hidden="false" customHeight="true" outlineLevel="0" collapsed="false">
      <c r="A97" s="31" t="n">
        <v>36</v>
      </c>
      <c r="B97" s="31" t="n">
        <v>147</v>
      </c>
      <c r="C97" s="32" t="s">
        <v>440</v>
      </c>
      <c r="D97" s="33" t="n">
        <v>242510237</v>
      </c>
      <c r="E97" s="33" t="s">
        <v>441</v>
      </c>
      <c r="F97" s="32" t="s">
        <v>442</v>
      </c>
      <c r="G97" s="32" t="s">
        <v>443</v>
      </c>
      <c r="H97" s="34" t="s">
        <v>444</v>
      </c>
      <c r="I97" s="32" t="s">
        <v>445</v>
      </c>
      <c r="J97" s="35" t="s">
        <v>52</v>
      </c>
      <c r="K97" s="36" t="s">
        <v>444</v>
      </c>
      <c r="L97" s="37" t="n">
        <v>39507</v>
      </c>
      <c r="M97" s="45" t="s">
        <v>67</v>
      </c>
      <c r="N97" s="26" t="s">
        <v>258</v>
      </c>
      <c r="O97" s="39" t="n">
        <v>100</v>
      </c>
      <c r="P97" s="32" t="n">
        <v>100</v>
      </c>
      <c r="Q97" s="69" t="n">
        <v>1</v>
      </c>
      <c r="R97" s="31" t="n">
        <v>100</v>
      </c>
      <c r="S97" s="31" t="n">
        <v>100</v>
      </c>
      <c r="T97" s="31" t="n">
        <v>100</v>
      </c>
      <c r="U97" s="31"/>
      <c r="V97" s="39"/>
      <c r="W97" s="31"/>
      <c r="X97" s="32"/>
      <c r="Y97" s="31"/>
      <c r="Z97" s="31" t="s">
        <v>259</v>
      </c>
      <c r="AA97" s="31" t="n">
        <v>100</v>
      </c>
      <c r="AB97" s="63"/>
      <c r="AC97" s="64" t="n">
        <f aca="false">O97+P97+R97+S97+T97+AA97</f>
        <v>600</v>
      </c>
      <c r="AD97" s="39" t="n">
        <f aca="false">(Q97+U97+W97+Y97)*100</f>
        <v>100</v>
      </c>
      <c r="AE97" s="41" t="n">
        <f aca="false">(0.8*AC97)+(0.2*AD97)</f>
        <v>500</v>
      </c>
      <c r="AF97" s="65" t="n">
        <f aca="false">84+((AE97-$AE$99)/($AE$98-$AE$99)*(92-84))</f>
        <v>89.5238095238095</v>
      </c>
      <c r="AG97" s="1" t="n">
        <v>2</v>
      </c>
    </row>
    <row r="98" customFormat="false" ht="13.5" hidden="false" customHeight="true" outlineLevel="0" collapsed="false">
      <c r="D98" s="70"/>
      <c r="H98" s="17" t="s">
        <v>240</v>
      </c>
      <c r="I98" s="52"/>
      <c r="J98" s="1" t="n">
        <f aca="false">COUNTIF(J62:J97,"L")</f>
        <v>10</v>
      </c>
      <c r="L98" s="53"/>
      <c r="M98" s="71"/>
      <c r="AD98" s="5" t="s">
        <v>241</v>
      </c>
      <c r="AE98" s="1" t="n">
        <f aca="false">MAX(AE62:AE97)</f>
        <v>552</v>
      </c>
    </row>
    <row r="99" customFormat="false" ht="13.5" hidden="false" customHeight="true" outlineLevel="0" collapsed="false">
      <c r="A99" s="55"/>
      <c r="B99" s="2"/>
      <c r="E99" s="2"/>
      <c r="H99" s="17" t="s">
        <v>242</v>
      </c>
      <c r="I99" s="1"/>
      <c r="J99" s="1" t="n">
        <f aca="false">COUNTIF(J62:J98,"P")</f>
        <v>26</v>
      </c>
      <c r="K99" s="53"/>
      <c r="M99" s="4"/>
      <c r="N99" s="2"/>
      <c r="AD99" s="5" t="s">
        <v>243</v>
      </c>
      <c r="AE99" s="1" t="n">
        <f aca="false">MIN(AE62:AE97)</f>
        <v>384</v>
      </c>
    </row>
    <row r="100" customFormat="false" ht="13.5" hidden="false" customHeight="true" outlineLevel="0" collapsed="false">
      <c r="A100" s="55"/>
      <c r="B100" s="2"/>
      <c r="E100" s="2"/>
      <c r="H100" s="52"/>
      <c r="I100" s="1"/>
      <c r="J100" s="2"/>
      <c r="K100" s="53"/>
      <c r="M100" s="4"/>
      <c r="N100" s="2"/>
    </row>
    <row r="101" customFormat="false" ht="13.5" hidden="false" customHeight="true" outlineLevel="0" collapsed="false">
      <c r="A101" s="55" t="s">
        <v>446</v>
      </c>
      <c r="B101" s="2"/>
      <c r="E101" s="2"/>
      <c r="H101" s="52"/>
      <c r="I101" s="1"/>
      <c r="J101" s="2"/>
      <c r="K101" s="53"/>
      <c r="M101" s="4"/>
      <c r="N101" s="2" t="s">
        <v>447</v>
      </c>
    </row>
    <row r="102" customFormat="false" ht="13.5" hidden="false" customHeight="true" outlineLevel="0" collapsed="false">
      <c r="A102" s="55"/>
      <c r="B102" s="2"/>
      <c r="E102" s="2"/>
      <c r="H102" s="52"/>
      <c r="I102" s="1"/>
      <c r="J102" s="2"/>
      <c r="K102" s="53"/>
      <c r="M102" s="4"/>
      <c r="N102" s="2"/>
    </row>
    <row r="103" customFormat="false" ht="13.5" hidden="false" customHeight="true" outlineLevel="0" collapsed="false">
      <c r="A103" s="55"/>
      <c r="B103" s="2"/>
      <c r="E103" s="2"/>
      <c r="H103" s="52"/>
      <c r="I103" s="1"/>
      <c r="J103" s="2"/>
      <c r="K103" s="53"/>
      <c r="M103" s="4"/>
      <c r="N103" s="2"/>
    </row>
    <row r="104" customFormat="false" ht="13.5" hidden="false" customHeight="true" outlineLevel="0" collapsed="false">
      <c r="A104" s="55"/>
      <c r="B104" s="2"/>
      <c r="E104" s="2"/>
      <c r="H104" s="52"/>
      <c r="I104" s="1"/>
      <c r="J104" s="2"/>
      <c r="K104" s="53"/>
      <c r="M104" s="4"/>
      <c r="N104" s="2"/>
    </row>
    <row r="105" customFormat="false" ht="13.5" hidden="false" customHeight="true" outlineLevel="0" collapsed="false">
      <c r="A105" s="55"/>
      <c r="B105" s="2"/>
      <c r="E105" s="2"/>
      <c r="H105" s="52"/>
      <c r="I105" s="1"/>
      <c r="J105" s="2"/>
      <c r="K105" s="53"/>
      <c r="M105" s="4"/>
      <c r="N105" s="2"/>
    </row>
    <row r="106" customFormat="false" ht="13.5" hidden="false" customHeight="true" outlineLevel="0" collapsed="false">
      <c r="A106" s="72" t="s">
        <v>448</v>
      </c>
      <c r="B106" s="2"/>
      <c r="E106" s="2"/>
      <c r="H106" s="52"/>
      <c r="I106" s="1"/>
      <c r="J106" s="2"/>
      <c r="K106" s="53"/>
      <c r="M106" s="4"/>
      <c r="N106" s="2" t="s">
        <v>449</v>
      </c>
      <c r="O106" s="5" t="s">
        <v>450</v>
      </c>
    </row>
    <row r="107" customFormat="false" ht="13.5" hidden="false" customHeight="true" outlineLevel="0" collapsed="false">
      <c r="A107" s="73" t="s">
        <v>451</v>
      </c>
      <c r="B107" s="2"/>
      <c r="E107" s="2"/>
      <c r="I107" s="1"/>
      <c r="J107" s="2"/>
      <c r="K107" s="53"/>
      <c r="M107" s="4"/>
      <c r="N107" s="2"/>
    </row>
    <row r="108" s="60" customFormat="true" ht="13.5" hidden="false" customHeight="true" outlineLevel="0" collapsed="false">
      <c r="A108" s="73"/>
      <c r="B108" s="2"/>
      <c r="C108" s="2"/>
      <c r="D108" s="3"/>
      <c r="E108" s="2"/>
      <c r="F108" s="2"/>
      <c r="G108" s="2"/>
      <c r="H108" s="2"/>
      <c r="I108" s="1"/>
      <c r="J108" s="2"/>
      <c r="K108" s="53"/>
      <c r="L108" s="2"/>
      <c r="M108" s="4"/>
      <c r="N108" s="2"/>
      <c r="O108" s="5"/>
      <c r="P108" s="2"/>
      <c r="Q108" s="1"/>
      <c r="R108" s="1"/>
      <c r="S108" s="1"/>
      <c r="T108" s="58"/>
      <c r="U108" s="58"/>
      <c r="V108" s="59"/>
      <c r="W108" s="58"/>
      <c r="Y108" s="58"/>
      <c r="Z108" s="58"/>
      <c r="AA108" s="58"/>
      <c r="AB108" s="58"/>
      <c r="AC108" s="61"/>
      <c r="AD108" s="58"/>
      <c r="AF108" s="58"/>
      <c r="AG108" s="58"/>
      <c r="AH108" s="58"/>
      <c r="AI108" s="58"/>
      <c r="AJ108" s="58"/>
      <c r="AK108" s="58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452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60" customFormat="true" ht="13.5" hidden="false" customHeight="true" outlineLevel="0" collapsed="false">
      <c r="A118" s="2"/>
      <c r="B118" s="16"/>
      <c r="C118" s="2"/>
      <c r="D118" s="56"/>
      <c r="E118" s="4"/>
      <c r="F118" s="16"/>
      <c r="G118" s="16"/>
      <c r="H118" s="57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8"/>
      <c r="U118" s="58"/>
      <c r="V118" s="59"/>
      <c r="W118" s="58"/>
      <c r="Y118" s="58"/>
      <c r="Z118" s="58"/>
      <c r="AA118" s="58"/>
      <c r="AB118" s="58"/>
      <c r="AC118" s="61"/>
      <c r="AD118" s="58"/>
      <c r="AF118" s="58"/>
      <c r="AG118" s="58"/>
      <c r="AH118" s="58"/>
      <c r="AI118" s="58"/>
      <c r="AJ118" s="58"/>
      <c r="AK118" s="58"/>
    </row>
    <row r="119" customFormat="false" ht="13.5" hidden="false" customHeight="true" outlineLevel="0" collapsed="false">
      <c r="A119" s="15" t="s">
        <v>453</v>
      </c>
      <c r="B119" s="16"/>
      <c r="F119" s="16"/>
      <c r="G119" s="16"/>
      <c r="I119" s="16" t="s">
        <v>247</v>
      </c>
      <c r="J119" s="57" t="s">
        <v>8</v>
      </c>
      <c r="K119" s="74"/>
      <c r="L119" s="74"/>
      <c r="O119" s="75" t="s">
        <v>454</v>
      </c>
      <c r="AF119" s="1" t="s">
        <v>455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456</v>
      </c>
      <c r="P120" s="25" t="s">
        <v>25</v>
      </c>
      <c r="Q120" s="25" t="s">
        <v>457</v>
      </c>
      <c r="R120" s="25" t="s">
        <v>27</v>
      </c>
      <c r="S120" s="25" t="s">
        <v>28</v>
      </c>
      <c r="T120" s="26" t="s">
        <v>458</v>
      </c>
      <c r="U120" s="26" t="s">
        <v>459</v>
      </c>
      <c r="V120" s="25" t="s">
        <v>460</v>
      </c>
      <c r="W120" s="26"/>
      <c r="X120" s="26"/>
      <c r="Y120" s="26"/>
      <c r="Z120" s="26"/>
      <c r="AA120" s="26" t="s">
        <v>461</v>
      </c>
      <c r="AB120" s="26" t="s">
        <v>462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458</v>
      </c>
      <c r="AH120" s="25" t="s">
        <v>463</v>
      </c>
      <c r="AI120" s="26"/>
      <c r="AJ120" s="26"/>
      <c r="AK120" s="76" t="s">
        <v>464</v>
      </c>
    </row>
    <row r="121" customFormat="false" ht="13.5" hidden="false" customHeight="true" outlineLevel="0" collapsed="false">
      <c r="A121" s="31" t="n">
        <v>1</v>
      </c>
      <c r="B121" s="31" t="n">
        <v>154</v>
      </c>
      <c r="C121" s="32" t="s">
        <v>465</v>
      </c>
      <c r="D121" s="33" t="n">
        <v>242510239</v>
      </c>
      <c r="E121" s="33" t="s">
        <v>466</v>
      </c>
      <c r="F121" s="32" t="s">
        <v>467</v>
      </c>
      <c r="G121" s="32" t="s">
        <v>468</v>
      </c>
      <c r="H121" s="34" t="s">
        <v>469</v>
      </c>
      <c r="I121" s="32" t="s">
        <v>470</v>
      </c>
      <c r="J121" s="35" t="s">
        <v>66</v>
      </c>
      <c r="K121" s="36" t="s">
        <v>469</v>
      </c>
      <c r="L121" s="37" t="n">
        <v>39860</v>
      </c>
      <c r="M121" s="44" t="s">
        <v>60</v>
      </c>
      <c r="N121" s="26" t="s">
        <v>471</v>
      </c>
      <c r="O121" s="39" t="n">
        <v>100</v>
      </c>
      <c r="P121" s="32" t="n">
        <v>100</v>
      </c>
      <c r="Q121" s="31"/>
      <c r="R121" s="31" t="n">
        <v>100</v>
      </c>
      <c r="S121" s="31" t="n">
        <v>100</v>
      </c>
      <c r="T121" s="31"/>
      <c r="U121" s="31" t="n">
        <v>25</v>
      </c>
      <c r="V121" s="39"/>
      <c r="W121" s="31"/>
      <c r="X121" s="32"/>
      <c r="Y121" s="31"/>
      <c r="Z121" s="31"/>
      <c r="AA121" s="31"/>
      <c r="AB121" s="31" t="n">
        <v>90</v>
      </c>
      <c r="AC121" s="40" t="n">
        <f aca="false">O121+P121+R121+S121+AB121</f>
        <v>490</v>
      </c>
      <c r="AD121" s="31" t="n">
        <f aca="false">(Q121+T121+Y121+AA121)*100</f>
        <v>0</v>
      </c>
      <c r="AE121" s="41" t="n">
        <f aca="false">(0.8*AC121)+(0.2*AD121)</f>
        <v>392</v>
      </c>
      <c r="AF121" s="65" t="n">
        <f aca="false">84+((AE121-$AE$161)/($AE$160-$AE$161)*(92-84))</f>
        <v>86.88</v>
      </c>
      <c r="AG121" s="31"/>
      <c r="AH121" s="31" t="n">
        <v>100</v>
      </c>
      <c r="AI121" s="31"/>
      <c r="AJ121" s="31"/>
      <c r="AK121" s="31"/>
    </row>
    <row r="122" customFormat="false" ht="13.5" hidden="false" customHeight="true" outlineLevel="0" collapsed="false">
      <c r="A122" s="31" t="n">
        <v>2</v>
      </c>
      <c r="B122" s="31" t="n">
        <v>155</v>
      </c>
      <c r="C122" s="32" t="s">
        <v>472</v>
      </c>
      <c r="D122" s="33" t="n">
        <v>242510082</v>
      </c>
      <c r="E122" s="33" t="s">
        <v>473</v>
      </c>
      <c r="F122" s="32" t="s">
        <v>474</v>
      </c>
      <c r="G122" s="32" t="s">
        <v>475</v>
      </c>
      <c r="H122" s="34" t="s">
        <v>476</v>
      </c>
      <c r="I122" s="32" t="s">
        <v>477</v>
      </c>
      <c r="J122" s="35" t="s">
        <v>52</v>
      </c>
      <c r="K122" s="36" t="s">
        <v>476</v>
      </c>
      <c r="L122" s="37" t="n">
        <v>39395</v>
      </c>
      <c r="M122" s="47" t="s">
        <v>78</v>
      </c>
      <c r="N122" s="26" t="s">
        <v>471</v>
      </c>
      <c r="O122" s="39" t="n">
        <v>100</v>
      </c>
      <c r="P122" s="32" t="n">
        <v>100</v>
      </c>
      <c r="Q122" s="31"/>
      <c r="R122" s="31" t="n">
        <v>100</v>
      </c>
      <c r="S122" s="31" t="n">
        <v>100</v>
      </c>
      <c r="T122" s="31" t="n">
        <v>1</v>
      </c>
      <c r="U122" s="31" t="n">
        <v>16</v>
      </c>
      <c r="V122" s="39"/>
      <c r="W122" s="31"/>
      <c r="X122" s="32"/>
      <c r="Y122" s="31"/>
      <c r="Z122" s="31"/>
      <c r="AA122" s="31"/>
      <c r="AB122" s="31" t="n">
        <v>100</v>
      </c>
      <c r="AC122" s="40" t="n">
        <f aca="false">O122+P122+R122+S122+AB122</f>
        <v>500</v>
      </c>
      <c r="AD122" s="31" t="n">
        <f aca="false">(Q122+T122+Y122+AA122)*100</f>
        <v>100</v>
      </c>
      <c r="AE122" s="41" t="n">
        <f aca="false">(0.8*AC122)+(0.2*AD122)</f>
        <v>420</v>
      </c>
      <c r="AF122" s="65" t="n">
        <f aca="false">84+((AE122-$AE$161)/($AE$160-$AE$161)*(92-84))</f>
        <v>88</v>
      </c>
      <c r="AG122" s="31"/>
      <c r="AH122" s="31" t="n">
        <v>100</v>
      </c>
      <c r="AI122" s="31"/>
      <c r="AJ122" s="31"/>
      <c r="AK122" s="31"/>
    </row>
    <row r="123" customFormat="false" ht="13.5" hidden="false" customHeight="true" outlineLevel="0" collapsed="false">
      <c r="A123" s="31" t="n">
        <v>3</v>
      </c>
      <c r="B123" s="31" t="n">
        <v>156</v>
      </c>
      <c r="C123" s="32" t="s">
        <v>478</v>
      </c>
      <c r="D123" s="33" t="n">
        <v>242510161</v>
      </c>
      <c r="E123" s="33" t="s">
        <v>479</v>
      </c>
      <c r="F123" s="32" t="s">
        <v>480</v>
      </c>
      <c r="G123" s="32" t="s">
        <v>481</v>
      </c>
      <c r="H123" s="34" t="s">
        <v>482</v>
      </c>
      <c r="I123" s="32" t="s">
        <v>483</v>
      </c>
      <c r="J123" s="35" t="s">
        <v>52</v>
      </c>
      <c r="K123" s="36" t="s">
        <v>482</v>
      </c>
      <c r="L123" s="37" t="n">
        <v>39754</v>
      </c>
      <c r="M123" s="47" t="s">
        <v>78</v>
      </c>
      <c r="N123" s="26" t="s">
        <v>471</v>
      </c>
      <c r="O123" s="39" t="n">
        <v>100</v>
      </c>
      <c r="P123" s="32" t="n">
        <v>100</v>
      </c>
      <c r="Q123" s="31"/>
      <c r="R123" s="31" t="n">
        <v>100</v>
      </c>
      <c r="S123" s="31" t="n">
        <v>100</v>
      </c>
      <c r="T123" s="31"/>
      <c r="U123" s="31" t="n">
        <v>35</v>
      </c>
      <c r="V123" s="39"/>
      <c r="W123" s="31"/>
      <c r="X123" s="32"/>
      <c r="Y123" s="31"/>
      <c r="Z123" s="31"/>
      <c r="AA123" s="31"/>
      <c r="AB123" s="31" t="n">
        <v>90</v>
      </c>
      <c r="AC123" s="40" t="n">
        <f aca="false">O123+P123+R123+S123+AB123</f>
        <v>490</v>
      </c>
      <c r="AD123" s="31" t="n">
        <f aca="false">(Q123+T123+Y123+AA123)*100</f>
        <v>0</v>
      </c>
      <c r="AE123" s="41" t="n">
        <f aca="false">(0.8*AC123)+(0.2*AD123)</f>
        <v>392</v>
      </c>
      <c r="AF123" s="65" t="n">
        <f aca="false">84+((AE123-$AE$161)/($AE$160-$AE$161)*(92-84))</f>
        <v>86.88</v>
      </c>
      <c r="AG123" s="31"/>
      <c r="AH123" s="31" t="n">
        <v>100</v>
      </c>
      <c r="AI123" s="31"/>
      <c r="AJ123" s="31"/>
      <c r="AK123" s="31"/>
    </row>
    <row r="124" customFormat="false" ht="13.5" hidden="false" customHeight="true" outlineLevel="0" collapsed="false">
      <c r="A124" s="31" t="n">
        <v>4</v>
      </c>
      <c r="B124" s="31" t="n">
        <v>157</v>
      </c>
      <c r="C124" s="32" t="s">
        <v>484</v>
      </c>
      <c r="D124" s="33" t="n">
        <v>242510242</v>
      </c>
      <c r="E124" s="33" t="s">
        <v>485</v>
      </c>
      <c r="F124" s="32" t="s">
        <v>486</v>
      </c>
      <c r="G124" s="32" t="s">
        <v>487</v>
      </c>
      <c r="H124" s="34" t="s">
        <v>488</v>
      </c>
      <c r="I124" s="32" t="s">
        <v>338</v>
      </c>
      <c r="J124" s="35" t="s">
        <v>66</v>
      </c>
      <c r="K124" s="36" t="s">
        <v>488</v>
      </c>
      <c r="L124" s="37" t="n">
        <v>39971</v>
      </c>
      <c r="M124" s="44" t="s">
        <v>60</v>
      </c>
      <c r="N124" s="26" t="s">
        <v>471</v>
      </c>
      <c r="O124" s="39" t="n">
        <v>100</v>
      </c>
      <c r="P124" s="32" t="n">
        <v>100</v>
      </c>
      <c r="Q124" s="31"/>
      <c r="R124" s="31" t="n">
        <v>100</v>
      </c>
      <c r="S124" s="31" t="n">
        <v>100</v>
      </c>
      <c r="T124" s="31"/>
      <c r="U124" s="31" t="n">
        <v>20</v>
      </c>
      <c r="V124" s="39"/>
      <c r="W124" s="31"/>
      <c r="X124" s="32"/>
      <c r="Y124" s="31"/>
      <c r="Z124" s="31"/>
      <c r="AA124" s="31"/>
      <c r="AB124" s="31" t="n">
        <v>100</v>
      </c>
      <c r="AC124" s="40" t="n">
        <f aca="false">O124+P124+R124+S124+AB124</f>
        <v>500</v>
      </c>
      <c r="AD124" s="31" t="n">
        <f aca="false">(Q124+T124+Y124+AA124)*100</f>
        <v>0</v>
      </c>
      <c r="AE124" s="41" t="n">
        <f aca="false">(0.8*AC124)+(0.2*AD124)</f>
        <v>400</v>
      </c>
      <c r="AF124" s="65" t="n">
        <f aca="false">84+((AE124-$AE$161)/($AE$160-$AE$161)*(92-84))</f>
        <v>87.2</v>
      </c>
      <c r="AG124" s="31"/>
      <c r="AH124" s="31" t="n">
        <v>100</v>
      </c>
      <c r="AI124" s="31"/>
      <c r="AJ124" s="31" t="n">
        <v>1</v>
      </c>
      <c r="AK124" s="31"/>
    </row>
    <row r="125" customFormat="false" ht="13.5" hidden="false" customHeight="true" outlineLevel="0" collapsed="false">
      <c r="A125" s="31" t="n">
        <v>5</v>
      </c>
      <c r="B125" s="31"/>
      <c r="C125" s="32"/>
      <c r="D125" s="33" t="n">
        <v>242510206</v>
      </c>
      <c r="E125" s="33" t="s">
        <v>489</v>
      </c>
      <c r="F125" s="32" t="s">
        <v>490</v>
      </c>
      <c r="G125" s="32" t="s">
        <v>491</v>
      </c>
      <c r="H125" s="34" t="s">
        <v>492</v>
      </c>
      <c r="I125" s="32" t="s">
        <v>51</v>
      </c>
      <c r="J125" s="35" t="s">
        <v>52</v>
      </c>
      <c r="K125" s="36" t="s">
        <v>492</v>
      </c>
      <c r="L125" s="37"/>
      <c r="M125" s="48"/>
      <c r="N125" s="26"/>
      <c r="O125" s="39" t="n">
        <v>100</v>
      </c>
      <c r="P125" s="32" t="n">
        <v>100</v>
      </c>
      <c r="Q125" s="31"/>
      <c r="R125" s="31" t="n">
        <v>100</v>
      </c>
      <c r="S125" s="31" t="n">
        <v>100</v>
      </c>
      <c r="T125" s="31"/>
      <c r="U125" s="31" t="n">
        <v>19</v>
      </c>
      <c r="V125" s="39"/>
      <c r="W125" s="31"/>
      <c r="X125" s="32"/>
      <c r="Y125" s="31"/>
      <c r="Z125" s="31"/>
      <c r="AA125" s="31"/>
      <c r="AB125" s="31" t="n">
        <v>90</v>
      </c>
      <c r="AC125" s="40" t="n">
        <f aca="false">O125+P125+R125+S125+AB125</f>
        <v>490</v>
      </c>
      <c r="AD125" s="31" t="n">
        <f aca="false">(Q125+T125+Y125+AA125)*100</f>
        <v>0</v>
      </c>
      <c r="AE125" s="41" t="n">
        <f aca="false">(0.8*AC125)+(0.2*AD125)</f>
        <v>392</v>
      </c>
      <c r="AF125" s="65" t="n">
        <f aca="false">84+((AE125-$AE$161)/($AE$160-$AE$161)*(92-84))</f>
        <v>86.88</v>
      </c>
      <c r="AG125" s="31"/>
      <c r="AH125" s="31" t="n">
        <v>100</v>
      </c>
      <c r="AI125" s="31"/>
      <c r="AJ125" s="31"/>
      <c r="AK125" s="31"/>
    </row>
    <row r="126" customFormat="false" ht="13.5" hidden="false" customHeight="true" outlineLevel="0" collapsed="false">
      <c r="A126" s="31" t="n">
        <v>6</v>
      </c>
      <c r="B126" s="31" t="n">
        <v>158</v>
      </c>
      <c r="C126" s="32" t="s">
        <v>493</v>
      </c>
      <c r="D126" s="33" t="n">
        <v>242510244</v>
      </c>
      <c r="E126" s="33" t="s">
        <v>494</v>
      </c>
      <c r="F126" s="32" t="s">
        <v>495</v>
      </c>
      <c r="G126" s="32"/>
      <c r="H126" s="34" t="s">
        <v>496</v>
      </c>
      <c r="I126" s="32" t="s">
        <v>186</v>
      </c>
      <c r="J126" s="35" t="s">
        <v>52</v>
      </c>
      <c r="K126" s="36" t="s">
        <v>496</v>
      </c>
      <c r="L126" s="37" t="n">
        <v>39842</v>
      </c>
      <c r="M126" s="48" t="s">
        <v>112</v>
      </c>
      <c r="N126" s="26" t="s">
        <v>471</v>
      </c>
      <c r="O126" s="39" t="n">
        <v>100</v>
      </c>
      <c r="P126" s="32" t="n">
        <v>100</v>
      </c>
      <c r="Q126" s="31"/>
      <c r="R126" s="31" t="n">
        <v>100</v>
      </c>
      <c r="S126" s="31" t="n">
        <v>100</v>
      </c>
      <c r="T126" s="31" t="n">
        <v>1</v>
      </c>
      <c r="U126" s="31" t="n">
        <v>26</v>
      </c>
      <c r="V126" s="39"/>
      <c r="W126" s="31"/>
      <c r="X126" s="32"/>
      <c r="Y126" s="31"/>
      <c r="Z126" s="31"/>
      <c r="AA126" s="31"/>
      <c r="AB126" s="31" t="n">
        <v>90</v>
      </c>
      <c r="AC126" s="40" t="n">
        <f aca="false">O126+P126+R126+S126+AB126</f>
        <v>490</v>
      </c>
      <c r="AD126" s="31" t="n">
        <f aca="false">(Q126+T126+Y126+AA126)*100</f>
        <v>100</v>
      </c>
      <c r="AE126" s="41" t="n">
        <f aca="false">(0.8*AC126)+(0.2*AD126)</f>
        <v>412</v>
      </c>
      <c r="AF126" s="65" t="n">
        <f aca="false">84+((AE126-$AE$161)/($AE$160-$AE$161)*(92-84))</f>
        <v>87.68</v>
      </c>
      <c r="AG126" s="31"/>
      <c r="AH126" s="31" t="n">
        <v>100</v>
      </c>
      <c r="AI126" s="31"/>
      <c r="AJ126" s="31"/>
      <c r="AK126" s="31"/>
    </row>
    <row r="127" customFormat="false" ht="13.5" hidden="false" customHeight="true" outlineLevel="0" collapsed="false">
      <c r="A127" s="31" t="n">
        <v>7</v>
      </c>
      <c r="B127" s="31" t="n">
        <v>159</v>
      </c>
      <c r="C127" s="32" t="s">
        <v>497</v>
      </c>
      <c r="D127" s="33" t="n">
        <v>242510278</v>
      </c>
      <c r="E127" s="33" t="s">
        <v>498</v>
      </c>
      <c r="F127" s="32" t="s">
        <v>499</v>
      </c>
      <c r="G127" s="32" t="s">
        <v>500</v>
      </c>
      <c r="H127" s="34" t="s">
        <v>501</v>
      </c>
      <c r="I127" s="32" t="s">
        <v>51</v>
      </c>
      <c r="J127" s="35" t="s">
        <v>52</v>
      </c>
      <c r="K127" s="36" t="s">
        <v>501</v>
      </c>
      <c r="L127" s="37" t="n">
        <v>40032</v>
      </c>
      <c r="M127" s="47" t="s">
        <v>78</v>
      </c>
      <c r="N127" s="26" t="s">
        <v>471</v>
      </c>
      <c r="O127" s="39" t="n">
        <v>100</v>
      </c>
      <c r="P127" s="32" t="n">
        <v>100</v>
      </c>
      <c r="Q127" s="31"/>
      <c r="R127" s="31" t="n">
        <v>100</v>
      </c>
      <c r="S127" s="31" t="n">
        <v>100</v>
      </c>
      <c r="T127" s="31"/>
      <c r="U127" s="31" t="n">
        <v>21</v>
      </c>
      <c r="V127" s="39"/>
      <c r="W127" s="31"/>
      <c r="X127" s="32"/>
      <c r="Y127" s="31"/>
      <c r="Z127" s="31"/>
      <c r="AA127" s="31"/>
      <c r="AB127" s="31" t="n">
        <v>100</v>
      </c>
      <c r="AC127" s="40" t="n">
        <f aca="false">O127+P127+R127+S127+AB127</f>
        <v>500</v>
      </c>
      <c r="AD127" s="31" t="n">
        <f aca="false">(Q127+T127+Y127+AA127)*100</f>
        <v>0</v>
      </c>
      <c r="AE127" s="41" t="n">
        <f aca="false">(0.8*AC127)+(0.2*AD127)</f>
        <v>400</v>
      </c>
      <c r="AF127" s="65" t="n">
        <f aca="false">84+((AE127-$AE$161)/($AE$160-$AE$161)*(92-84))</f>
        <v>87.2</v>
      </c>
      <c r="AG127" s="31"/>
      <c r="AH127" s="31" t="n">
        <v>100</v>
      </c>
      <c r="AI127" s="31"/>
      <c r="AJ127" s="31"/>
      <c r="AK127" s="31"/>
    </row>
    <row r="128" customFormat="false" ht="13.5" hidden="false" customHeight="true" outlineLevel="0" collapsed="false">
      <c r="A128" s="31" t="n">
        <v>8</v>
      </c>
      <c r="B128" s="31" t="n">
        <v>160</v>
      </c>
      <c r="C128" s="32" t="s">
        <v>502</v>
      </c>
      <c r="D128" s="33" t="n">
        <v>242510282</v>
      </c>
      <c r="E128" s="33" t="s">
        <v>503</v>
      </c>
      <c r="F128" s="32" t="s">
        <v>504</v>
      </c>
      <c r="G128" s="32" t="s">
        <v>505</v>
      </c>
      <c r="H128" s="34" t="s">
        <v>506</v>
      </c>
      <c r="I128" s="32" t="s">
        <v>507</v>
      </c>
      <c r="J128" s="35" t="s">
        <v>66</v>
      </c>
      <c r="K128" s="36" t="s">
        <v>506</v>
      </c>
      <c r="L128" s="37" t="n">
        <v>39939</v>
      </c>
      <c r="M128" s="47" t="s">
        <v>78</v>
      </c>
      <c r="N128" s="26" t="s">
        <v>471</v>
      </c>
      <c r="O128" s="39" t="n">
        <v>100</v>
      </c>
      <c r="P128" s="32" t="n">
        <v>100</v>
      </c>
      <c r="Q128" s="31"/>
      <c r="R128" s="31" t="n">
        <v>100</v>
      </c>
      <c r="S128" s="31" t="n">
        <v>100</v>
      </c>
      <c r="T128" s="31"/>
      <c r="U128" s="31" t="n">
        <v>8</v>
      </c>
      <c r="V128" s="39"/>
      <c r="W128" s="31"/>
      <c r="X128" s="32"/>
      <c r="Y128" s="31"/>
      <c r="Z128" s="31"/>
      <c r="AA128" s="31" t="n">
        <v>1</v>
      </c>
      <c r="AB128" s="31" t="n">
        <v>90</v>
      </c>
      <c r="AC128" s="40" t="n">
        <f aca="false">O128+P128+R128+S128+AB128</f>
        <v>490</v>
      </c>
      <c r="AD128" s="31" t="n">
        <f aca="false">(Q128+T128+Y128+AA128)*100</f>
        <v>100</v>
      </c>
      <c r="AE128" s="41" t="n">
        <f aca="false">(0.8*AC128)+(0.2*AD128)</f>
        <v>412</v>
      </c>
      <c r="AF128" s="65" t="n">
        <f aca="false">84+((AE128-$AE$161)/($AE$160-$AE$161)*(92-84))</f>
        <v>87.68</v>
      </c>
      <c r="AG128" s="31" t="n">
        <v>2</v>
      </c>
      <c r="AH128" s="31" t="n">
        <v>100</v>
      </c>
      <c r="AI128" s="31"/>
      <c r="AJ128" s="31"/>
      <c r="AK128" s="31"/>
    </row>
    <row r="129" customFormat="false" ht="13.5" hidden="false" customHeight="true" outlineLevel="0" collapsed="false">
      <c r="A129" s="31" t="n">
        <v>9</v>
      </c>
      <c r="B129" s="31" t="n">
        <v>161</v>
      </c>
      <c r="C129" s="32" t="s">
        <v>508</v>
      </c>
      <c r="D129" s="33" t="n">
        <v>242510123</v>
      </c>
      <c r="E129" s="33" t="s">
        <v>509</v>
      </c>
      <c r="F129" s="32" t="s">
        <v>510</v>
      </c>
      <c r="G129" s="32" t="s">
        <v>511</v>
      </c>
      <c r="H129" s="34" t="s">
        <v>512</v>
      </c>
      <c r="I129" s="32" t="s">
        <v>135</v>
      </c>
      <c r="J129" s="35" t="s">
        <v>52</v>
      </c>
      <c r="K129" s="36" t="s">
        <v>512</v>
      </c>
      <c r="L129" s="37" t="n">
        <v>39838</v>
      </c>
      <c r="M129" s="44" t="s">
        <v>60</v>
      </c>
      <c r="N129" s="26" t="s">
        <v>471</v>
      </c>
      <c r="O129" s="39" t="n">
        <v>100</v>
      </c>
      <c r="P129" s="32" t="n">
        <v>100</v>
      </c>
      <c r="Q129" s="31"/>
      <c r="R129" s="31" t="n">
        <v>100</v>
      </c>
      <c r="S129" s="31" t="n">
        <v>100</v>
      </c>
      <c r="T129" s="31"/>
      <c r="U129" s="31" t="n">
        <v>29</v>
      </c>
      <c r="V129" s="39"/>
      <c r="W129" s="31"/>
      <c r="X129" s="32"/>
      <c r="Y129" s="31"/>
      <c r="Z129" s="31"/>
      <c r="AA129" s="31"/>
      <c r="AB129" s="31" t="n">
        <v>100</v>
      </c>
      <c r="AC129" s="40" t="n">
        <f aca="false">O129+P129+R129+S129+AB129</f>
        <v>500</v>
      </c>
      <c r="AD129" s="31" t="n">
        <f aca="false">(Q129+T129+Y129+AA129)*100</f>
        <v>0</v>
      </c>
      <c r="AE129" s="41" t="n">
        <f aca="false">(0.8*AC129)+(0.2*AD129)</f>
        <v>400</v>
      </c>
      <c r="AF129" s="65" t="n">
        <f aca="false">84+((AE129-$AE$161)/($AE$160-$AE$161)*(92-84))</f>
        <v>87.2</v>
      </c>
      <c r="AG129" s="31"/>
      <c r="AH129" s="31" t="n">
        <v>100</v>
      </c>
      <c r="AI129" s="31"/>
      <c r="AJ129" s="31"/>
      <c r="AK129" s="31"/>
    </row>
    <row r="130" customFormat="false" ht="13.5" hidden="false" customHeight="true" outlineLevel="0" collapsed="false">
      <c r="A130" s="31" t="n">
        <v>10</v>
      </c>
      <c r="B130" s="31" t="n">
        <v>162</v>
      </c>
      <c r="C130" s="32" t="s">
        <v>513</v>
      </c>
      <c r="D130" s="33" t="n">
        <v>242510007</v>
      </c>
      <c r="E130" s="33" t="s">
        <v>514</v>
      </c>
      <c r="F130" s="32" t="s">
        <v>515</v>
      </c>
      <c r="G130" s="32" t="s">
        <v>516</v>
      </c>
      <c r="H130" s="77" t="s">
        <v>517</v>
      </c>
      <c r="I130" s="32" t="s">
        <v>518</v>
      </c>
      <c r="J130" s="35" t="s">
        <v>52</v>
      </c>
      <c r="K130" s="36" t="s">
        <v>517</v>
      </c>
      <c r="L130" s="37" t="n">
        <v>39800</v>
      </c>
      <c r="M130" s="48" t="s">
        <v>112</v>
      </c>
      <c r="N130" s="26" t="s">
        <v>471</v>
      </c>
      <c r="O130" s="39" t="n">
        <v>100</v>
      </c>
      <c r="P130" s="32" t="n">
        <v>100</v>
      </c>
      <c r="Q130" s="31"/>
      <c r="R130" s="31" t="n">
        <v>100</v>
      </c>
      <c r="S130" s="31" t="n">
        <v>100</v>
      </c>
      <c r="T130" s="31"/>
      <c r="U130" s="31" t="n">
        <v>3</v>
      </c>
      <c r="V130" s="39" t="n">
        <v>100</v>
      </c>
      <c r="W130" s="31"/>
      <c r="X130" s="32"/>
      <c r="Y130" s="31"/>
      <c r="Z130" s="31"/>
      <c r="AA130" s="31" t="n">
        <v>6</v>
      </c>
      <c r="AB130" s="31" t="n">
        <v>100</v>
      </c>
      <c r="AC130" s="40" t="n">
        <f aca="false">O130+P130+R130+S130+AB130</f>
        <v>500</v>
      </c>
      <c r="AD130" s="31" t="n">
        <f aca="false">(Q130+T130+Y130+AA130)*100</f>
        <v>600</v>
      </c>
      <c r="AE130" s="41" t="n">
        <f aca="false">(0.8*AC130)+(0.2*AD130)</f>
        <v>520</v>
      </c>
      <c r="AF130" s="65" t="n">
        <f aca="false">84+((AE130-$AE$161)/($AE$160-$AE$161)*(92-84))</f>
        <v>92</v>
      </c>
      <c r="AG130" s="31"/>
      <c r="AH130" s="31" t="n">
        <v>100</v>
      </c>
      <c r="AI130" s="31"/>
      <c r="AJ130" s="31"/>
      <c r="AK130" s="31"/>
    </row>
    <row r="131" customFormat="false" ht="13.5" hidden="false" customHeight="true" outlineLevel="0" collapsed="false">
      <c r="A131" s="31" t="n">
        <v>11</v>
      </c>
      <c r="B131" s="31" t="n">
        <v>163</v>
      </c>
      <c r="C131" s="32" t="s">
        <v>519</v>
      </c>
      <c r="D131" s="33" t="n">
        <v>242510167</v>
      </c>
      <c r="E131" s="33" t="s">
        <v>520</v>
      </c>
      <c r="F131" s="32" t="s">
        <v>521</v>
      </c>
      <c r="G131" s="32" t="s">
        <v>522</v>
      </c>
      <c r="H131" s="77" t="s">
        <v>523</v>
      </c>
      <c r="I131" s="32" t="s">
        <v>524</v>
      </c>
      <c r="J131" s="35" t="s">
        <v>52</v>
      </c>
      <c r="K131" s="36" t="s">
        <v>523</v>
      </c>
      <c r="L131" s="37" t="n">
        <v>39940</v>
      </c>
      <c r="M131" s="44" t="s">
        <v>60</v>
      </c>
      <c r="N131" s="26" t="s">
        <v>471</v>
      </c>
      <c r="O131" s="39" t="n">
        <v>100</v>
      </c>
      <c r="P131" s="32" t="n">
        <v>100</v>
      </c>
      <c r="Q131" s="31" t="n">
        <v>1</v>
      </c>
      <c r="R131" s="31" t="n">
        <v>100</v>
      </c>
      <c r="S131" s="31" t="n">
        <v>100</v>
      </c>
      <c r="T131" s="31" t="n">
        <v>2</v>
      </c>
      <c r="U131" s="31" t="n">
        <v>10</v>
      </c>
      <c r="V131" s="39"/>
      <c r="W131" s="31"/>
      <c r="X131" s="32"/>
      <c r="Y131" s="31"/>
      <c r="Z131" s="31"/>
      <c r="AA131" s="31"/>
      <c r="AB131" s="31" t="n">
        <v>100</v>
      </c>
      <c r="AC131" s="40" t="n">
        <f aca="false">O131+P131+R131+S131+AB131</f>
        <v>500</v>
      </c>
      <c r="AD131" s="31" t="n">
        <f aca="false">(Q131+T131+Y131+AA131)*100</f>
        <v>300</v>
      </c>
      <c r="AE131" s="41" t="n">
        <f aca="false">(0.8*AC131)+(0.2*AD131)</f>
        <v>460</v>
      </c>
      <c r="AF131" s="65" t="n">
        <f aca="false">84+((AE131-$AE$161)/($AE$160-$AE$161)*(92-84))</f>
        <v>89.6</v>
      </c>
      <c r="AG131" s="31"/>
      <c r="AH131" s="31" t="n">
        <v>100</v>
      </c>
      <c r="AI131" s="31"/>
      <c r="AJ131" s="31" t="n">
        <v>2</v>
      </c>
      <c r="AK131" s="31" t="n">
        <v>1</v>
      </c>
    </row>
    <row r="132" customFormat="false" ht="13.5" hidden="false" customHeight="true" outlineLevel="0" collapsed="false">
      <c r="A132" s="31" t="n">
        <v>12</v>
      </c>
      <c r="B132" s="31" t="n">
        <v>164</v>
      </c>
      <c r="C132" s="32" t="s">
        <v>525</v>
      </c>
      <c r="D132" s="33" t="n">
        <v>242510210</v>
      </c>
      <c r="E132" s="33" t="s">
        <v>526</v>
      </c>
      <c r="F132" s="32" t="s">
        <v>527</v>
      </c>
      <c r="G132" s="32" t="s">
        <v>528</v>
      </c>
      <c r="H132" s="34" t="s">
        <v>529</v>
      </c>
      <c r="I132" s="32" t="s">
        <v>483</v>
      </c>
      <c r="J132" s="35" t="s">
        <v>52</v>
      </c>
      <c r="K132" s="36" t="s">
        <v>529</v>
      </c>
      <c r="L132" s="37" t="n">
        <v>39618</v>
      </c>
      <c r="M132" s="45" t="s">
        <v>67</v>
      </c>
      <c r="N132" s="26" t="s">
        <v>471</v>
      </c>
      <c r="O132" s="39" t="n">
        <v>100</v>
      </c>
      <c r="P132" s="32" t="n">
        <v>100</v>
      </c>
      <c r="Q132" s="31"/>
      <c r="R132" s="31" t="n">
        <v>100</v>
      </c>
      <c r="S132" s="31" t="n">
        <v>100</v>
      </c>
      <c r="T132" s="31"/>
      <c r="U132" s="31" t="n">
        <v>32</v>
      </c>
      <c r="V132" s="39"/>
      <c r="W132" s="31"/>
      <c r="X132" s="32"/>
      <c r="Y132" s="31"/>
      <c r="Z132" s="31"/>
      <c r="AA132" s="31"/>
      <c r="AB132" s="31" t="n">
        <v>100</v>
      </c>
      <c r="AC132" s="40" t="n">
        <f aca="false">O132+P132+R132+S132+AB132</f>
        <v>500</v>
      </c>
      <c r="AD132" s="31" t="n">
        <f aca="false">(Q132+T132+Y132+AA132)*100</f>
        <v>0</v>
      </c>
      <c r="AE132" s="41" t="n">
        <f aca="false">(0.8*AC132)+(0.2*AD132)</f>
        <v>400</v>
      </c>
      <c r="AF132" s="65" t="n">
        <f aca="false">84+((AE132-$AE$161)/($AE$160-$AE$161)*(92-84))</f>
        <v>87.2</v>
      </c>
      <c r="AG132" s="31"/>
      <c r="AH132" s="31" t="n">
        <v>100</v>
      </c>
      <c r="AI132" s="31"/>
      <c r="AJ132" s="31"/>
      <c r="AK132" s="31"/>
    </row>
    <row r="133" customFormat="false" ht="13.5" hidden="false" customHeight="true" outlineLevel="0" collapsed="false">
      <c r="A133" s="31" t="n">
        <v>13</v>
      </c>
      <c r="B133" s="31" t="n">
        <v>165</v>
      </c>
      <c r="C133" s="32" t="s">
        <v>530</v>
      </c>
      <c r="D133" s="33" t="n">
        <v>242510289</v>
      </c>
      <c r="E133" s="33" t="s">
        <v>531</v>
      </c>
      <c r="F133" s="32" t="s">
        <v>309</v>
      </c>
      <c r="G133" s="32" t="s">
        <v>310</v>
      </c>
      <c r="H133" s="77" t="s">
        <v>532</v>
      </c>
      <c r="I133" s="32" t="s">
        <v>51</v>
      </c>
      <c r="J133" s="35" t="s">
        <v>52</v>
      </c>
      <c r="K133" s="36" t="s">
        <v>532</v>
      </c>
      <c r="L133" s="37" t="n">
        <v>39759</v>
      </c>
      <c r="M133" s="47" t="s">
        <v>78</v>
      </c>
      <c r="N133" s="26" t="s">
        <v>471</v>
      </c>
      <c r="O133" s="39" t="n">
        <v>100</v>
      </c>
      <c r="P133" s="32" t="n">
        <v>100</v>
      </c>
      <c r="Q133" s="31" t="n">
        <v>1</v>
      </c>
      <c r="R133" s="31" t="n">
        <v>100</v>
      </c>
      <c r="S133" s="31" t="n">
        <v>100</v>
      </c>
      <c r="T133" s="31"/>
      <c r="U133" s="31" t="n">
        <v>6</v>
      </c>
      <c r="V133" s="39"/>
      <c r="W133" s="31"/>
      <c r="X133" s="32"/>
      <c r="Y133" s="31"/>
      <c r="Z133" s="31"/>
      <c r="AA133" s="31"/>
      <c r="AB133" s="31" t="n">
        <v>100</v>
      </c>
      <c r="AC133" s="40" t="n">
        <f aca="false">O133+P133+R133+S133+AB133</f>
        <v>500</v>
      </c>
      <c r="AD133" s="31" t="n">
        <f aca="false">(Q133+T133+Y133+AA133)*100</f>
        <v>100</v>
      </c>
      <c r="AE133" s="41" t="n">
        <f aca="false">(0.8*AC133)+(0.2*AD133)</f>
        <v>420</v>
      </c>
      <c r="AF133" s="65" t="n">
        <f aca="false">84+((AE133-$AE$161)/($AE$160-$AE$161)*(92-84))</f>
        <v>88</v>
      </c>
      <c r="AG133" s="31"/>
      <c r="AH133" s="31" t="n">
        <v>100</v>
      </c>
      <c r="AI133" s="31" t="s">
        <v>533</v>
      </c>
      <c r="AJ133" s="31"/>
      <c r="AK133" s="31"/>
    </row>
    <row r="134" customFormat="false" ht="13.5" hidden="false" customHeight="true" outlineLevel="0" collapsed="false">
      <c r="A134" s="31" t="n">
        <v>14</v>
      </c>
      <c r="B134" s="31" t="n">
        <v>166</v>
      </c>
      <c r="C134" s="32" t="s">
        <v>534</v>
      </c>
      <c r="D134" s="33" t="n">
        <v>242510252</v>
      </c>
      <c r="E134" s="33" t="s">
        <v>535</v>
      </c>
      <c r="F134" s="32" t="s">
        <v>536</v>
      </c>
      <c r="G134" s="32" t="s">
        <v>537</v>
      </c>
      <c r="H134" s="34" t="s">
        <v>538</v>
      </c>
      <c r="I134" s="32" t="s">
        <v>123</v>
      </c>
      <c r="J134" s="35" t="s">
        <v>52</v>
      </c>
      <c r="K134" s="36" t="s">
        <v>538</v>
      </c>
      <c r="L134" s="37" t="n">
        <v>39725</v>
      </c>
      <c r="M134" s="44" t="s">
        <v>60</v>
      </c>
      <c r="N134" s="26" t="s">
        <v>471</v>
      </c>
      <c r="O134" s="39" t="n">
        <v>100</v>
      </c>
      <c r="P134" s="32" t="n">
        <v>100</v>
      </c>
      <c r="Q134" s="31"/>
      <c r="R134" s="31" t="n">
        <v>100</v>
      </c>
      <c r="S134" s="31" t="n">
        <v>100</v>
      </c>
      <c r="T134" s="31"/>
      <c r="U134" s="31" t="n">
        <v>14</v>
      </c>
      <c r="V134" s="39"/>
      <c r="W134" s="31"/>
      <c r="X134" s="32"/>
      <c r="Y134" s="31"/>
      <c r="Z134" s="31"/>
      <c r="AA134" s="31"/>
      <c r="AB134" s="31" t="n">
        <v>95</v>
      </c>
      <c r="AC134" s="40" t="n">
        <f aca="false">O134+P134+R134+S134+AB134</f>
        <v>495</v>
      </c>
      <c r="AD134" s="31" t="n">
        <f aca="false">(Q134+T134+Y134+AA134)*100</f>
        <v>0</v>
      </c>
      <c r="AE134" s="41" t="n">
        <f aca="false">(0.8*AC134)+(0.2*AD134)</f>
        <v>396</v>
      </c>
      <c r="AF134" s="65" t="n">
        <f aca="false">84+((AE134-$AE$161)/($AE$160-$AE$161)*(92-84))</f>
        <v>87.04</v>
      </c>
      <c r="AG134" s="31"/>
      <c r="AH134" s="31" t="n">
        <v>100</v>
      </c>
      <c r="AI134" s="31"/>
      <c r="AJ134" s="31"/>
      <c r="AK134" s="31"/>
    </row>
    <row r="135" customFormat="false" ht="13.5" hidden="false" customHeight="true" outlineLevel="0" collapsed="false">
      <c r="A135" s="31" t="n">
        <v>15</v>
      </c>
      <c r="B135" s="31" t="n">
        <v>167</v>
      </c>
      <c r="C135" s="32" t="s">
        <v>539</v>
      </c>
      <c r="D135" s="33" t="n">
        <v>242510329</v>
      </c>
      <c r="E135" s="33" t="s">
        <v>540</v>
      </c>
      <c r="F135" s="32" t="s">
        <v>541</v>
      </c>
      <c r="G135" s="32" t="s">
        <v>542</v>
      </c>
      <c r="H135" s="77" t="s">
        <v>543</v>
      </c>
      <c r="I135" s="32" t="s">
        <v>544</v>
      </c>
      <c r="J135" s="35" t="s">
        <v>52</v>
      </c>
      <c r="K135" s="36" t="s">
        <v>543</v>
      </c>
      <c r="L135" s="37" t="n">
        <v>39940</v>
      </c>
      <c r="M135" s="47" t="s">
        <v>78</v>
      </c>
      <c r="N135" s="26" t="s">
        <v>471</v>
      </c>
      <c r="O135" s="39" t="n">
        <v>100</v>
      </c>
      <c r="P135" s="32" t="n">
        <v>100</v>
      </c>
      <c r="Q135" s="31"/>
      <c r="R135" s="31" t="n">
        <v>100</v>
      </c>
      <c r="S135" s="31" t="n">
        <v>100</v>
      </c>
      <c r="T135" s="31" t="n">
        <v>2</v>
      </c>
      <c r="U135" s="31" t="n">
        <v>1</v>
      </c>
      <c r="V135" s="39" t="n">
        <v>100</v>
      </c>
      <c r="W135" s="31"/>
      <c r="X135" s="32"/>
      <c r="Y135" s="31" t="n">
        <v>1</v>
      </c>
      <c r="Z135" s="31"/>
      <c r="AA135" s="31" t="n">
        <v>2</v>
      </c>
      <c r="AB135" s="31" t="n">
        <v>100</v>
      </c>
      <c r="AC135" s="40" t="n">
        <f aca="false">O135+P135+R135+S135+AB135</f>
        <v>500</v>
      </c>
      <c r="AD135" s="31" t="n">
        <f aca="false">(Q135+T135+Y135+AA135)*100</f>
        <v>500</v>
      </c>
      <c r="AE135" s="41" t="n">
        <f aca="false">(0.8*AC135)+(0.2*AD135)</f>
        <v>500</v>
      </c>
      <c r="AF135" s="65" t="n">
        <f aca="false">84+((AE135-$AE$161)/($AE$160-$AE$161)*(92-84))</f>
        <v>91.2</v>
      </c>
      <c r="AG135" s="31"/>
      <c r="AH135" s="31" t="n">
        <v>100</v>
      </c>
      <c r="AI135" s="31"/>
      <c r="AJ135" s="31" t="n">
        <v>2</v>
      </c>
      <c r="AK135" s="31"/>
    </row>
    <row r="136" customFormat="false" ht="13.5" hidden="false" customHeight="true" outlineLevel="0" collapsed="false">
      <c r="A136" s="31" t="n">
        <v>16</v>
      </c>
      <c r="B136" s="31" t="n">
        <v>168</v>
      </c>
      <c r="C136" s="32" t="s">
        <v>545</v>
      </c>
      <c r="D136" s="33" t="n">
        <v>242510292</v>
      </c>
      <c r="E136" s="33" t="s">
        <v>546</v>
      </c>
      <c r="F136" s="32" t="s">
        <v>320</v>
      </c>
      <c r="G136" s="32" t="s">
        <v>321</v>
      </c>
      <c r="H136" s="77" t="s">
        <v>547</v>
      </c>
      <c r="I136" s="32" t="s">
        <v>123</v>
      </c>
      <c r="J136" s="35" t="s">
        <v>66</v>
      </c>
      <c r="K136" s="36" t="s">
        <v>547</v>
      </c>
      <c r="L136" s="37" t="n">
        <v>39722</v>
      </c>
      <c r="M136" s="50" t="s">
        <v>147</v>
      </c>
      <c r="N136" s="26" t="s">
        <v>471</v>
      </c>
      <c r="O136" s="39" t="n">
        <v>100</v>
      </c>
      <c r="P136" s="32" t="n">
        <v>100</v>
      </c>
      <c r="Q136" s="31"/>
      <c r="R136" s="31" t="n">
        <v>100</v>
      </c>
      <c r="S136" s="31" t="n">
        <v>100</v>
      </c>
      <c r="T136" s="31"/>
      <c r="U136" s="31" t="n">
        <v>11</v>
      </c>
      <c r="V136" s="39"/>
      <c r="W136" s="31"/>
      <c r="X136" s="32"/>
      <c r="Y136" s="31"/>
      <c r="Z136" s="31"/>
      <c r="AA136" s="31" t="n">
        <v>1</v>
      </c>
      <c r="AB136" s="31" t="n">
        <v>92</v>
      </c>
      <c r="AC136" s="40" t="n">
        <f aca="false">O136+P136+R136+S136+AB136</f>
        <v>492</v>
      </c>
      <c r="AD136" s="31" t="n">
        <f aca="false">(Q136+T136+Y136+AA136)*100</f>
        <v>100</v>
      </c>
      <c r="AE136" s="41" t="n">
        <f aca="false">(0.8*AC136)+(0.2*AD136)</f>
        <v>413.6</v>
      </c>
      <c r="AF136" s="65" t="n">
        <f aca="false">84+((AE136-$AE$161)/($AE$160-$AE$161)*(92-84))</f>
        <v>87.744</v>
      </c>
      <c r="AG136" s="31"/>
      <c r="AH136" s="31" t="n">
        <v>100</v>
      </c>
      <c r="AI136" s="31" t="s">
        <v>533</v>
      </c>
      <c r="AJ136" s="31"/>
      <c r="AK136" s="31"/>
    </row>
    <row r="137" customFormat="false" ht="13.5" hidden="false" customHeight="true" outlineLevel="0" collapsed="false">
      <c r="A137" s="31" t="n">
        <v>17</v>
      </c>
      <c r="B137" s="31" t="n">
        <v>169</v>
      </c>
      <c r="C137" s="32" t="s">
        <v>548</v>
      </c>
      <c r="D137" s="33" t="n">
        <v>242510132</v>
      </c>
      <c r="E137" s="33" t="s">
        <v>549</v>
      </c>
      <c r="F137" s="32" t="s">
        <v>550</v>
      </c>
      <c r="G137" s="32" t="s">
        <v>551</v>
      </c>
      <c r="H137" s="34" t="s">
        <v>552</v>
      </c>
      <c r="I137" s="32" t="s">
        <v>51</v>
      </c>
      <c r="J137" s="35" t="s">
        <v>52</v>
      </c>
      <c r="K137" s="36" t="s">
        <v>552</v>
      </c>
      <c r="L137" s="37" t="n">
        <v>40261</v>
      </c>
      <c r="M137" s="50" t="s">
        <v>147</v>
      </c>
      <c r="N137" s="26" t="s">
        <v>471</v>
      </c>
      <c r="O137" s="39" t="n">
        <v>100</v>
      </c>
      <c r="P137" s="32" t="n">
        <v>100</v>
      </c>
      <c r="Q137" s="31"/>
      <c r="R137" s="31" t="n">
        <v>100</v>
      </c>
      <c r="S137" s="31" t="n">
        <v>100</v>
      </c>
      <c r="T137" s="31"/>
      <c r="U137" s="31" t="n">
        <v>24</v>
      </c>
      <c r="V137" s="39"/>
      <c r="W137" s="31"/>
      <c r="X137" s="32"/>
      <c r="Y137" s="31"/>
      <c r="Z137" s="31"/>
      <c r="AA137" s="31" t="n">
        <v>6</v>
      </c>
      <c r="AB137" s="31" t="n">
        <v>90</v>
      </c>
      <c r="AC137" s="40" t="n">
        <f aca="false">O137+P137+R137+S137+AB137</f>
        <v>490</v>
      </c>
      <c r="AD137" s="31" t="n">
        <f aca="false">(Q137+T137+Y137+AA137)*100</f>
        <v>600</v>
      </c>
      <c r="AE137" s="41" t="n">
        <f aca="false">(0.8*AC137)+(0.2*AD137)</f>
        <v>512</v>
      </c>
      <c r="AF137" s="65" t="n">
        <f aca="false">84+((AE137-$AE$161)/($AE$160-$AE$161)*(92-84))</f>
        <v>91.68</v>
      </c>
      <c r="AG137" s="31"/>
      <c r="AH137" s="31" t="n">
        <v>100</v>
      </c>
      <c r="AI137" s="31"/>
      <c r="AJ137" s="31"/>
      <c r="AK137" s="31"/>
    </row>
    <row r="138" customFormat="false" ht="13.5" hidden="false" customHeight="true" outlineLevel="0" collapsed="false">
      <c r="A138" s="31" t="n">
        <v>18</v>
      </c>
      <c r="B138" s="31" t="n">
        <v>170</v>
      </c>
      <c r="C138" s="32" t="s">
        <v>553</v>
      </c>
      <c r="D138" s="33" t="n">
        <v>242510134</v>
      </c>
      <c r="E138" s="33" t="s">
        <v>554</v>
      </c>
      <c r="F138" s="32" t="s">
        <v>555</v>
      </c>
      <c r="G138" s="32" t="s">
        <v>556</v>
      </c>
      <c r="H138" s="34" t="s">
        <v>557</v>
      </c>
      <c r="I138" s="32" t="s">
        <v>51</v>
      </c>
      <c r="J138" s="35" t="s">
        <v>52</v>
      </c>
      <c r="K138" s="36" t="s">
        <v>557</v>
      </c>
      <c r="L138" s="37" t="n">
        <v>39893</v>
      </c>
      <c r="M138" s="45" t="s">
        <v>67</v>
      </c>
      <c r="N138" s="26" t="s">
        <v>471</v>
      </c>
      <c r="O138" s="39" t="n">
        <v>100</v>
      </c>
      <c r="P138" s="32" t="n">
        <v>100</v>
      </c>
      <c r="Q138" s="31" t="n">
        <v>1</v>
      </c>
      <c r="R138" s="31" t="n">
        <v>100</v>
      </c>
      <c r="S138" s="31" t="n">
        <v>100</v>
      </c>
      <c r="T138" s="31" t="n">
        <v>1</v>
      </c>
      <c r="U138" s="31" t="n">
        <v>27</v>
      </c>
      <c r="V138" s="39"/>
      <c r="W138" s="31"/>
      <c r="X138" s="32"/>
      <c r="Y138" s="31" t="n">
        <v>1</v>
      </c>
      <c r="Z138" s="31"/>
      <c r="AA138" s="31"/>
      <c r="AB138" s="31" t="n">
        <v>100</v>
      </c>
      <c r="AC138" s="40" t="n">
        <f aca="false">O138+P138+R138+S138+AB138</f>
        <v>500</v>
      </c>
      <c r="AD138" s="31" t="n">
        <f aca="false">(Q138+T138+Y138+AA138)*100</f>
        <v>300</v>
      </c>
      <c r="AE138" s="41" t="n">
        <f aca="false">(0.8*AC138)+(0.2*AD138)</f>
        <v>460</v>
      </c>
      <c r="AF138" s="65" t="n">
        <f aca="false">84+((AE138-$AE$161)/($AE$160-$AE$161)*(92-84))</f>
        <v>89.6</v>
      </c>
      <c r="AG138" s="31"/>
      <c r="AH138" s="31" t="n">
        <v>100</v>
      </c>
      <c r="AI138" s="31"/>
      <c r="AJ138" s="31"/>
      <c r="AK138" s="31"/>
    </row>
    <row r="139" customFormat="false" ht="13.5" hidden="false" customHeight="true" outlineLevel="0" collapsed="false">
      <c r="A139" s="31" t="n">
        <v>19</v>
      </c>
      <c r="B139" s="31" t="n">
        <v>171</v>
      </c>
      <c r="C139" s="32" t="s">
        <v>558</v>
      </c>
      <c r="D139" s="33" t="n">
        <v>242510020</v>
      </c>
      <c r="E139" s="33" t="s">
        <v>559</v>
      </c>
      <c r="F139" s="32" t="s">
        <v>560</v>
      </c>
      <c r="G139" s="32" t="s">
        <v>561</v>
      </c>
      <c r="H139" s="77" t="s">
        <v>562</v>
      </c>
      <c r="I139" s="32" t="s">
        <v>51</v>
      </c>
      <c r="J139" s="35" t="s">
        <v>66</v>
      </c>
      <c r="K139" s="36" t="s">
        <v>562</v>
      </c>
      <c r="L139" s="37" t="n">
        <v>39811</v>
      </c>
      <c r="M139" s="45" t="s">
        <v>67</v>
      </c>
      <c r="N139" s="26" t="s">
        <v>471</v>
      </c>
      <c r="O139" s="39" t="n">
        <v>100</v>
      </c>
      <c r="P139" s="32" t="n">
        <v>100</v>
      </c>
      <c r="Q139" s="31"/>
      <c r="R139" s="31" t="n">
        <v>100</v>
      </c>
      <c r="S139" s="31" t="n">
        <v>100</v>
      </c>
      <c r="T139" s="31"/>
      <c r="U139" s="31" t="n">
        <v>34</v>
      </c>
      <c r="V139" s="39"/>
      <c r="W139" s="31"/>
      <c r="X139" s="32"/>
      <c r="Y139" s="31"/>
      <c r="Z139" s="31"/>
      <c r="AA139" s="31"/>
      <c r="AB139" s="31" t="n">
        <v>94</v>
      </c>
      <c r="AC139" s="40" t="n">
        <f aca="false">O139+P139+R139+S139+AB139</f>
        <v>494</v>
      </c>
      <c r="AD139" s="31" t="n">
        <f aca="false">(Q139+T139+Y139+AA139)*100</f>
        <v>0</v>
      </c>
      <c r="AE139" s="41" t="n">
        <f aca="false">(0.8*AC139)+(0.2*AD139)</f>
        <v>395.2</v>
      </c>
      <c r="AF139" s="65" t="n">
        <f aca="false">84+((AE139-$AE$161)/($AE$160-$AE$161)*(92-84))</f>
        <v>87.008</v>
      </c>
      <c r="AG139" s="31"/>
      <c r="AH139" s="31" t="n">
        <v>100</v>
      </c>
      <c r="AI139" s="31"/>
      <c r="AJ139" s="31"/>
      <c r="AK139" s="31"/>
    </row>
    <row r="140" customFormat="false" ht="13.5" hidden="false" customHeight="true" outlineLevel="0" collapsed="false">
      <c r="A140" s="31" t="n">
        <v>20</v>
      </c>
      <c r="B140" s="31" t="n">
        <v>172</v>
      </c>
      <c r="C140" s="32" t="s">
        <v>563</v>
      </c>
      <c r="D140" s="33" t="n">
        <v>242510258</v>
      </c>
      <c r="E140" s="33" t="s">
        <v>564</v>
      </c>
      <c r="F140" s="32" t="s">
        <v>565</v>
      </c>
      <c r="G140" s="32" t="s">
        <v>566</v>
      </c>
      <c r="H140" s="34" t="s">
        <v>567</v>
      </c>
      <c r="I140" s="32" t="s">
        <v>51</v>
      </c>
      <c r="J140" s="35" t="s">
        <v>52</v>
      </c>
      <c r="K140" s="36" t="s">
        <v>568</v>
      </c>
      <c r="L140" s="37" t="n">
        <v>39963</v>
      </c>
      <c r="M140" s="47" t="s">
        <v>78</v>
      </c>
      <c r="N140" s="26" t="s">
        <v>471</v>
      </c>
      <c r="O140" s="39" t="n">
        <v>100</v>
      </c>
      <c r="P140" s="32" t="n">
        <v>100</v>
      </c>
      <c r="Q140" s="31"/>
      <c r="R140" s="31" t="n">
        <v>100</v>
      </c>
      <c r="S140" s="31" t="n">
        <v>100</v>
      </c>
      <c r="T140" s="31"/>
      <c r="U140" s="31" t="n">
        <v>30</v>
      </c>
      <c r="V140" s="39"/>
      <c r="W140" s="31"/>
      <c r="X140" s="32"/>
      <c r="Y140" s="31"/>
      <c r="Z140" s="31"/>
      <c r="AA140" s="31"/>
      <c r="AB140" s="31" t="n">
        <v>95</v>
      </c>
      <c r="AC140" s="40" t="n">
        <f aca="false">O140+P140+R140+S140+AB140</f>
        <v>495</v>
      </c>
      <c r="AD140" s="31" t="n">
        <f aca="false">(Q140+T140+Y140+AA140)*100</f>
        <v>0</v>
      </c>
      <c r="AE140" s="41" t="n">
        <f aca="false">(0.8*AC140)+(0.2*AD140)</f>
        <v>396</v>
      </c>
      <c r="AF140" s="65" t="n">
        <f aca="false">84+((AE140-$AE$161)/($AE$160-$AE$161)*(92-84))</f>
        <v>87.04</v>
      </c>
      <c r="AG140" s="31"/>
      <c r="AH140" s="31" t="n">
        <v>100</v>
      </c>
      <c r="AI140" s="31"/>
      <c r="AJ140" s="31"/>
      <c r="AK140" s="31"/>
    </row>
    <row r="141" customFormat="false" ht="13.5" hidden="false" customHeight="true" outlineLevel="0" collapsed="false">
      <c r="A141" s="31" t="n">
        <v>21</v>
      </c>
      <c r="B141" s="31" t="n">
        <v>173</v>
      </c>
      <c r="C141" s="32" t="s">
        <v>569</v>
      </c>
      <c r="D141" s="33" t="n">
        <v>242510298</v>
      </c>
      <c r="E141" s="33" t="s">
        <v>570</v>
      </c>
      <c r="F141" s="32" t="s">
        <v>571</v>
      </c>
      <c r="G141" s="32" t="s">
        <v>572</v>
      </c>
      <c r="H141" s="77" t="s">
        <v>573</v>
      </c>
      <c r="I141" s="32" t="s">
        <v>574</v>
      </c>
      <c r="J141" s="46" t="s">
        <v>52</v>
      </c>
      <c r="K141" s="36" t="s">
        <v>573</v>
      </c>
      <c r="L141" s="37" t="n">
        <v>40075</v>
      </c>
      <c r="M141" s="49" t="s">
        <v>124</v>
      </c>
      <c r="N141" s="26" t="s">
        <v>471</v>
      </c>
      <c r="O141" s="39" t="n">
        <v>100</v>
      </c>
      <c r="P141" s="32" t="n">
        <v>100</v>
      </c>
      <c r="Q141" s="31"/>
      <c r="R141" s="31" t="n">
        <v>100</v>
      </c>
      <c r="S141" s="31" t="n">
        <v>100</v>
      </c>
      <c r="T141" s="31"/>
      <c r="U141" s="31" t="n">
        <v>15</v>
      </c>
      <c r="V141" s="39"/>
      <c r="W141" s="31"/>
      <c r="X141" s="32"/>
      <c r="Y141" s="31"/>
      <c r="Z141" s="31"/>
      <c r="AA141" s="31"/>
      <c r="AB141" s="31" t="n">
        <v>100</v>
      </c>
      <c r="AC141" s="40" t="n">
        <f aca="false">O141+P141+R141+S141+AB141</f>
        <v>500</v>
      </c>
      <c r="AD141" s="31" t="n">
        <f aca="false">(Q141+T141+Y141+AA141)*100</f>
        <v>0</v>
      </c>
      <c r="AE141" s="41" t="n">
        <f aca="false">(0.8*AC141)+(0.2*AD141)</f>
        <v>400</v>
      </c>
      <c r="AF141" s="65" t="n">
        <f aca="false">84+((AE141-$AE$161)/($AE$160-$AE$161)*(92-84))</f>
        <v>87.2</v>
      </c>
      <c r="AG141" s="31"/>
      <c r="AH141" s="31" t="n">
        <v>100</v>
      </c>
      <c r="AI141" s="31"/>
      <c r="AJ141" s="31"/>
      <c r="AK141" s="31"/>
    </row>
    <row r="142" customFormat="false" ht="13.5" hidden="false" customHeight="true" outlineLevel="0" collapsed="false">
      <c r="A142" s="31" t="n">
        <v>22</v>
      </c>
      <c r="B142" s="31" t="n">
        <v>174</v>
      </c>
      <c r="C142" s="32" t="s">
        <v>575</v>
      </c>
      <c r="D142" s="33" t="n">
        <v>242510221</v>
      </c>
      <c r="E142" s="33" t="s">
        <v>576</v>
      </c>
      <c r="F142" s="32" t="s">
        <v>577</v>
      </c>
      <c r="G142" s="32" t="s">
        <v>578</v>
      </c>
      <c r="H142" s="34" t="s">
        <v>579</v>
      </c>
      <c r="I142" s="32" t="s">
        <v>51</v>
      </c>
      <c r="J142" s="35" t="s">
        <v>52</v>
      </c>
      <c r="K142" s="36" t="s">
        <v>579</v>
      </c>
      <c r="L142" s="37" t="n">
        <v>39637</v>
      </c>
      <c r="M142" s="47" t="s">
        <v>78</v>
      </c>
      <c r="N142" s="26" t="s">
        <v>471</v>
      </c>
      <c r="O142" s="39" t="n">
        <v>100</v>
      </c>
      <c r="P142" s="32" t="n">
        <v>100</v>
      </c>
      <c r="Q142" s="31"/>
      <c r="R142" s="31" t="n">
        <v>100</v>
      </c>
      <c r="S142" s="31" t="n">
        <v>100</v>
      </c>
      <c r="T142" s="31"/>
      <c r="U142" s="31" t="n">
        <v>28</v>
      </c>
      <c r="V142" s="39"/>
      <c r="W142" s="31"/>
      <c r="X142" s="32"/>
      <c r="Y142" s="31"/>
      <c r="Z142" s="31"/>
      <c r="AA142" s="31"/>
      <c r="AB142" s="31" t="n">
        <v>98</v>
      </c>
      <c r="AC142" s="40" t="n">
        <f aca="false">O142+P142+R142+S142+AB142</f>
        <v>498</v>
      </c>
      <c r="AD142" s="31" t="n">
        <f aca="false">(Q142+T142+Y142+AA142)*100</f>
        <v>0</v>
      </c>
      <c r="AE142" s="41" t="n">
        <f aca="false">(0.8*AC142)+(0.2*AD142)</f>
        <v>398.4</v>
      </c>
      <c r="AF142" s="65" t="n">
        <f aca="false">84+((AE142-$AE$161)/($AE$160-$AE$161)*(92-84))</f>
        <v>87.136</v>
      </c>
      <c r="AG142" s="31"/>
      <c r="AH142" s="31" t="n">
        <v>100</v>
      </c>
      <c r="AI142" s="31"/>
      <c r="AJ142" s="31"/>
      <c r="AK142" s="31"/>
    </row>
    <row r="143" customFormat="false" ht="13.5" hidden="false" customHeight="true" outlineLevel="0" collapsed="false">
      <c r="A143" s="31" t="n">
        <v>23</v>
      </c>
      <c r="B143" s="31" t="n">
        <v>176</v>
      </c>
      <c r="C143" s="32" t="s">
        <v>580</v>
      </c>
      <c r="D143" s="33" t="n">
        <v>242510024</v>
      </c>
      <c r="E143" s="33" t="s">
        <v>581</v>
      </c>
      <c r="F143" s="32" t="s">
        <v>582</v>
      </c>
      <c r="G143" s="32" t="s">
        <v>583</v>
      </c>
      <c r="H143" s="77" t="s">
        <v>584</v>
      </c>
      <c r="I143" s="32" t="s">
        <v>518</v>
      </c>
      <c r="J143" s="35" t="s">
        <v>66</v>
      </c>
      <c r="K143" s="36" t="s">
        <v>584</v>
      </c>
      <c r="L143" s="37" t="n">
        <v>39587</v>
      </c>
      <c r="M143" s="47" t="s">
        <v>78</v>
      </c>
      <c r="N143" s="26" t="s">
        <v>471</v>
      </c>
      <c r="O143" s="39" t="n">
        <v>100</v>
      </c>
      <c r="P143" s="32" t="n">
        <v>100</v>
      </c>
      <c r="Q143" s="31"/>
      <c r="R143" s="31" t="n">
        <v>100</v>
      </c>
      <c r="S143" s="31" t="n">
        <v>100</v>
      </c>
      <c r="T143" s="31"/>
      <c r="U143" s="31" t="n">
        <v>5</v>
      </c>
      <c r="V143" s="39" t="n">
        <v>100</v>
      </c>
      <c r="W143" s="31"/>
      <c r="X143" s="32"/>
      <c r="Y143" s="31"/>
      <c r="Z143" s="31"/>
      <c r="AA143" s="31" t="n">
        <v>6</v>
      </c>
      <c r="AB143" s="31" t="n">
        <v>100</v>
      </c>
      <c r="AC143" s="40" t="n">
        <f aca="false">O143+P143+R143+S143+AB143</f>
        <v>500</v>
      </c>
      <c r="AD143" s="31" t="n">
        <f aca="false">(Q143+T143+Y143+AA143)*100</f>
        <v>600</v>
      </c>
      <c r="AE143" s="41" t="n">
        <f aca="false">(0.8*AC143)+(0.2*AD143)</f>
        <v>520</v>
      </c>
      <c r="AF143" s="65" t="n">
        <f aca="false">84+((AE143-$AE$161)/($AE$160-$AE$161)*(92-84))</f>
        <v>92</v>
      </c>
      <c r="AG143" s="31"/>
      <c r="AH143" s="31" t="n">
        <v>100</v>
      </c>
      <c r="AI143" s="31"/>
      <c r="AJ143" s="31"/>
      <c r="AK143" s="31"/>
    </row>
    <row r="144" customFormat="false" ht="13.5" hidden="false" customHeight="true" outlineLevel="0" collapsed="false">
      <c r="A144" s="31" t="n">
        <v>24</v>
      </c>
      <c r="B144" s="31" t="n">
        <v>177</v>
      </c>
      <c r="C144" s="32" t="s">
        <v>585</v>
      </c>
      <c r="D144" s="33" t="n">
        <v>242510182</v>
      </c>
      <c r="E144" s="33" t="s">
        <v>586</v>
      </c>
      <c r="F144" s="32" t="s">
        <v>587</v>
      </c>
      <c r="G144" s="32" t="s">
        <v>588</v>
      </c>
      <c r="H144" s="34" t="s">
        <v>589</v>
      </c>
      <c r="I144" s="32" t="s">
        <v>239</v>
      </c>
      <c r="J144" s="35" t="s">
        <v>52</v>
      </c>
      <c r="K144" s="36" t="s">
        <v>589</v>
      </c>
      <c r="L144" s="37" t="n">
        <v>39687</v>
      </c>
      <c r="M144" s="44" t="s">
        <v>60</v>
      </c>
      <c r="N144" s="26" t="s">
        <v>471</v>
      </c>
      <c r="O144" s="39" t="n">
        <v>100</v>
      </c>
      <c r="P144" s="32" t="n">
        <v>100</v>
      </c>
      <c r="Q144" s="31"/>
      <c r="R144" s="31" t="n">
        <v>100</v>
      </c>
      <c r="S144" s="31" t="n">
        <v>100</v>
      </c>
      <c r="T144" s="31"/>
      <c r="U144" s="31" t="n">
        <v>31</v>
      </c>
      <c r="V144" s="39"/>
      <c r="W144" s="31"/>
      <c r="X144" s="32"/>
      <c r="Y144" s="31"/>
      <c r="Z144" s="31"/>
      <c r="AA144" s="31"/>
      <c r="AB144" s="31" t="n">
        <v>90</v>
      </c>
      <c r="AC144" s="40" t="n">
        <f aca="false">O144+P144+R144+S144+AB144</f>
        <v>490</v>
      </c>
      <c r="AD144" s="31" t="n">
        <f aca="false">(Q144+T144+Y144+AA144)*100</f>
        <v>0</v>
      </c>
      <c r="AE144" s="41" t="n">
        <f aca="false">(0.8*AC144)+(0.2*AD144)</f>
        <v>392</v>
      </c>
      <c r="AF144" s="65" t="n">
        <f aca="false">84+((AE144-$AE$161)/($AE$160-$AE$161)*(92-84))</f>
        <v>86.88</v>
      </c>
      <c r="AG144" s="31"/>
      <c r="AH144" s="31" t="n">
        <v>100</v>
      </c>
      <c r="AI144" s="31"/>
      <c r="AJ144" s="31"/>
      <c r="AK144" s="31"/>
    </row>
    <row r="145" customFormat="false" ht="13.5" hidden="false" customHeight="true" outlineLevel="0" collapsed="false">
      <c r="A145" s="31" t="n">
        <v>25</v>
      </c>
      <c r="B145" s="31" t="n">
        <v>178</v>
      </c>
      <c r="C145" s="32" t="s">
        <v>590</v>
      </c>
      <c r="D145" s="33" t="n">
        <v>242510183</v>
      </c>
      <c r="E145" s="33" t="s">
        <v>591</v>
      </c>
      <c r="F145" s="32" t="s">
        <v>592</v>
      </c>
      <c r="G145" s="32" t="s">
        <v>593</v>
      </c>
      <c r="H145" s="77" t="s">
        <v>594</v>
      </c>
      <c r="I145" s="32" t="s">
        <v>51</v>
      </c>
      <c r="J145" s="35" t="s">
        <v>66</v>
      </c>
      <c r="K145" s="36" t="s">
        <v>594</v>
      </c>
      <c r="L145" s="37" t="n">
        <v>39784</v>
      </c>
      <c r="M145" s="47" t="s">
        <v>78</v>
      </c>
      <c r="N145" s="26" t="s">
        <v>471</v>
      </c>
      <c r="O145" s="39" t="n">
        <v>100</v>
      </c>
      <c r="P145" s="32" t="n">
        <v>100</v>
      </c>
      <c r="Q145" s="31"/>
      <c r="R145" s="31" t="n">
        <v>100</v>
      </c>
      <c r="S145" s="31" t="n">
        <v>100</v>
      </c>
      <c r="T145" s="31"/>
      <c r="U145" s="31" t="n">
        <v>7</v>
      </c>
      <c r="V145" s="39"/>
      <c r="W145" s="31"/>
      <c r="X145" s="32"/>
      <c r="Y145" s="31"/>
      <c r="Z145" s="31"/>
      <c r="AA145" s="31" t="n">
        <v>1</v>
      </c>
      <c r="AB145" s="31" t="n">
        <v>95</v>
      </c>
      <c r="AC145" s="40" t="n">
        <f aca="false">O145+P145+R145+S145+AB145</f>
        <v>495</v>
      </c>
      <c r="AD145" s="31" t="n">
        <f aca="false">(Q145+T145+Y145+AA145)*100</f>
        <v>100</v>
      </c>
      <c r="AE145" s="41" t="n">
        <f aca="false">(0.8*AC145)+(0.2*AD145)</f>
        <v>416</v>
      </c>
      <c r="AF145" s="65" t="n">
        <f aca="false">84+((AE145-$AE$161)/($AE$160-$AE$161)*(92-84))</f>
        <v>87.84</v>
      </c>
      <c r="AG145" s="31"/>
      <c r="AH145" s="31" t="n">
        <v>100</v>
      </c>
      <c r="AI145" s="31"/>
      <c r="AJ145" s="31"/>
      <c r="AK145" s="31"/>
    </row>
    <row r="146" customFormat="false" ht="13.5" hidden="false" customHeight="true" outlineLevel="0" collapsed="false">
      <c r="A146" s="31" t="n">
        <v>26</v>
      </c>
      <c r="B146" s="31" t="n">
        <v>180</v>
      </c>
      <c r="C146" s="32" t="s">
        <v>595</v>
      </c>
      <c r="D146" s="33" t="n">
        <v>242510262</v>
      </c>
      <c r="E146" s="33" t="s">
        <v>596</v>
      </c>
      <c r="F146" s="32" t="s">
        <v>597</v>
      </c>
      <c r="G146" s="32" t="s">
        <v>598</v>
      </c>
      <c r="H146" s="34" t="s">
        <v>599</v>
      </c>
      <c r="I146" s="32" t="s">
        <v>600</v>
      </c>
      <c r="J146" s="46" t="s">
        <v>66</v>
      </c>
      <c r="K146" s="36" t="s">
        <v>599</v>
      </c>
      <c r="L146" s="37" t="n">
        <v>39766</v>
      </c>
      <c r="M146" s="47" t="s">
        <v>78</v>
      </c>
      <c r="N146" s="26" t="s">
        <v>471</v>
      </c>
      <c r="O146" s="39" t="n">
        <v>100</v>
      </c>
      <c r="P146" s="32" t="n">
        <v>100</v>
      </c>
      <c r="Q146" s="31"/>
      <c r="R146" s="31" t="n">
        <v>100</v>
      </c>
      <c r="S146" s="31" t="n">
        <v>100</v>
      </c>
      <c r="T146" s="31"/>
      <c r="U146" s="31"/>
      <c r="V146" s="39"/>
      <c r="W146" s="31"/>
      <c r="X146" s="32"/>
      <c r="Y146" s="31"/>
      <c r="Z146" s="31"/>
      <c r="AA146" s="31"/>
      <c r="AB146" s="31" t="n">
        <v>100</v>
      </c>
      <c r="AC146" s="40" t="n">
        <f aca="false">O146+P146+R146+S146+AB146</f>
        <v>500</v>
      </c>
      <c r="AD146" s="31" t="n">
        <f aca="false">(Q146+T146+Y146+AA146)*100</f>
        <v>0</v>
      </c>
      <c r="AE146" s="41" t="n">
        <f aca="false">(0.8*AC146)+(0.2*AD146)</f>
        <v>400</v>
      </c>
      <c r="AF146" s="65" t="n">
        <f aca="false">84+((AE146-$AE$161)/($AE$160-$AE$161)*(92-84))</f>
        <v>87.2</v>
      </c>
      <c r="AG146" s="31"/>
      <c r="AH146" s="31" t="n">
        <v>100</v>
      </c>
      <c r="AI146" s="31"/>
      <c r="AJ146" s="31"/>
      <c r="AK146" s="31"/>
    </row>
    <row r="147" customFormat="false" ht="13.5" hidden="false" customHeight="true" outlineLevel="0" collapsed="false">
      <c r="A147" s="31" t="n">
        <v>27</v>
      </c>
      <c r="B147" s="31" t="n">
        <v>181</v>
      </c>
      <c r="C147" s="32" t="s">
        <v>601</v>
      </c>
      <c r="D147" s="33" t="n">
        <v>242510259</v>
      </c>
      <c r="E147" s="33" t="s">
        <v>602</v>
      </c>
      <c r="F147" s="32" t="s">
        <v>603</v>
      </c>
      <c r="G147" s="32" t="s">
        <v>604</v>
      </c>
      <c r="H147" s="34" t="s">
        <v>605</v>
      </c>
      <c r="I147" s="32" t="s">
        <v>123</v>
      </c>
      <c r="J147" s="35" t="s">
        <v>66</v>
      </c>
      <c r="K147" s="36" t="s">
        <v>605</v>
      </c>
      <c r="L147" s="37" t="n">
        <v>39722</v>
      </c>
      <c r="M147" s="47" t="s">
        <v>78</v>
      </c>
      <c r="N147" s="26" t="s">
        <v>471</v>
      </c>
      <c r="O147" s="39" t="n">
        <v>100</v>
      </c>
      <c r="P147" s="32" t="n">
        <v>100</v>
      </c>
      <c r="Q147" s="31"/>
      <c r="R147" s="31" t="n">
        <v>100</v>
      </c>
      <c r="S147" s="31" t="n">
        <v>100</v>
      </c>
      <c r="T147" s="31" t="n">
        <v>1</v>
      </c>
      <c r="U147" s="31" t="n">
        <v>4</v>
      </c>
      <c r="V147" s="39" t="n">
        <v>80</v>
      </c>
      <c r="W147" s="31"/>
      <c r="X147" s="32"/>
      <c r="Y147" s="31" t="n">
        <v>1</v>
      </c>
      <c r="Z147" s="31"/>
      <c r="AA147" s="31"/>
      <c r="AB147" s="31" t="n">
        <v>100</v>
      </c>
      <c r="AC147" s="40" t="n">
        <f aca="false">O147+P147+R147+S147+AB147</f>
        <v>500</v>
      </c>
      <c r="AD147" s="31" t="n">
        <f aca="false">(Q147+T147+Y147+AA147)*100</f>
        <v>200</v>
      </c>
      <c r="AE147" s="41" t="n">
        <f aca="false">(0.8*AC147)+(0.2*AD147)</f>
        <v>440</v>
      </c>
      <c r="AF147" s="65" t="n">
        <f aca="false">84+((AE147-$AE$161)/($AE$160-$AE$161)*(92-84))</f>
        <v>88.8</v>
      </c>
      <c r="AG147" s="31"/>
      <c r="AH147" s="31" t="n">
        <v>100</v>
      </c>
      <c r="AI147" s="31"/>
      <c r="AJ147" s="31" t="n">
        <v>1</v>
      </c>
      <c r="AK147" s="31"/>
    </row>
    <row r="148" customFormat="false" ht="13.5" hidden="false" customHeight="true" outlineLevel="0" collapsed="false">
      <c r="A148" s="31" t="n">
        <v>28</v>
      </c>
      <c r="B148" s="31" t="n">
        <v>182</v>
      </c>
      <c r="C148" s="32" t="s">
        <v>606</v>
      </c>
      <c r="D148" s="33" t="n">
        <v>242510226</v>
      </c>
      <c r="E148" s="33" t="s">
        <v>607</v>
      </c>
      <c r="F148" s="32" t="s">
        <v>608</v>
      </c>
      <c r="G148" s="32" t="s">
        <v>609</v>
      </c>
      <c r="H148" s="34" t="s">
        <v>610</v>
      </c>
      <c r="I148" s="32" t="s">
        <v>51</v>
      </c>
      <c r="J148" s="35" t="s">
        <v>66</v>
      </c>
      <c r="K148" s="36" t="s">
        <v>610</v>
      </c>
      <c r="L148" s="37" t="n">
        <v>39875</v>
      </c>
      <c r="M148" s="47" t="s">
        <v>78</v>
      </c>
      <c r="N148" s="26" t="s">
        <v>471</v>
      </c>
      <c r="O148" s="39" t="n">
        <v>100</v>
      </c>
      <c r="P148" s="32" t="n">
        <v>100</v>
      </c>
      <c r="Q148" s="31" t="n">
        <v>1</v>
      </c>
      <c r="R148" s="31" t="n">
        <v>100</v>
      </c>
      <c r="S148" s="31" t="n">
        <v>100</v>
      </c>
      <c r="T148" s="31"/>
      <c r="U148" s="31" t="n">
        <v>17</v>
      </c>
      <c r="V148" s="39"/>
      <c r="W148" s="31"/>
      <c r="X148" s="32"/>
      <c r="Y148" s="31"/>
      <c r="Z148" s="31"/>
      <c r="AA148" s="31" t="n">
        <v>1</v>
      </c>
      <c r="AB148" s="31" t="n">
        <v>95</v>
      </c>
      <c r="AC148" s="40" t="n">
        <f aca="false">O148+P148+R148+S148+AB148</f>
        <v>495</v>
      </c>
      <c r="AD148" s="31" t="n">
        <f aca="false">(Q148+T148+Y148+AA148)*100</f>
        <v>200</v>
      </c>
      <c r="AE148" s="41" t="n">
        <f aca="false">(0.8*AC148)+(0.2*AD148)</f>
        <v>436</v>
      </c>
      <c r="AF148" s="65" t="n">
        <f aca="false">84+((AE148-$AE$161)/($AE$160-$AE$161)*(92-84))</f>
        <v>88.64</v>
      </c>
      <c r="AG148" s="31"/>
      <c r="AH148" s="31" t="n">
        <v>100</v>
      </c>
      <c r="AI148" s="31"/>
      <c r="AJ148" s="31"/>
      <c r="AK148" s="31"/>
    </row>
    <row r="149" customFormat="false" ht="13.5" hidden="false" customHeight="true" outlineLevel="0" collapsed="false">
      <c r="A149" s="31" t="n">
        <v>29</v>
      </c>
      <c r="B149" s="31" t="n">
        <v>183</v>
      </c>
      <c r="C149" s="32" t="s">
        <v>611</v>
      </c>
      <c r="D149" s="33" t="n">
        <v>242510303</v>
      </c>
      <c r="E149" s="33" t="s">
        <v>612</v>
      </c>
      <c r="F149" s="32" t="s">
        <v>206</v>
      </c>
      <c r="G149" s="32" t="s">
        <v>207</v>
      </c>
      <c r="H149" s="77" t="s">
        <v>613</v>
      </c>
      <c r="I149" s="32" t="s">
        <v>209</v>
      </c>
      <c r="J149" s="35" t="s">
        <v>52</v>
      </c>
      <c r="K149" s="36" t="s">
        <v>613</v>
      </c>
      <c r="L149" s="37" t="n">
        <v>39658</v>
      </c>
      <c r="M149" s="47" t="s">
        <v>78</v>
      </c>
      <c r="N149" s="26" t="s">
        <v>471</v>
      </c>
      <c r="O149" s="39" t="n">
        <v>100</v>
      </c>
      <c r="P149" s="32" t="n">
        <v>100</v>
      </c>
      <c r="Q149" s="31"/>
      <c r="R149" s="31" t="n">
        <v>100</v>
      </c>
      <c r="S149" s="31" t="n">
        <v>100</v>
      </c>
      <c r="T149" s="31" t="n">
        <v>1</v>
      </c>
      <c r="U149" s="31" t="n">
        <v>9</v>
      </c>
      <c r="V149" s="39"/>
      <c r="W149" s="31"/>
      <c r="X149" s="32"/>
      <c r="Y149" s="31"/>
      <c r="Z149" s="31"/>
      <c r="AA149" s="31"/>
      <c r="AB149" s="31" t="n">
        <v>100</v>
      </c>
      <c r="AC149" s="40" t="n">
        <f aca="false">O149+P149+R149+S149+AB149</f>
        <v>500</v>
      </c>
      <c r="AD149" s="31" t="n">
        <f aca="false">(Q149+T149+Y149+AA149)*100</f>
        <v>100</v>
      </c>
      <c r="AE149" s="41" t="n">
        <f aca="false">(0.8*AC149)+(0.2*AD149)</f>
        <v>420</v>
      </c>
      <c r="AF149" s="65" t="n">
        <f aca="false">84+((AE149-$AE$161)/($AE$160-$AE$161)*(92-84))</f>
        <v>88</v>
      </c>
      <c r="AG149" s="31"/>
      <c r="AH149" s="31" t="n">
        <v>100</v>
      </c>
      <c r="AI149" s="31"/>
      <c r="AJ149" s="31" t="n">
        <v>7</v>
      </c>
      <c r="AK149" s="31"/>
    </row>
    <row r="150" customFormat="false" ht="13.5" hidden="false" customHeight="true" outlineLevel="0" collapsed="false">
      <c r="A150" s="31" t="n">
        <v>30</v>
      </c>
      <c r="B150" s="31" t="n">
        <v>184</v>
      </c>
      <c r="C150" s="32" t="s">
        <v>614</v>
      </c>
      <c r="D150" s="33" t="n">
        <v>242510107</v>
      </c>
      <c r="E150" s="33" t="s">
        <v>615</v>
      </c>
      <c r="F150" s="32" t="s">
        <v>616</v>
      </c>
      <c r="G150" s="32" t="s">
        <v>617</v>
      </c>
      <c r="H150" s="34" t="s">
        <v>618</v>
      </c>
      <c r="I150" s="32" t="s">
        <v>51</v>
      </c>
      <c r="J150" s="35" t="s">
        <v>52</v>
      </c>
      <c r="K150" s="36" t="s">
        <v>618</v>
      </c>
      <c r="L150" s="37" t="n">
        <v>39821</v>
      </c>
      <c r="M150" s="45" t="s">
        <v>67</v>
      </c>
      <c r="N150" s="26" t="s">
        <v>471</v>
      </c>
      <c r="O150" s="39" t="n">
        <v>100</v>
      </c>
      <c r="P150" s="32" t="n">
        <v>100</v>
      </c>
      <c r="Q150" s="31"/>
      <c r="R150" s="31" t="n">
        <v>100</v>
      </c>
      <c r="S150" s="31" t="n">
        <v>100</v>
      </c>
      <c r="T150" s="31"/>
      <c r="U150" s="31" t="n">
        <v>23</v>
      </c>
      <c r="V150" s="39"/>
      <c r="W150" s="31"/>
      <c r="X150" s="32"/>
      <c r="Y150" s="31"/>
      <c r="Z150" s="31"/>
      <c r="AA150" s="31"/>
      <c r="AB150" s="31" t="n">
        <v>100</v>
      </c>
      <c r="AC150" s="40" t="n">
        <f aca="false">O150+P150+R150+S150+AB150</f>
        <v>500</v>
      </c>
      <c r="AD150" s="31" t="n">
        <f aca="false">(Q150+T150+Y150+AA150)*100</f>
        <v>0</v>
      </c>
      <c r="AE150" s="41" t="n">
        <f aca="false">(0.8*AC150)+(0.2*AD150)</f>
        <v>400</v>
      </c>
      <c r="AF150" s="65" t="n">
        <f aca="false">84+((AE150-$AE$161)/($AE$160-$AE$161)*(92-84))</f>
        <v>87.2</v>
      </c>
      <c r="AG150" s="31"/>
      <c r="AH150" s="31" t="n">
        <v>100</v>
      </c>
      <c r="AI150" s="31"/>
      <c r="AJ150" s="31"/>
      <c r="AK150" s="31"/>
    </row>
    <row r="151" customFormat="false" ht="13.5" hidden="false" customHeight="true" outlineLevel="0" collapsed="false">
      <c r="A151" s="31" t="n">
        <v>31</v>
      </c>
      <c r="B151" s="31" t="n">
        <v>185</v>
      </c>
      <c r="C151" s="32" t="s">
        <v>619</v>
      </c>
      <c r="D151" s="33" t="n">
        <v>242510063</v>
      </c>
      <c r="E151" s="33" t="s">
        <v>620</v>
      </c>
      <c r="F151" s="32" t="s">
        <v>621</v>
      </c>
      <c r="G151" s="32" t="s">
        <v>622</v>
      </c>
      <c r="H151" s="34" t="s">
        <v>623</v>
      </c>
      <c r="I151" s="32" t="s">
        <v>169</v>
      </c>
      <c r="J151" s="35" t="s">
        <v>52</v>
      </c>
      <c r="K151" s="36" t="s">
        <v>623</v>
      </c>
      <c r="L151" s="37" t="n">
        <v>39537</v>
      </c>
      <c r="M151" s="49" t="s">
        <v>124</v>
      </c>
      <c r="N151" s="26" t="s">
        <v>471</v>
      </c>
      <c r="O151" s="39" t="n">
        <v>100</v>
      </c>
      <c r="P151" s="32" t="n">
        <v>100</v>
      </c>
      <c r="Q151" s="31"/>
      <c r="R151" s="31" t="n">
        <v>100</v>
      </c>
      <c r="S151" s="31" t="n">
        <v>100</v>
      </c>
      <c r="T151" s="31"/>
      <c r="U151" s="31" t="n">
        <v>33</v>
      </c>
      <c r="V151" s="39"/>
      <c r="W151" s="31"/>
      <c r="X151" s="32"/>
      <c r="Y151" s="31"/>
      <c r="Z151" s="31"/>
      <c r="AA151" s="31"/>
      <c r="AB151" s="31" t="n">
        <v>100</v>
      </c>
      <c r="AC151" s="40" t="n">
        <f aca="false">O151+P151+R151+S151+AB151</f>
        <v>500</v>
      </c>
      <c r="AD151" s="31" t="n">
        <f aca="false">(Q151+T151+Y151+AA151)*100</f>
        <v>0</v>
      </c>
      <c r="AE151" s="41" t="n">
        <f aca="false">(0.8*AC151)+(0.2*AD151)</f>
        <v>400</v>
      </c>
      <c r="AF151" s="65" t="n">
        <f aca="false">84+((AE151-$AE$161)/($AE$160-$AE$161)*(92-84))</f>
        <v>87.2</v>
      </c>
      <c r="AG151" s="31"/>
      <c r="AH151" s="31" t="n">
        <v>100</v>
      </c>
      <c r="AI151" s="31"/>
      <c r="AJ151" s="31"/>
      <c r="AK151" s="31"/>
    </row>
    <row r="152" customFormat="false" ht="13.5" hidden="false" customHeight="true" outlineLevel="0" collapsed="false">
      <c r="A152" s="31" t="n">
        <v>32</v>
      </c>
      <c r="B152" s="31" t="n">
        <v>186</v>
      </c>
      <c r="C152" s="32" t="s">
        <v>624</v>
      </c>
      <c r="D152" s="33" t="n">
        <v>242510108</v>
      </c>
      <c r="E152" s="33" t="s">
        <v>625</v>
      </c>
      <c r="F152" s="32" t="s">
        <v>626</v>
      </c>
      <c r="G152" s="32" t="s">
        <v>627</v>
      </c>
      <c r="H152" s="34" t="s">
        <v>628</v>
      </c>
      <c r="I152" s="32" t="s">
        <v>432</v>
      </c>
      <c r="J152" s="35" t="s">
        <v>52</v>
      </c>
      <c r="K152" s="36" t="s">
        <v>628</v>
      </c>
      <c r="L152" s="37" t="n">
        <v>39763</v>
      </c>
      <c r="M152" s="44" t="s">
        <v>60</v>
      </c>
      <c r="N152" s="26" t="s">
        <v>471</v>
      </c>
      <c r="O152" s="39" t="n">
        <v>100</v>
      </c>
      <c r="P152" s="32" t="n">
        <v>100</v>
      </c>
      <c r="Q152" s="31"/>
      <c r="R152" s="31" t="n">
        <v>100</v>
      </c>
      <c r="S152" s="31" t="n">
        <v>100</v>
      </c>
      <c r="T152" s="31" t="n">
        <v>1</v>
      </c>
      <c r="U152" s="31" t="n">
        <v>12</v>
      </c>
      <c r="V152" s="39"/>
      <c r="W152" s="31"/>
      <c r="X152" s="32"/>
      <c r="Y152" s="31"/>
      <c r="Z152" s="31"/>
      <c r="AA152" s="31"/>
      <c r="AB152" s="31" t="n">
        <v>100</v>
      </c>
      <c r="AC152" s="40" t="n">
        <f aca="false">O152+P152+R152+S152+AB152</f>
        <v>500</v>
      </c>
      <c r="AD152" s="31" t="n">
        <f aca="false">(Q152+T152+Y152+AA152)*100</f>
        <v>100</v>
      </c>
      <c r="AE152" s="41" t="n">
        <f aca="false">(0.8*AC152)+(0.2*AD152)</f>
        <v>420</v>
      </c>
      <c r="AF152" s="65" t="n">
        <f aca="false">84+((AE152-$AE$161)/($AE$160-$AE$161)*(92-84))</f>
        <v>88</v>
      </c>
      <c r="AG152" s="31"/>
      <c r="AH152" s="31" t="n">
        <v>100</v>
      </c>
      <c r="AI152" s="31"/>
      <c r="AJ152" s="31"/>
      <c r="AK152" s="31"/>
    </row>
    <row r="153" customFormat="false" ht="13.5" hidden="false" customHeight="true" outlineLevel="0" collapsed="false">
      <c r="A153" s="31" t="n">
        <v>33</v>
      </c>
      <c r="B153" s="31" t="n">
        <v>187</v>
      </c>
      <c r="C153" s="32" t="s">
        <v>629</v>
      </c>
      <c r="D153" s="33" t="n">
        <v>242510380</v>
      </c>
      <c r="E153" s="33" t="s">
        <v>630</v>
      </c>
      <c r="F153" s="32" t="s">
        <v>631</v>
      </c>
      <c r="G153" s="32" t="s">
        <v>632</v>
      </c>
      <c r="H153" s="34" t="s">
        <v>633</v>
      </c>
      <c r="I153" s="32" t="s">
        <v>634</v>
      </c>
      <c r="J153" s="35" t="s">
        <v>52</v>
      </c>
      <c r="K153" s="36" t="s">
        <v>633</v>
      </c>
      <c r="L153" s="37" t="n">
        <v>39507</v>
      </c>
      <c r="M153" s="45" t="s">
        <v>67</v>
      </c>
      <c r="N153" s="26" t="s">
        <v>471</v>
      </c>
      <c r="O153" s="39" t="n">
        <v>100</v>
      </c>
      <c r="P153" s="32" t="n">
        <v>100</v>
      </c>
      <c r="Q153" s="31"/>
      <c r="R153" s="31" t="n">
        <v>100</v>
      </c>
      <c r="S153" s="31" t="n">
        <v>100</v>
      </c>
      <c r="T153" s="31"/>
      <c r="U153" s="31"/>
      <c r="V153" s="39"/>
      <c r="W153" s="31"/>
      <c r="X153" s="32"/>
      <c r="Y153" s="31"/>
      <c r="Z153" s="31"/>
      <c r="AA153" s="31" t="n">
        <v>1</v>
      </c>
      <c r="AB153" s="31" t="n">
        <v>98</v>
      </c>
      <c r="AC153" s="40" t="n">
        <f aca="false">O153+P153+R153+S153+AB153</f>
        <v>498</v>
      </c>
      <c r="AD153" s="31" t="n">
        <f aca="false">(Q153+T153+Y153+AA153)*100</f>
        <v>100</v>
      </c>
      <c r="AE153" s="41" t="n">
        <f aca="false">(0.8*AC153)+(0.2*AD153)</f>
        <v>418.4</v>
      </c>
      <c r="AF153" s="65" t="n">
        <f aca="false">84+((AE153-$AE$161)/($AE$160-$AE$161)*(92-84))</f>
        <v>87.936</v>
      </c>
      <c r="AG153" s="31"/>
      <c r="AH153" s="31" t="n">
        <v>100</v>
      </c>
      <c r="AI153" s="31"/>
      <c r="AJ153" s="31"/>
      <c r="AK153" s="31"/>
    </row>
    <row r="154" customFormat="false" ht="13.5" hidden="false" customHeight="true" outlineLevel="0" collapsed="false">
      <c r="A154" s="31" t="n">
        <v>34</v>
      </c>
      <c r="B154" s="31" t="n">
        <v>188</v>
      </c>
      <c r="C154" s="32" t="s">
        <v>635</v>
      </c>
      <c r="D154" s="33" t="n">
        <v>242510066</v>
      </c>
      <c r="E154" s="33" t="s">
        <v>636</v>
      </c>
      <c r="F154" s="32" t="s">
        <v>637</v>
      </c>
      <c r="G154" s="32" t="s">
        <v>638</v>
      </c>
      <c r="H154" s="34" t="s">
        <v>639</v>
      </c>
      <c r="I154" s="32" t="s">
        <v>123</v>
      </c>
      <c r="J154" s="35" t="s">
        <v>52</v>
      </c>
      <c r="K154" s="36" t="s">
        <v>639</v>
      </c>
      <c r="L154" s="37" t="n">
        <v>39399</v>
      </c>
      <c r="M154" s="48" t="s">
        <v>112</v>
      </c>
      <c r="N154" s="26" t="s">
        <v>471</v>
      </c>
      <c r="O154" s="39" t="n">
        <v>100</v>
      </c>
      <c r="P154" s="32" t="n">
        <v>100</v>
      </c>
      <c r="Q154" s="31"/>
      <c r="R154" s="31" t="n">
        <v>100</v>
      </c>
      <c r="S154" s="31" t="n">
        <v>100</v>
      </c>
      <c r="T154" s="31"/>
      <c r="U154" s="31" t="n">
        <v>18</v>
      </c>
      <c r="V154" s="39"/>
      <c r="W154" s="31"/>
      <c r="X154" s="32"/>
      <c r="Y154" s="31"/>
      <c r="Z154" s="31"/>
      <c r="AA154" s="31"/>
      <c r="AB154" s="31"/>
      <c r="AC154" s="40" t="n">
        <f aca="false">O154+P154+R154+S154+AB154</f>
        <v>400</v>
      </c>
      <c r="AD154" s="31" t="n">
        <f aca="false">(Q154+T154+Y154+AA154)*100</f>
        <v>0</v>
      </c>
      <c r="AE154" s="41" t="n">
        <f aca="false">(0.8*AC154)+(0.2*AD154)</f>
        <v>320</v>
      </c>
      <c r="AF154" s="65" t="n">
        <f aca="false">84+((AE154-$AE$161)/($AE$160-$AE$161)*(92-84))</f>
        <v>84</v>
      </c>
      <c r="AG154" s="31"/>
      <c r="AH154" s="31" t="n">
        <v>100</v>
      </c>
      <c r="AI154" s="31"/>
      <c r="AJ154" s="31"/>
      <c r="AK154" s="31"/>
    </row>
    <row r="155" customFormat="false" ht="13.5" hidden="false" customHeight="true" outlineLevel="0" collapsed="false">
      <c r="A155" s="31" t="n">
        <v>35</v>
      </c>
      <c r="B155" s="31" t="n">
        <v>189</v>
      </c>
      <c r="C155" s="32" t="s">
        <v>640</v>
      </c>
      <c r="D155" s="33" t="n">
        <v>242510381</v>
      </c>
      <c r="E155" s="33" t="s">
        <v>641</v>
      </c>
      <c r="F155" s="32" t="s">
        <v>642</v>
      </c>
      <c r="G155" s="32" t="s">
        <v>643</v>
      </c>
      <c r="H155" s="34" t="s">
        <v>644</v>
      </c>
      <c r="I155" s="32" t="s">
        <v>51</v>
      </c>
      <c r="J155" s="35" t="s">
        <v>66</v>
      </c>
      <c r="K155" s="36" t="s">
        <v>644</v>
      </c>
      <c r="L155" s="37" t="n">
        <v>39921</v>
      </c>
      <c r="M155" s="47" t="s">
        <v>78</v>
      </c>
      <c r="N155" s="26" t="s">
        <v>471</v>
      </c>
      <c r="O155" s="39" t="n">
        <v>100</v>
      </c>
      <c r="P155" s="32" t="n">
        <v>100</v>
      </c>
      <c r="Q155" s="31"/>
      <c r="R155" s="31" t="n">
        <v>100</v>
      </c>
      <c r="S155" s="31" t="n">
        <v>100</v>
      </c>
      <c r="T155" s="31" t="n">
        <v>2</v>
      </c>
      <c r="U155" s="31" t="n">
        <v>13</v>
      </c>
      <c r="V155" s="39"/>
      <c r="W155" s="31"/>
      <c r="X155" s="32"/>
      <c r="Y155" s="31"/>
      <c r="Z155" s="31"/>
      <c r="AA155" s="31"/>
      <c r="AB155" s="31" t="n">
        <v>100</v>
      </c>
      <c r="AC155" s="40" t="n">
        <f aca="false">O155+P155+R155+S155+AB155</f>
        <v>500</v>
      </c>
      <c r="AD155" s="31" t="n">
        <f aca="false">(Q155+T155+Y155+AA155)*100</f>
        <v>200</v>
      </c>
      <c r="AE155" s="41" t="n">
        <f aca="false">(0.8*AC155)+(0.2*AD155)</f>
        <v>440</v>
      </c>
      <c r="AF155" s="65" t="n">
        <f aca="false">84+((AE155-$AE$161)/($AE$160-$AE$161)*(92-84))</f>
        <v>88.8</v>
      </c>
      <c r="AG155" s="31"/>
      <c r="AH155" s="31" t="n">
        <v>100</v>
      </c>
      <c r="AI155" s="31"/>
      <c r="AJ155" s="31"/>
      <c r="AK155" s="31" t="n">
        <v>1</v>
      </c>
    </row>
    <row r="156" customFormat="false" ht="13.5" hidden="false" customHeight="true" outlineLevel="0" collapsed="false">
      <c r="A156" s="31" t="n">
        <v>36</v>
      </c>
      <c r="B156" s="31" t="n">
        <v>190</v>
      </c>
      <c r="C156" s="32" t="s">
        <v>645</v>
      </c>
      <c r="D156" s="33" t="n">
        <v>242510113</v>
      </c>
      <c r="E156" s="33" t="s">
        <v>646</v>
      </c>
      <c r="F156" s="32" t="s">
        <v>647</v>
      </c>
      <c r="G156" s="32" t="s">
        <v>648</v>
      </c>
      <c r="H156" s="34" t="s">
        <v>649</v>
      </c>
      <c r="I156" s="32" t="s">
        <v>650</v>
      </c>
      <c r="J156" s="35" t="s">
        <v>52</v>
      </c>
      <c r="K156" s="36" t="s">
        <v>649</v>
      </c>
      <c r="L156" s="37" t="n">
        <v>39760</v>
      </c>
      <c r="M156" s="48" t="s">
        <v>112</v>
      </c>
      <c r="N156" s="26" t="s">
        <v>471</v>
      </c>
      <c r="O156" s="39" t="n">
        <v>100</v>
      </c>
      <c r="P156" s="32" t="n">
        <v>100</v>
      </c>
      <c r="Q156" s="31"/>
      <c r="R156" s="31" t="n">
        <v>100</v>
      </c>
      <c r="S156" s="31" t="n">
        <v>100</v>
      </c>
      <c r="T156" s="31"/>
      <c r="U156" s="31" t="n">
        <v>22</v>
      </c>
      <c r="V156" s="39"/>
      <c r="W156" s="31"/>
      <c r="X156" s="32"/>
      <c r="Y156" s="31"/>
      <c r="Z156" s="31"/>
      <c r="AA156" s="31"/>
      <c r="AB156" s="31" t="n">
        <v>95</v>
      </c>
      <c r="AC156" s="40" t="n">
        <f aca="false">O156+P156+R156+S156+AB156</f>
        <v>495</v>
      </c>
      <c r="AD156" s="31" t="n">
        <f aca="false">(Q156+T156+Y156+AA156)*100</f>
        <v>0</v>
      </c>
      <c r="AE156" s="41" t="n">
        <f aca="false">(0.8*AC156)+(0.2*AD156)</f>
        <v>396</v>
      </c>
      <c r="AF156" s="65" t="n">
        <f aca="false">84+((AE156-$AE$161)/($AE$160-$AE$161)*(92-84))</f>
        <v>87.04</v>
      </c>
      <c r="AG156" s="31"/>
      <c r="AH156" s="31" t="n">
        <v>100</v>
      </c>
      <c r="AI156" s="31"/>
      <c r="AJ156" s="31"/>
      <c r="AK156" s="31"/>
    </row>
    <row r="157" customFormat="false" ht="13.5" hidden="false" customHeight="true" outlineLevel="0" collapsed="false">
      <c r="A157" s="31" t="n">
        <v>37</v>
      </c>
      <c r="B157" s="31" t="n">
        <v>191</v>
      </c>
      <c r="C157" s="32" t="s">
        <v>651</v>
      </c>
      <c r="D157" s="33" t="n">
        <v>242510385</v>
      </c>
      <c r="E157" s="33" t="s">
        <v>652</v>
      </c>
      <c r="F157" s="32" t="s">
        <v>653</v>
      </c>
      <c r="G157" s="32" t="s">
        <v>654</v>
      </c>
      <c r="H157" s="34" t="s">
        <v>655</v>
      </c>
      <c r="I157" s="32" t="s">
        <v>51</v>
      </c>
      <c r="J157" s="35" t="s">
        <v>66</v>
      </c>
      <c r="K157" s="36" t="s">
        <v>655</v>
      </c>
      <c r="L157" s="37" t="n">
        <v>39434</v>
      </c>
      <c r="M157" s="44" t="s">
        <v>60</v>
      </c>
      <c r="N157" s="26" t="s">
        <v>471</v>
      </c>
      <c r="O157" s="39" t="n">
        <v>100</v>
      </c>
      <c r="P157" s="32" t="n">
        <v>100</v>
      </c>
      <c r="Q157" s="31"/>
      <c r="R157" s="31" t="n">
        <v>100</v>
      </c>
      <c r="S157" s="31" t="n">
        <v>100</v>
      </c>
      <c r="T157" s="31"/>
      <c r="U157" s="31" t="n">
        <v>2</v>
      </c>
      <c r="V157" s="39" t="n">
        <v>80</v>
      </c>
      <c r="W157" s="31"/>
      <c r="X157" s="32"/>
      <c r="Y157" s="31" t="n">
        <v>1</v>
      </c>
      <c r="Z157" s="31"/>
      <c r="AA157" s="31" t="n">
        <v>1</v>
      </c>
      <c r="AB157" s="31" t="n">
        <v>100</v>
      </c>
      <c r="AC157" s="40" t="n">
        <f aca="false">O157+P157+R157+S157+AB157</f>
        <v>500</v>
      </c>
      <c r="AD157" s="31" t="n">
        <f aca="false">(Q157+T157+Y157+AA157)*100</f>
        <v>200</v>
      </c>
      <c r="AE157" s="41" t="n">
        <f aca="false">(0.8*AC157)+(0.2*AD157)</f>
        <v>440</v>
      </c>
      <c r="AF157" s="65" t="n">
        <f aca="false">84+((AE157-$AE$161)/($AE$160-$AE$161)*(92-84))</f>
        <v>88.8</v>
      </c>
      <c r="AG157" s="31"/>
      <c r="AH157" s="31" t="n">
        <v>100</v>
      </c>
      <c r="AI157" s="31"/>
      <c r="AJ157" s="31"/>
      <c r="AK157" s="31"/>
    </row>
    <row r="158" customFormat="false" ht="13.5" hidden="false" customHeight="true" outlineLevel="0" collapsed="false">
      <c r="A158" s="31" t="n">
        <v>38</v>
      </c>
      <c r="B158" s="31" t="n">
        <v>192</v>
      </c>
      <c r="C158" s="32" t="s">
        <v>656</v>
      </c>
      <c r="D158" s="33" t="n">
        <v>242510078</v>
      </c>
      <c r="E158" s="33" t="s">
        <v>657</v>
      </c>
      <c r="F158" s="32" t="s">
        <v>658</v>
      </c>
      <c r="G158" s="32" t="s">
        <v>659</v>
      </c>
      <c r="H158" s="77" t="s">
        <v>660</v>
      </c>
      <c r="I158" s="32" t="s">
        <v>661</v>
      </c>
      <c r="J158" s="35" t="s">
        <v>52</v>
      </c>
      <c r="K158" s="68" t="s">
        <v>660</v>
      </c>
      <c r="L158" s="37" t="n">
        <v>39839</v>
      </c>
      <c r="M158" s="45" t="s">
        <v>67</v>
      </c>
      <c r="N158" s="26" t="s">
        <v>471</v>
      </c>
      <c r="O158" s="39" t="n">
        <v>100</v>
      </c>
      <c r="P158" s="32" t="n">
        <v>100</v>
      </c>
      <c r="Q158" s="31"/>
      <c r="R158" s="31" t="n">
        <v>100</v>
      </c>
      <c r="S158" s="31" t="n">
        <v>100</v>
      </c>
      <c r="T158" s="31" t="n">
        <v>1</v>
      </c>
      <c r="U158" s="31" t="n">
        <v>9</v>
      </c>
      <c r="V158" s="39"/>
      <c r="W158" s="31"/>
      <c r="X158" s="32"/>
      <c r="Y158" s="31"/>
      <c r="Z158" s="31"/>
      <c r="AA158" s="31"/>
      <c r="AB158" s="31" t="n">
        <v>100</v>
      </c>
      <c r="AC158" s="40" t="n">
        <f aca="false">O158+P158+R158+S158+AB158</f>
        <v>500</v>
      </c>
      <c r="AD158" s="31" t="n">
        <f aca="false">(Q158+T158+Y158+AA158)*100</f>
        <v>100</v>
      </c>
      <c r="AE158" s="41" t="n">
        <f aca="false">(0.8*AC158)+(0.2*AD158)</f>
        <v>420</v>
      </c>
      <c r="AF158" s="65" t="n">
        <f aca="false">84+((AE158-$AE$161)/($AE$160-$AE$161)*(92-84))</f>
        <v>88</v>
      </c>
      <c r="AG158" s="31"/>
      <c r="AH158" s="31" t="n">
        <v>100</v>
      </c>
      <c r="AI158" s="31"/>
      <c r="AJ158" s="31"/>
      <c r="AK158" s="31"/>
    </row>
    <row r="159" customFormat="false" ht="13.5" hidden="false" customHeight="true" outlineLevel="0" collapsed="false">
      <c r="A159" s="31" t="n">
        <v>39</v>
      </c>
      <c r="B159" s="31" t="n">
        <v>193</v>
      </c>
      <c r="C159" s="32" t="s">
        <v>662</v>
      </c>
      <c r="D159" s="33" t="n">
        <v>242510276</v>
      </c>
      <c r="E159" s="33" t="s">
        <v>663</v>
      </c>
      <c r="F159" s="32" t="s">
        <v>664</v>
      </c>
      <c r="G159" s="32" t="s">
        <v>665</v>
      </c>
      <c r="H159" s="34" t="s">
        <v>666</v>
      </c>
      <c r="I159" s="32" t="s">
        <v>51</v>
      </c>
      <c r="J159" s="46" t="s">
        <v>66</v>
      </c>
      <c r="K159" s="36" t="s">
        <v>666</v>
      </c>
      <c r="L159" s="37" t="n">
        <v>39646</v>
      </c>
      <c r="M159" s="44" t="s">
        <v>60</v>
      </c>
      <c r="N159" s="26" t="s">
        <v>471</v>
      </c>
      <c r="O159" s="39" t="n">
        <v>100</v>
      </c>
      <c r="P159" s="32" t="n">
        <v>100</v>
      </c>
      <c r="Q159" s="31" t="n">
        <v>1</v>
      </c>
      <c r="R159" s="31" t="n">
        <v>100</v>
      </c>
      <c r="S159" s="31" t="n">
        <v>100</v>
      </c>
      <c r="T159" s="31"/>
      <c r="U159" s="31"/>
      <c r="V159" s="39"/>
      <c r="W159" s="31"/>
      <c r="X159" s="32"/>
      <c r="Y159" s="31"/>
      <c r="Z159" s="31"/>
      <c r="AA159" s="31"/>
      <c r="AB159" s="31" t="n">
        <v>95</v>
      </c>
      <c r="AC159" s="40" t="n">
        <f aca="false">O159+P159+R159+S159+AB159</f>
        <v>495</v>
      </c>
      <c r="AD159" s="31" t="n">
        <f aca="false">(Q159+T159+Y159+AA159)*100</f>
        <v>100</v>
      </c>
      <c r="AE159" s="41" t="n">
        <f aca="false">(0.8*AC159)+(0.2*AD159)</f>
        <v>416</v>
      </c>
      <c r="AF159" s="65" t="n">
        <f aca="false">84+((AE159-$AE$161)/($AE$160-$AE$161)*(92-84))</f>
        <v>87.84</v>
      </c>
      <c r="AG159" s="31"/>
      <c r="AH159" s="31"/>
      <c r="AI159" s="31"/>
      <c r="AJ159" s="31"/>
      <c r="AK159" s="31"/>
    </row>
    <row r="160" customFormat="false" ht="13.5" hidden="false" customHeight="true" outlineLevel="0" collapsed="false">
      <c r="H160" s="17" t="s">
        <v>240</v>
      </c>
      <c r="I160" s="52"/>
      <c r="J160" s="1" t="n">
        <f aca="false">COUNTIF(J121:J159,"L")</f>
        <v>13</v>
      </c>
      <c r="L160" s="53"/>
      <c r="AD160" s="1" t="n">
        <f aca="false">Q160+T160+Y160+AA160</f>
        <v>0</v>
      </c>
      <c r="AE160" s="2" t="n">
        <f aca="false">MAX(AE121:AE159)</f>
        <v>520</v>
      </c>
      <c r="AF160" s="78" t="n">
        <f aca="false">84+((AE160-$AE$161)/($AE$160-$AE$161)*(92-84))</f>
        <v>92</v>
      </c>
    </row>
    <row r="161" customFormat="false" ht="13.5" hidden="false" customHeight="true" outlineLevel="0" collapsed="false">
      <c r="A161" s="55"/>
      <c r="E161" s="2"/>
      <c r="H161" s="17" t="s">
        <v>242</v>
      </c>
      <c r="I161" s="1"/>
      <c r="J161" s="1" t="n">
        <f aca="false">COUNTIF(J121:J160,"P")</f>
        <v>26</v>
      </c>
      <c r="K161" s="53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8" t="n">
        <f aca="false">84+((AE161-$AE$161)/($AE$160-$AE$161)*(92-84))</f>
        <v>84</v>
      </c>
    </row>
    <row r="162" customFormat="false" ht="13.5" hidden="false" customHeight="true" outlineLevel="0" collapsed="false">
      <c r="A162" s="55" t="s">
        <v>446</v>
      </c>
      <c r="E162" s="2"/>
      <c r="H162" s="52"/>
      <c r="I162" s="1"/>
      <c r="J162" s="2"/>
      <c r="K162" s="53"/>
      <c r="M162" s="4"/>
      <c r="N162" s="2" t="s">
        <v>447</v>
      </c>
      <c r="O162" s="5" t="s">
        <v>667</v>
      </c>
    </row>
    <row r="163" customFormat="false" ht="13.5" hidden="false" customHeight="true" outlineLevel="0" collapsed="false">
      <c r="A163" s="55"/>
      <c r="E163" s="2"/>
      <c r="H163" s="52"/>
      <c r="I163" s="1"/>
      <c r="J163" s="2"/>
      <c r="K163" s="53"/>
      <c r="M163" s="4"/>
      <c r="N163" s="2"/>
    </row>
    <row r="164" customFormat="false" ht="13.5" hidden="false" customHeight="true" outlineLevel="0" collapsed="false">
      <c r="A164" s="55"/>
      <c r="E164" s="2"/>
      <c r="H164" s="52"/>
      <c r="I164" s="1"/>
      <c r="J164" s="2"/>
      <c r="K164" s="53"/>
      <c r="M164" s="4"/>
      <c r="N164" s="2"/>
    </row>
    <row r="165" customFormat="false" ht="13.5" hidden="false" customHeight="true" outlineLevel="0" collapsed="false">
      <c r="A165" s="55"/>
      <c r="E165" s="2"/>
      <c r="H165" s="52"/>
      <c r="I165" s="1"/>
      <c r="J165" s="2"/>
      <c r="K165" s="53"/>
      <c r="M165" s="4"/>
      <c r="N165" s="2"/>
    </row>
    <row r="166" customFormat="false" ht="13.5" hidden="false" customHeight="true" outlineLevel="0" collapsed="false">
      <c r="A166" s="72" t="s">
        <v>448</v>
      </c>
      <c r="E166" s="2"/>
      <c r="H166" s="52"/>
      <c r="I166" s="1"/>
      <c r="J166" s="2"/>
      <c r="K166" s="53"/>
      <c r="M166" s="4"/>
      <c r="N166" s="2" t="s">
        <v>449</v>
      </c>
      <c r="O166" s="5" t="s">
        <v>450</v>
      </c>
    </row>
    <row r="167" customFormat="false" ht="13.5" hidden="false" customHeight="true" outlineLevel="0" collapsed="false">
      <c r="A167" s="73" t="s">
        <v>451</v>
      </c>
      <c r="E167" s="2"/>
      <c r="I167" s="1"/>
      <c r="J167" s="2"/>
      <c r="K167" s="53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true" showOutlineSymbols="true" defaultGridColor="true" view="normal" topLeftCell="A19" colorId="64" zoomScale="110" zoomScaleNormal="110" zoomScalePageLayoutView="100" workbookViewId="0">
      <selection pane="topLeft" activeCell="AG60" activeCellId="0" sqref="AG60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79" width="4.52"/>
    <col collapsed="false" customWidth="false" hidden="true" outlineLevel="0" max="2" min="2" style="79" width="11.51"/>
    <col collapsed="false" customWidth="true" hidden="true" outlineLevel="0" max="3" min="3" style="6" width="20.35"/>
    <col collapsed="false" customWidth="true" hidden="true" outlineLevel="0" max="4" min="4" style="80" width="13.15"/>
    <col collapsed="false" customWidth="true" hidden="true" outlineLevel="0" max="5" min="5" style="80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9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80" width="6.3"/>
    <col collapsed="false" customWidth="true" hidden="true" outlineLevel="0" max="13" min="13" style="79" width="11.7"/>
    <col collapsed="false" customWidth="true" hidden="true" outlineLevel="0" max="14" min="14" style="79" width="7.18"/>
    <col collapsed="false" customWidth="true" hidden="true" outlineLevel="0" max="15" min="15" style="79" width="11.7"/>
    <col collapsed="false" customWidth="true" hidden="true" outlineLevel="0" max="16" min="16" style="79" width="7.18"/>
    <col collapsed="false" customWidth="true" hidden="true" outlineLevel="0" max="18" min="17" style="79" width="11.7"/>
    <col collapsed="false" customWidth="true" hidden="true" outlineLevel="0" max="19" min="19" style="6" width="11.7"/>
    <col collapsed="false" customWidth="true" hidden="true" outlineLevel="0" max="20" min="20" style="79" width="7.18"/>
    <col collapsed="false" customWidth="true" hidden="true" outlineLevel="0" max="22" min="21" style="79" width="11.7"/>
    <col collapsed="false" customWidth="true" hidden="true" outlineLevel="0" max="23" min="23" style="79" width="7.18"/>
    <col collapsed="false" customWidth="true" hidden="true" outlineLevel="0" max="24" min="24" style="79" width="17.74"/>
    <col collapsed="false" customWidth="true" hidden="true" outlineLevel="0" max="25" min="25" style="79" width="7.18"/>
    <col collapsed="false" customWidth="true" hidden="true" outlineLevel="0" max="26" min="26" style="79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80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4" min="33" style="79" width="11.51"/>
    <col collapsed="false" customWidth="false" hidden="false" outlineLevel="0" max="35" min="35" style="6" width="11.51"/>
    <col collapsed="false" customWidth="false" hidden="false" outlineLevel="0" max="36" min="36" style="79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customFormat="false" ht="12.75" hidden="false" customHeight="true" outlineLevel="0" collapsed="false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</row>
    <row r="3" customFormat="false" ht="12.75" hidden="false" customHeight="true" outlineLevel="0" collapsed="false">
      <c r="A3" s="81" t="s">
        <v>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customFormat="false" ht="16.5" hidden="false" customHeight="true" outlineLevel="0" collapsed="false">
      <c r="A4" s="82" t="s">
        <v>3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</row>
    <row r="5" customFormat="false" ht="12.75" hidden="false" customHeight="true" outlineLevel="0" collapsed="false">
      <c r="A5" s="83" t="s">
        <v>4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</row>
    <row r="6" customFormat="false" ht="15" hidden="false" customHeight="true" outlineLevel="0" collapsed="false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</row>
    <row r="7" customFormat="false" ht="12.75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</row>
    <row r="8" customFormat="false" ht="12.75" hidden="false" customHeight="true" outlineLevel="0" collapsed="false">
      <c r="A8" s="84" t="s">
        <v>5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</row>
    <row r="9" customFormat="false" ht="12.75" hidden="false" customHeight="true" outlineLevel="0" collapsed="false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</row>
    <row r="10" customFormat="false" ht="12.75" hidden="false" customHeight="true" outlineLevel="0" collapsed="false">
      <c r="A10" s="6"/>
      <c r="B10" s="85"/>
      <c r="D10" s="86" t="s">
        <v>668</v>
      </c>
      <c r="E10" s="87"/>
      <c r="G10" s="85" t="s">
        <v>7</v>
      </c>
      <c r="H10" s="88" t="s">
        <v>8</v>
      </c>
      <c r="M10" s="89" t="s">
        <v>669</v>
      </c>
    </row>
    <row r="11" s="80" customFormat="true" ht="24.75" hidden="false" customHeight="true" outlineLevel="0" collapsed="false">
      <c r="A11" s="90" t="s">
        <v>10</v>
      </c>
      <c r="B11" s="90" t="s">
        <v>11</v>
      </c>
      <c r="C11" s="91" t="s">
        <v>12</v>
      </c>
      <c r="D11" s="91" t="s">
        <v>13</v>
      </c>
      <c r="E11" s="91" t="s">
        <v>14</v>
      </c>
      <c r="F11" s="91" t="s">
        <v>17</v>
      </c>
      <c r="G11" s="91" t="s">
        <v>18</v>
      </c>
      <c r="H11" s="91" t="s">
        <v>19</v>
      </c>
      <c r="I11" s="91" t="s">
        <v>20</v>
      </c>
      <c r="J11" s="91" t="s">
        <v>21</v>
      </c>
      <c r="K11" s="90" t="s">
        <v>22</v>
      </c>
      <c r="L11" s="90" t="s">
        <v>23</v>
      </c>
      <c r="M11" s="92" t="s">
        <v>670</v>
      </c>
      <c r="N11" s="30" t="s">
        <v>671</v>
      </c>
      <c r="O11" s="30" t="s">
        <v>672</v>
      </c>
      <c r="P11" s="30" t="s">
        <v>671</v>
      </c>
      <c r="Q11" s="30" t="s">
        <v>673</v>
      </c>
      <c r="R11" s="30" t="s">
        <v>674</v>
      </c>
      <c r="T11" s="80" t="s">
        <v>675</v>
      </c>
      <c r="U11" s="80" t="s">
        <v>676</v>
      </c>
      <c r="V11" s="80" t="s">
        <v>677</v>
      </c>
      <c r="W11" s="27" t="s">
        <v>38</v>
      </c>
      <c r="X11" s="28" t="s">
        <v>39</v>
      </c>
      <c r="Y11" s="25" t="s">
        <v>40</v>
      </c>
      <c r="Z11" s="29" t="s">
        <v>678</v>
      </c>
      <c r="AF11" s="29" t="s">
        <v>678</v>
      </c>
      <c r="AG11" s="60"/>
    </row>
    <row r="12" customFormat="false" ht="12.75" hidden="false" customHeight="true" outlineLevel="0" collapsed="false">
      <c r="A12" s="93" t="n">
        <v>1</v>
      </c>
      <c r="B12" s="93" t="n">
        <v>1</v>
      </c>
      <c r="C12" s="40" t="s">
        <v>46</v>
      </c>
      <c r="D12" s="94" t="n">
        <v>252610001</v>
      </c>
      <c r="E12" s="95" t="s">
        <v>679</v>
      </c>
      <c r="F12" s="96" t="s">
        <v>680</v>
      </c>
      <c r="G12" s="36" t="s">
        <v>680</v>
      </c>
      <c r="H12" s="97" t="s">
        <v>52</v>
      </c>
      <c r="I12" s="40" t="s">
        <v>681</v>
      </c>
      <c r="J12" s="98" t="n">
        <v>39691</v>
      </c>
      <c r="K12" s="40" t="s">
        <v>53</v>
      </c>
      <c r="L12" s="99" t="s">
        <v>54</v>
      </c>
      <c r="M12" s="100" t="n">
        <v>100</v>
      </c>
      <c r="N12" s="100"/>
      <c r="O12" s="93" t="n">
        <v>100</v>
      </c>
      <c r="P12" s="93"/>
      <c r="Q12" s="93" t="n">
        <v>100</v>
      </c>
      <c r="R12" s="93"/>
      <c r="U12" s="79" t="n">
        <v>100</v>
      </c>
      <c r="W12" s="93" t="n">
        <f aca="false">M12+O12+R12+U12</f>
        <v>300</v>
      </c>
      <c r="X12" s="93" t="n">
        <f aca="false">N12*100</f>
        <v>0</v>
      </c>
      <c r="Y12" s="101" t="n">
        <f aca="false">(0.8*W12)+(0.2*X12)</f>
        <v>240</v>
      </c>
      <c r="Z12" s="102" t="n">
        <f aca="false">75+((Y12-$Y$61)/($Y$60-$Y$61)*(92-75))</f>
        <v>87</v>
      </c>
      <c r="AF12" s="103" t="n"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40" t="s">
        <v>55</v>
      </c>
      <c r="D13" s="94" t="n">
        <v>252610002</v>
      </c>
      <c r="E13" s="95" t="s">
        <v>682</v>
      </c>
      <c r="F13" s="96" t="s">
        <v>683</v>
      </c>
      <c r="G13" s="36" t="s">
        <v>683</v>
      </c>
      <c r="H13" s="97" t="s">
        <v>52</v>
      </c>
      <c r="I13" s="40" t="s">
        <v>684</v>
      </c>
      <c r="J13" s="98" t="n">
        <v>39698</v>
      </c>
      <c r="K13" s="40" t="s">
        <v>60</v>
      </c>
      <c r="L13" s="99" t="s">
        <v>54</v>
      </c>
      <c r="M13" s="100" t="n">
        <v>100</v>
      </c>
      <c r="N13" s="100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1" t="n">
        <f aca="false">(0.8*W13)+(0.2*X13)</f>
        <v>80</v>
      </c>
      <c r="Z13" s="102" t="n">
        <f aca="false">75+((Y13-$Y$61)/($Y$60-$Y$61)*(92-75))</f>
        <v>79</v>
      </c>
      <c r="AF13" s="103" t="n"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40" t="s">
        <v>61</v>
      </c>
      <c r="D14" s="94" t="n">
        <v>252610003</v>
      </c>
      <c r="E14" s="95" t="s">
        <v>685</v>
      </c>
      <c r="F14" s="96" t="s">
        <v>686</v>
      </c>
      <c r="G14" s="36" t="s">
        <v>686</v>
      </c>
      <c r="H14" s="97" t="s">
        <v>66</v>
      </c>
      <c r="I14" s="40" t="s">
        <v>687</v>
      </c>
      <c r="J14" s="98" t="n">
        <v>39684</v>
      </c>
      <c r="K14" s="40" t="s">
        <v>67</v>
      </c>
      <c r="L14" s="99" t="s">
        <v>54</v>
      </c>
      <c r="M14" s="100" t="n">
        <v>100</v>
      </c>
      <c r="N14" s="100"/>
      <c r="O14" s="93" t="n">
        <v>100</v>
      </c>
      <c r="P14" s="93"/>
      <c r="Q14" s="93" t="n">
        <v>100</v>
      </c>
      <c r="R14" s="93" t="n">
        <v>100</v>
      </c>
      <c r="U14" s="79" t="n">
        <v>100</v>
      </c>
      <c r="W14" s="93" t="n">
        <f aca="false">M14+O14+R14+U14</f>
        <v>400</v>
      </c>
      <c r="X14" s="93" t="n">
        <f aca="false">N14*100</f>
        <v>0</v>
      </c>
      <c r="Y14" s="101" t="n">
        <f aca="false">(0.8*W14)+(0.2*X14)</f>
        <v>320</v>
      </c>
      <c r="Z14" s="102" t="n">
        <f aca="false">75+((Y14-$Y$61)/($Y$60-$Y$61)*(92-75))</f>
        <v>91</v>
      </c>
      <c r="AF14" s="103" t="n"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40" t="s">
        <v>68</v>
      </c>
      <c r="D15" s="94" t="n">
        <v>252610004</v>
      </c>
      <c r="E15" s="95" t="s">
        <v>688</v>
      </c>
      <c r="F15" s="96" t="s">
        <v>689</v>
      </c>
      <c r="G15" s="36" t="s">
        <v>689</v>
      </c>
      <c r="H15" s="97" t="s">
        <v>66</v>
      </c>
      <c r="I15" s="40" t="s">
        <v>681</v>
      </c>
      <c r="J15" s="98" t="n">
        <v>39616</v>
      </c>
      <c r="K15" s="40" t="s">
        <v>60</v>
      </c>
      <c r="L15" s="99" t="s">
        <v>54</v>
      </c>
      <c r="M15" s="100" t="n">
        <v>100</v>
      </c>
      <c r="N15" s="100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1" t="n">
        <f aca="false">(0.8*W15)+(0.2*X15)</f>
        <v>80</v>
      </c>
      <c r="Z15" s="102" t="n">
        <f aca="false">75+((Y15-$Y$61)/($Y$60-$Y$61)*(92-75))</f>
        <v>79</v>
      </c>
      <c r="AF15" s="103" t="n">
        <v>79</v>
      </c>
      <c r="AG15" s="79" t="s">
        <v>690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40" t="s">
        <v>73</v>
      </c>
      <c r="D16" s="94" t="n">
        <v>252610005</v>
      </c>
      <c r="E16" s="95" t="s">
        <v>691</v>
      </c>
      <c r="F16" s="96" t="s">
        <v>692</v>
      </c>
      <c r="G16" s="36" t="s">
        <v>692</v>
      </c>
      <c r="H16" s="97" t="s">
        <v>66</v>
      </c>
      <c r="I16" s="40" t="s">
        <v>687</v>
      </c>
      <c r="J16" s="98" t="n">
        <v>39948</v>
      </c>
      <c r="K16" s="40" t="s">
        <v>78</v>
      </c>
      <c r="L16" s="99" t="s">
        <v>54</v>
      </c>
      <c r="M16" s="100"/>
      <c r="N16" s="100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1" t="n">
        <f aca="false">(0.8*W16)+(0.2*X16)</f>
        <v>0</v>
      </c>
      <c r="Z16" s="102" t="n">
        <v>0</v>
      </c>
      <c r="AF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40" t="s">
        <v>79</v>
      </c>
      <c r="D17" s="94" t="n">
        <v>252610006</v>
      </c>
      <c r="E17" s="95" t="s">
        <v>693</v>
      </c>
      <c r="F17" s="96" t="s">
        <v>694</v>
      </c>
      <c r="G17" s="36" t="s">
        <v>694</v>
      </c>
      <c r="H17" s="97" t="s">
        <v>66</v>
      </c>
      <c r="I17" s="40" t="s">
        <v>687</v>
      </c>
      <c r="J17" s="98" t="n">
        <v>39904</v>
      </c>
      <c r="K17" s="40" t="s">
        <v>78</v>
      </c>
      <c r="L17" s="99" t="s">
        <v>54</v>
      </c>
      <c r="M17" s="100"/>
      <c r="N17" s="100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1" t="n">
        <f aca="false">(0.8*W17)+(0.2*X17)</f>
        <v>0</v>
      </c>
      <c r="Z17" s="102" t="n">
        <v>0</v>
      </c>
      <c r="AF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40" t="s">
        <v>84</v>
      </c>
      <c r="D18" s="94" t="n">
        <v>252610007</v>
      </c>
      <c r="E18" s="95" t="s">
        <v>695</v>
      </c>
      <c r="F18" s="96" t="s">
        <v>696</v>
      </c>
      <c r="G18" s="36" t="s">
        <v>696</v>
      </c>
      <c r="H18" s="97" t="s">
        <v>52</v>
      </c>
      <c r="I18" s="40" t="s">
        <v>681</v>
      </c>
      <c r="J18" s="98" t="n">
        <v>39710</v>
      </c>
      <c r="K18" s="40" t="s">
        <v>60</v>
      </c>
      <c r="L18" s="99" t="s">
        <v>54</v>
      </c>
      <c r="M18" s="100" t="n">
        <v>100</v>
      </c>
      <c r="N18" s="100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1" t="n">
        <f aca="false">(0.8*W18)+(0.2*X18)</f>
        <v>160</v>
      </c>
      <c r="Z18" s="102" t="n">
        <f aca="false">75+((Y18-$Y$61)/($Y$60-$Y$61)*(92-75))</f>
        <v>83</v>
      </c>
      <c r="AF18" s="103" t="n"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40" t="s">
        <v>89</v>
      </c>
      <c r="D19" s="94" t="n">
        <v>252610008</v>
      </c>
      <c r="E19" s="95" t="s">
        <v>697</v>
      </c>
      <c r="F19" s="96" t="s">
        <v>698</v>
      </c>
      <c r="G19" s="36" t="s">
        <v>698</v>
      </c>
      <c r="H19" s="97" t="s">
        <v>52</v>
      </c>
      <c r="I19" s="40" t="s">
        <v>687</v>
      </c>
      <c r="J19" s="98" t="n">
        <v>39542</v>
      </c>
      <c r="K19" s="40" t="s">
        <v>67</v>
      </c>
      <c r="L19" s="99" t="s">
        <v>54</v>
      </c>
      <c r="M19" s="100" t="n">
        <v>100</v>
      </c>
      <c r="N19" s="100"/>
      <c r="O19" s="93" t="n">
        <v>100</v>
      </c>
      <c r="P19" s="93"/>
      <c r="Q19" s="93" t="n">
        <v>100</v>
      </c>
      <c r="R19" s="93"/>
      <c r="U19" s="79" t="n">
        <v>100</v>
      </c>
      <c r="W19" s="93" t="n">
        <f aca="false">M19+O19+R19+U19</f>
        <v>300</v>
      </c>
      <c r="X19" s="93" t="n">
        <f aca="false">N19*100</f>
        <v>0</v>
      </c>
      <c r="Y19" s="101" t="n">
        <f aca="false">(0.8*W19)+(0.2*X19)</f>
        <v>240</v>
      </c>
      <c r="Z19" s="102" t="n">
        <f aca="false">75+((Y19-$Y$61)/($Y$60-$Y$61)*(92-75))</f>
        <v>87</v>
      </c>
      <c r="AF19" s="103" t="n"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40" t="s">
        <v>94</v>
      </c>
      <c r="D20" s="94" t="n">
        <v>252610009</v>
      </c>
      <c r="E20" s="95" t="s">
        <v>699</v>
      </c>
      <c r="F20" s="96" t="s">
        <v>700</v>
      </c>
      <c r="G20" s="36" t="s">
        <v>700</v>
      </c>
      <c r="H20" s="97" t="s">
        <v>52</v>
      </c>
      <c r="I20" s="40" t="s">
        <v>687</v>
      </c>
      <c r="J20" s="98" t="n">
        <v>39886</v>
      </c>
      <c r="K20" s="40" t="s">
        <v>78</v>
      </c>
      <c r="L20" s="99" t="s">
        <v>54</v>
      </c>
      <c r="M20" s="100"/>
      <c r="N20" s="100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1" t="n">
        <f aca="false">(0.8*W20)+(0.2*X20)</f>
        <v>0</v>
      </c>
      <c r="Z20" s="102" t="n">
        <v>0</v>
      </c>
      <c r="AF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40" t="s">
        <v>100</v>
      </c>
      <c r="D21" s="94" t="n">
        <v>252610010</v>
      </c>
      <c r="E21" s="95" t="s">
        <v>701</v>
      </c>
      <c r="F21" s="96" t="s">
        <v>702</v>
      </c>
      <c r="G21" s="36" t="s">
        <v>702</v>
      </c>
      <c r="H21" s="97" t="s">
        <v>52</v>
      </c>
      <c r="I21" s="40" t="s">
        <v>703</v>
      </c>
      <c r="J21" s="98" t="n">
        <v>39944</v>
      </c>
      <c r="K21" s="40" t="s">
        <v>67</v>
      </c>
      <c r="L21" s="99" t="s">
        <v>54</v>
      </c>
      <c r="M21" s="100" t="n">
        <v>100</v>
      </c>
      <c r="N21" s="100"/>
      <c r="O21" s="93"/>
      <c r="P21" s="93"/>
      <c r="Q21" s="93" t="n">
        <v>100</v>
      </c>
      <c r="R21" s="93"/>
      <c r="U21" s="79" t="n">
        <v>100</v>
      </c>
      <c r="W21" s="93" t="n">
        <f aca="false">M21+O21+R21+U21</f>
        <v>200</v>
      </c>
      <c r="X21" s="93" t="n">
        <f aca="false">N21*100</f>
        <v>0</v>
      </c>
      <c r="Y21" s="101" t="n">
        <f aca="false">(0.8*W21)+(0.2*X21)</f>
        <v>160</v>
      </c>
      <c r="Z21" s="102" t="n">
        <f aca="false">75+((Y21-$Y$61)/($Y$60-$Y$61)*(92-75))</f>
        <v>83</v>
      </c>
      <c r="AF21" s="103" t="n"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40" t="s">
        <v>106</v>
      </c>
      <c r="D22" s="94" t="n">
        <v>252610011</v>
      </c>
      <c r="E22" s="95" t="s">
        <v>704</v>
      </c>
      <c r="F22" s="96" t="s">
        <v>705</v>
      </c>
      <c r="G22" s="36" t="s">
        <v>705</v>
      </c>
      <c r="H22" s="97" t="s">
        <v>66</v>
      </c>
      <c r="I22" s="40" t="s">
        <v>687</v>
      </c>
      <c r="J22" s="98" t="n">
        <v>39825</v>
      </c>
      <c r="K22" s="40" t="s">
        <v>112</v>
      </c>
      <c r="L22" s="99" t="s">
        <v>54</v>
      </c>
      <c r="M22" s="100"/>
      <c r="N22" s="100"/>
      <c r="O22" s="93" t="n">
        <v>100</v>
      </c>
      <c r="P22" s="105"/>
      <c r="Q22" s="93" t="n">
        <v>100</v>
      </c>
      <c r="R22" s="93"/>
      <c r="V22" s="79" t="s">
        <v>706</v>
      </c>
      <c r="W22" s="93" t="n">
        <f aca="false">M22+O22+R22+U22</f>
        <v>100</v>
      </c>
      <c r="X22" s="93" t="n">
        <f aca="false">N22*100</f>
        <v>0</v>
      </c>
      <c r="Y22" s="101" t="n">
        <f aca="false">(0.8*W22)+(0.2*X22)</f>
        <v>80</v>
      </c>
      <c r="Z22" s="102" t="n">
        <f aca="false">75+((Y22-$Y$61)/($Y$60-$Y$61)*(92-75))</f>
        <v>79</v>
      </c>
      <c r="AF22" s="103" t="n">
        <v>79</v>
      </c>
      <c r="AG22" s="79" t="s">
        <v>533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40" t="s">
        <v>113</v>
      </c>
      <c r="D23" s="94" t="n">
        <v>252610012</v>
      </c>
      <c r="E23" s="95" t="s">
        <v>707</v>
      </c>
      <c r="F23" s="96" t="s">
        <v>708</v>
      </c>
      <c r="G23" s="36" t="s">
        <v>708</v>
      </c>
      <c r="H23" s="97" t="s">
        <v>52</v>
      </c>
      <c r="I23" s="40" t="s">
        <v>687</v>
      </c>
      <c r="J23" s="98" t="n">
        <v>39925</v>
      </c>
      <c r="K23" s="40" t="s">
        <v>78</v>
      </c>
      <c r="L23" s="99" t="s">
        <v>54</v>
      </c>
      <c r="M23" s="100" t="n">
        <v>100</v>
      </c>
      <c r="N23" s="100"/>
      <c r="O23" s="93" t="n">
        <v>100</v>
      </c>
      <c r="P23" s="93"/>
      <c r="Q23" s="93" t="n">
        <v>100</v>
      </c>
      <c r="R23" s="93" t="n">
        <v>100</v>
      </c>
      <c r="U23" s="79" t="n">
        <v>100</v>
      </c>
      <c r="W23" s="93" t="n">
        <f aca="false">M23+O23+R23+U23</f>
        <v>400</v>
      </c>
      <c r="X23" s="93" t="n">
        <f aca="false">N23*100</f>
        <v>0</v>
      </c>
      <c r="Y23" s="101" t="n">
        <f aca="false">(0.8*W23)+(0.2*X23)</f>
        <v>320</v>
      </c>
      <c r="Z23" s="102" t="n">
        <f aca="false">75+((Y23-$Y$61)/($Y$60-$Y$61)*(92-75))</f>
        <v>91</v>
      </c>
      <c r="AF23" s="103" t="n"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40" t="s">
        <v>118</v>
      </c>
      <c r="D24" s="94" t="n">
        <v>252610013</v>
      </c>
      <c r="E24" s="95" t="s">
        <v>709</v>
      </c>
      <c r="F24" s="96" t="s">
        <v>710</v>
      </c>
      <c r="G24" s="36" t="s">
        <v>710</v>
      </c>
      <c r="H24" s="106" t="s">
        <v>52</v>
      </c>
      <c r="I24" s="107" t="s">
        <v>687</v>
      </c>
      <c r="J24" s="98" t="n">
        <v>39836</v>
      </c>
      <c r="K24" s="40" t="s">
        <v>124</v>
      </c>
      <c r="L24" s="99" t="s">
        <v>54</v>
      </c>
      <c r="M24" s="100" t="n">
        <v>100</v>
      </c>
      <c r="N24" s="100"/>
      <c r="O24" s="93" t="n">
        <v>100</v>
      </c>
      <c r="P24" s="93"/>
      <c r="Q24" s="93"/>
      <c r="R24" s="93"/>
      <c r="U24" s="79" t="n">
        <v>100</v>
      </c>
      <c r="W24" s="93" t="n">
        <f aca="false">M24+O24+R24+U24</f>
        <v>300</v>
      </c>
      <c r="X24" s="93" t="n">
        <f aca="false">N24*100</f>
        <v>0</v>
      </c>
      <c r="Y24" s="101" t="n">
        <f aca="false">(0.8*W24)+(0.2*X24)</f>
        <v>240</v>
      </c>
      <c r="Z24" s="102" t="n">
        <f aca="false">75+((Y24-$Y$61)/($Y$60-$Y$61)*(92-75))</f>
        <v>87</v>
      </c>
      <c r="AF24" s="103" t="n"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40" t="s">
        <v>125</v>
      </c>
      <c r="D25" s="94" t="n">
        <v>252610014</v>
      </c>
      <c r="E25" s="95" t="s">
        <v>711</v>
      </c>
      <c r="F25" s="96" t="s">
        <v>712</v>
      </c>
      <c r="G25" s="36" t="s">
        <v>712</v>
      </c>
      <c r="H25" s="97" t="s">
        <v>52</v>
      </c>
      <c r="I25" s="40" t="s">
        <v>681</v>
      </c>
      <c r="J25" s="98" t="n">
        <v>39668</v>
      </c>
      <c r="K25" s="40" t="s">
        <v>78</v>
      </c>
      <c r="L25" s="99" t="s">
        <v>54</v>
      </c>
      <c r="M25" s="100" t="n">
        <v>100</v>
      </c>
      <c r="N25" s="100" t="n">
        <v>1</v>
      </c>
      <c r="O25" s="93" t="n">
        <v>100</v>
      </c>
      <c r="P25" s="105"/>
      <c r="Q25" s="93" t="n">
        <v>100</v>
      </c>
      <c r="R25" s="93" t="n">
        <v>100</v>
      </c>
      <c r="U25" s="79" t="n">
        <v>100</v>
      </c>
      <c r="W25" s="93" t="n">
        <f aca="false">M25+O25+R25+U25</f>
        <v>400</v>
      </c>
      <c r="X25" s="93" t="n">
        <f aca="false">N25*100</f>
        <v>100</v>
      </c>
      <c r="Y25" s="101" t="n">
        <f aca="false">(0.8*W25)+(0.2*X25)</f>
        <v>340</v>
      </c>
      <c r="Z25" s="102" t="n">
        <f aca="false">75+((Y25-$Y$61)/($Y$60-$Y$61)*(92-75))</f>
        <v>92</v>
      </c>
      <c r="AF25" s="103" t="n"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40" t="s">
        <v>136</v>
      </c>
      <c r="D26" s="94" t="n">
        <v>252610015</v>
      </c>
      <c r="E26" s="95" t="s">
        <v>713</v>
      </c>
      <c r="F26" s="96" t="s">
        <v>714</v>
      </c>
      <c r="G26" s="36" t="s">
        <v>714</v>
      </c>
      <c r="H26" s="97" t="s">
        <v>66</v>
      </c>
      <c r="I26" s="40" t="s">
        <v>687</v>
      </c>
      <c r="J26" s="98" t="n">
        <v>39654</v>
      </c>
      <c r="K26" s="40" t="s">
        <v>112</v>
      </c>
      <c r="L26" s="99" t="s">
        <v>54</v>
      </c>
      <c r="M26" s="100" t="n">
        <v>100</v>
      </c>
      <c r="N26" s="100" t="n">
        <v>1</v>
      </c>
      <c r="O26" s="93"/>
      <c r="P26" s="105"/>
      <c r="Q26" s="93" t="n">
        <v>100</v>
      </c>
      <c r="R26" s="93" t="n">
        <v>100</v>
      </c>
      <c r="U26" s="79" t="n">
        <v>100</v>
      </c>
      <c r="W26" s="93" t="n">
        <f aca="false">M26+O26+R26+U26</f>
        <v>300</v>
      </c>
      <c r="X26" s="93" t="n">
        <f aca="false">N26*100</f>
        <v>100</v>
      </c>
      <c r="Y26" s="101" t="n">
        <f aca="false">(0.8*W26)+(0.2*X26)</f>
        <v>260</v>
      </c>
      <c r="Z26" s="102" t="n">
        <f aca="false">75+((Y26-$Y$61)/($Y$60-$Y$61)*(92-75))</f>
        <v>88</v>
      </c>
      <c r="AF26" s="103" t="n"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40" t="s">
        <v>715</v>
      </c>
      <c r="D27" s="94" t="n">
        <v>252610016</v>
      </c>
      <c r="E27" s="95" t="s">
        <v>716</v>
      </c>
      <c r="F27" s="96" t="s">
        <v>717</v>
      </c>
      <c r="G27" s="36" t="s">
        <v>717</v>
      </c>
      <c r="H27" s="97" t="s">
        <v>52</v>
      </c>
      <c r="I27" s="40" t="s">
        <v>681</v>
      </c>
      <c r="J27" s="98" t="n">
        <v>39732</v>
      </c>
      <c r="K27" s="40" t="s">
        <v>78</v>
      </c>
      <c r="L27" s="99" t="s">
        <v>54</v>
      </c>
      <c r="M27" s="100" t="n">
        <v>100</v>
      </c>
      <c r="N27" s="100"/>
      <c r="O27" s="93" t="n">
        <v>100</v>
      </c>
      <c r="P27" s="93"/>
      <c r="Q27" s="93" t="n">
        <v>100</v>
      </c>
      <c r="R27" s="93"/>
      <c r="U27" s="79" t="n">
        <v>100</v>
      </c>
      <c r="W27" s="93" t="n">
        <f aca="false">M27+O27+R27+U27</f>
        <v>300</v>
      </c>
      <c r="X27" s="93" t="n">
        <f aca="false">N27*100</f>
        <v>0</v>
      </c>
      <c r="Y27" s="101" t="n">
        <f aca="false">(0.8*W27)+(0.2*X27)</f>
        <v>240</v>
      </c>
      <c r="Z27" s="102" t="n">
        <f aca="false">75+((Y27-$Y$61)/($Y$60-$Y$61)*(92-75))</f>
        <v>87</v>
      </c>
      <c r="AF27" s="103" t="n"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40" t="s">
        <v>141</v>
      </c>
      <c r="D28" s="94" t="n">
        <v>252610017</v>
      </c>
      <c r="E28" s="95" t="s">
        <v>718</v>
      </c>
      <c r="F28" s="96" t="s">
        <v>719</v>
      </c>
      <c r="G28" s="36" t="s">
        <v>719</v>
      </c>
      <c r="H28" s="97" t="s">
        <v>52</v>
      </c>
      <c r="I28" s="40" t="s">
        <v>687</v>
      </c>
      <c r="J28" s="98" t="n">
        <v>39765</v>
      </c>
      <c r="K28" s="40" t="s">
        <v>147</v>
      </c>
      <c r="L28" s="99" t="s">
        <v>54</v>
      </c>
      <c r="M28" s="100" t="n">
        <v>100</v>
      </c>
      <c r="N28" s="100"/>
      <c r="O28" s="93" t="n">
        <v>100</v>
      </c>
      <c r="P28" s="93"/>
      <c r="Q28" s="93" t="n">
        <v>100</v>
      </c>
      <c r="R28" s="93"/>
      <c r="U28" s="79" t="n">
        <v>100</v>
      </c>
      <c r="W28" s="93" t="n">
        <f aca="false">M28+O28+R28+U28</f>
        <v>300</v>
      </c>
      <c r="X28" s="93" t="n">
        <f aca="false">N28*100</f>
        <v>0</v>
      </c>
      <c r="Y28" s="101" t="n">
        <f aca="false">(0.8*W28)+(0.2*X28)</f>
        <v>240</v>
      </c>
      <c r="Z28" s="102" t="n">
        <f aca="false">75+((Y28-$Y$61)/($Y$60-$Y$61)*(92-75))</f>
        <v>87</v>
      </c>
      <c r="AF28" s="103" t="n"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40" t="s">
        <v>148</v>
      </c>
      <c r="D29" s="94" t="n">
        <v>252610018</v>
      </c>
      <c r="E29" s="95" t="s">
        <v>720</v>
      </c>
      <c r="F29" s="96" t="s">
        <v>721</v>
      </c>
      <c r="G29" s="36" t="s">
        <v>721</v>
      </c>
      <c r="H29" s="46" t="s">
        <v>66</v>
      </c>
      <c r="I29" s="107" t="s">
        <v>687</v>
      </c>
      <c r="J29" s="98" t="n">
        <v>39736</v>
      </c>
      <c r="K29" s="40" t="s">
        <v>124</v>
      </c>
      <c r="L29" s="99" t="s">
        <v>54</v>
      </c>
      <c r="M29" s="100"/>
      <c r="N29" s="100" t="n">
        <v>1</v>
      </c>
      <c r="O29" s="93"/>
      <c r="P29" s="93"/>
      <c r="Q29" s="93" t="n">
        <v>100</v>
      </c>
      <c r="R29" s="93"/>
      <c r="U29" s="79" t="n">
        <v>100</v>
      </c>
      <c r="W29" s="93" t="n">
        <f aca="false">M29+O29+R29+U29</f>
        <v>100</v>
      </c>
      <c r="X29" s="93" t="n">
        <f aca="false">N29*100</f>
        <v>100</v>
      </c>
      <c r="Y29" s="101" t="n">
        <f aca="false">(0.8*W29)+(0.2*X29)</f>
        <v>100</v>
      </c>
      <c r="Z29" s="102" t="n">
        <f aca="false">75+((Y29-$Y$61)/($Y$60-$Y$61)*(92-75))</f>
        <v>80</v>
      </c>
      <c r="AF29" s="103" t="n"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40" t="s">
        <v>154</v>
      </c>
      <c r="D30" s="94" t="n">
        <v>252610019</v>
      </c>
      <c r="E30" s="95" t="s">
        <v>722</v>
      </c>
      <c r="F30" s="96" t="s">
        <v>723</v>
      </c>
      <c r="G30" s="36" t="s">
        <v>723</v>
      </c>
      <c r="H30" s="97" t="s">
        <v>66</v>
      </c>
      <c r="I30" s="40" t="s">
        <v>681</v>
      </c>
      <c r="J30" s="98" t="n">
        <v>39768</v>
      </c>
      <c r="K30" s="40" t="s">
        <v>67</v>
      </c>
      <c r="L30" s="99" t="s">
        <v>54</v>
      </c>
      <c r="M30" s="100" t="n">
        <v>100</v>
      </c>
      <c r="N30" s="100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1" t="n">
        <f aca="false">(0.8*W30)+(0.2*X30)</f>
        <v>160</v>
      </c>
      <c r="Z30" s="102" t="n">
        <f aca="false">75+((Y30-$Y$61)/($Y$60-$Y$61)*(92-75))</f>
        <v>83</v>
      </c>
      <c r="AF30" s="103" t="n"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40" t="s">
        <v>159</v>
      </c>
      <c r="D31" s="94" t="n">
        <v>252610020</v>
      </c>
      <c r="E31" s="95" t="s">
        <v>724</v>
      </c>
      <c r="F31" s="96" t="s">
        <v>725</v>
      </c>
      <c r="G31" s="36" t="s">
        <v>725</v>
      </c>
      <c r="H31" s="97" t="s">
        <v>66</v>
      </c>
      <c r="I31" s="40" t="s">
        <v>687</v>
      </c>
      <c r="J31" s="98" t="n">
        <v>39896</v>
      </c>
      <c r="K31" s="40" t="s">
        <v>78</v>
      </c>
      <c r="L31" s="99" t="s">
        <v>54</v>
      </c>
      <c r="M31" s="100" t="n">
        <v>100</v>
      </c>
      <c r="N31" s="100"/>
      <c r="O31" s="93" t="n">
        <v>100</v>
      </c>
      <c r="P31" s="93"/>
      <c r="Q31" s="93"/>
      <c r="R31" s="93"/>
      <c r="U31" s="79" t="n">
        <v>100</v>
      </c>
      <c r="W31" s="93" t="n">
        <f aca="false">M31+O31+R31+U31</f>
        <v>300</v>
      </c>
      <c r="X31" s="93" t="n">
        <f aca="false">N31*100</f>
        <v>0</v>
      </c>
      <c r="Y31" s="101" t="n">
        <f aca="false">(0.8*W31)+(0.2*X31)</f>
        <v>240</v>
      </c>
      <c r="Z31" s="102" t="n">
        <f aca="false">75+((Y31-$Y$61)/($Y$60-$Y$61)*(92-75))</f>
        <v>87</v>
      </c>
      <c r="AF31" s="103" t="n"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40" t="s">
        <v>164</v>
      </c>
      <c r="D32" s="94" t="n">
        <v>252610021</v>
      </c>
      <c r="E32" s="95" t="s">
        <v>726</v>
      </c>
      <c r="F32" s="96" t="s">
        <v>727</v>
      </c>
      <c r="G32" s="36" t="s">
        <v>727</v>
      </c>
      <c r="H32" s="97" t="s">
        <v>52</v>
      </c>
      <c r="I32" s="40" t="s">
        <v>687</v>
      </c>
      <c r="J32" s="98" t="n">
        <v>40031</v>
      </c>
      <c r="K32" s="40" t="s">
        <v>78</v>
      </c>
      <c r="L32" s="99" t="s">
        <v>54</v>
      </c>
      <c r="M32" s="100" t="n">
        <v>100</v>
      </c>
      <c r="N32" s="100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1" t="n">
        <f aca="false">(0.8*W32)+(0.2*X32)</f>
        <v>160</v>
      </c>
      <c r="Z32" s="102" t="n">
        <f aca="false">75+((Y32-$Y$61)/($Y$60-$Y$61)*(92-75))</f>
        <v>83</v>
      </c>
      <c r="AF32" s="103" t="n"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40" t="s">
        <v>170</v>
      </c>
      <c r="D33" s="94" t="n">
        <v>252610022</v>
      </c>
      <c r="E33" s="95" t="s">
        <v>728</v>
      </c>
      <c r="F33" s="96" t="s">
        <v>729</v>
      </c>
      <c r="G33" s="36" t="s">
        <v>729</v>
      </c>
      <c r="H33" s="97" t="s">
        <v>52</v>
      </c>
      <c r="I33" s="40" t="s">
        <v>687</v>
      </c>
      <c r="J33" s="98" t="n">
        <v>39926</v>
      </c>
      <c r="K33" s="40" t="s">
        <v>147</v>
      </c>
      <c r="L33" s="99" t="s">
        <v>54</v>
      </c>
      <c r="M33" s="100" t="n">
        <v>100</v>
      </c>
      <c r="N33" s="100"/>
      <c r="O33" s="93" t="n">
        <v>100</v>
      </c>
      <c r="P33" s="93"/>
      <c r="Q33" s="93" t="n">
        <v>100</v>
      </c>
      <c r="R33" s="93"/>
      <c r="U33" s="79" t="n">
        <v>100</v>
      </c>
      <c r="W33" s="93" t="n">
        <f aca="false">M33+O33+R33+U33</f>
        <v>300</v>
      </c>
      <c r="X33" s="93" t="n">
        <f aca="false">N33*100</f>
        <v>0</v>
      </c>
      <c r="Y33" s="101" t="n">
        <f aca="false">(0.8*W33)+(0.2*X33)</f>
        <v>240</v>
      </c>
      <c r="Z33" s="102" t="n">
        <f aca="false">75+((Y33-$Y$61)/($Y$60-$Y$61)*(92-75))</f>
        <v>87</v>
      </c>
      <c r="AF33" s="103" t="n"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40" t="s">
        <v>175</v>
      </c>
      <c r="D34" s="94" t="n">
        <v>252610023</v>
      </c>
      <c r="E34" s="95" t="s">
        <v>730</v>
      </c>
      <c r="F34" s="96" t="s">
        <v>731</v>
      </c>
      <c r="G34" s="36" t="s">
        <v>731</v>
      </c>
      <c r="H34" s="97" t="s">
        <v>52</v>
      </c>
      <c r="I34" s="40" t="s">
        <v>687</v>
      </c>
      <c r="J34" s="98" t="n">
        <v>39669</v>
      </c>
      <c r="K34" s="40" t="s">
        <v>112</v>
      </c>
      <c r="L34" s="99" t="s">
        <v>54</v>
      </c>
      <c r="M34" s="100" t="n">
        <v>100</v>
      </c>
      <c r="N34" s="100" t="n">
        <v>1</v>
      </c>
      <c r="O34" s="93" t="n">
        <v>100</v>
      </c>
      <c r="P34" s="93"/>
      <c r="Q34" s="93" t="n">
        <v>100</v>
      </c>
      <c r="R34" s="93" t="n">
        <v>100</v>
      </c>
      <c r="S34" s="6" t="n">
        <v>3</v>
      </c>
      <c r="U34" s="79" t="n">
        <v>100</v>
      </c>
      <c r="W34" s="93" t="n">
        <f aca="false">M34+O34+R34+U34</f>
        <v>400</v>
      </c>
      <c r="X34" s="93" t="n">
        <f aca="false">N34*100</f>
        <v>100</v>
      </c>
      <c r="Y34" s="101" t="n">
        <f aca="false">(0.8*W34)+(0.2*X34)</f>
        <v>340</v>
      </c>
      <c r="Z34" s="102" t="n">
        <f aca="false">75+((Y34-$Y$61)/($Y$60-$Y$61)*(92-75))</f>
        <v>92</v>
      </c>
      <c r="AF34" s="103" t="n"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40" t="s">
        <v>181</v>
      </c>
      <c r="D35" s="94" t="n">
        <v>252610024</v>
      </c>
      <c r="E35" s="95" t="s">
        <v>732</v>
      </c>
      <c r="F35" s="96" t="s">
        <v>733</v>
      </c>
      <c r="G35" s="36" t="s">
        <v>733</v>
      </c>
      <c r="H35" s="97" t="s">
        <v>52</v>
      </c>
      <c r="I35" s="40" t="s">
        <v>687</v>
      </c>
      <c r="J35" s="98" t="n">
        <v>39911</v>
      </c>
      <c r="K35" s="40" t="s">
        <v>60</v>
      </c>
      <c r="L35" s="99" t="s">
        <v>54</v>
      </c>
      <c r="M35" s="100" t="n">
        <v>100</v>
      </c>
      <c r="N35" s="100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1" t="n">
        <f aca="false">(0.8*W35)+(0.2*X35)</f>
        <v>160</v>
      </c>
      <c r="Z35" s="102" t="n">
        <f aca="false">75+((Y35-$Y$61)/($Y$60-$Y$61)*(92-75))</f>
        <v>83</v>
      </c>
      <c r="AF35" s="103" t="n"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40" t="s">
        <v>187</v>
      </c>
      <c r="D36" s="94" t="n">
        <v>252610025</v>
      </c>
      <c r="E36" s="95" t="s">
        <v>734</v>
      </c>
      <c r="F36" s="96" t="s">
        <v>735</v>
      </c>
      <c r="G36" s="36" t="s">
        <v>735</v>
      </c>
      <c r="H36" s="97" t="s">
        <v>52</v>
      </c>
      <c r="I36" s="40" t="s">
        <v>684</v>
      </c>
      <c r="J36" s="98" t="n">
        <v>39728</v>
      </c>
      <c r="K36" s="40" t="s">
        <v>78</v>
      </c>
      <c r="L36" s="99" t="s">
        <v>54</v>
      </c>
      <c r="M36" s="100" t="n">
        <v>100</v>
      </c>
      <c r="N36" s="100"/>
      <c r="O36" s="93" t="n">
        <v>100</v>
      </c>
      <c r="P36" s="93"/>
      <c r="Q36" s="93" t="n">
        <v>100</v>
      </c>
      <c r="R36" s="93" t="n">
        <v>100</v>
      </c>
      <c r="U36" s="79" t="n">
        <v>100</v>
      </c>
      <c r="W36" s="93" t="n">
        <f aca="false">M36+O36+R36+U36</f>
        <v>400</v>
      </c>
      <c r="X36" s="93" t="n">
        <f aca="false">N36*100</f>
        <v>0</v>
      </c>
      <c r="Y36" s="101" t="n">
        <f aca="false">(0.8*W36)+(0.2*X36)</f>
        <v>320</v>
      </c>
      <c r="Z36" s="102" t="n">
        <f aca="false">75+((Y36-$Y$61)/($Y$60-$Y$61)*(92-75))</f>
        <v>91</v>
      </c>
      <c r="AF36" s="103" t="n"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40" t="s">
        <v>193</v>
      </c>
      <c r="D37" s="94" t="n">
        <v>252610026</v>
      </c>
      <c r="E37" s="95" t="s">
        <v>736</v>
      </c>
      <c r="F37" s="96" t="s">
        <v>737</v>
      </c>
      <c r="G37" s="36" t="s">
        <v>737</v>
      </c>
      <c r="H37" s="97" t="s">
        <v>66</v>
      </c>
      <c r="I37" s="40" t="s">
        <v>681</v>
      </c>
      <c r="J37" s="98" t="n">
        <v>39846</v>
      </c>
      <c r="K37" s="40" t="s">
        <v>67</v>
      </c>
      <c r="L37" s="99" t="s">
        <v>54</v>
      </c>
      <c r="M37" s="100" t="n">
        <v>100</v>
      </c>
      <c r="N37" s="100"/>
      <c r="O37" s="93" t="n">
        <v>100</v>
      </c>
      <c r="P37" s="105"/>
      <c r="Q37" s="93" t="n">
        <v>100</v>
      </c>
      <c r="R37" s="93"/>
      <c r="U37" s="79" t="n">
        <v>100</v>
      </c>
      <c r="W37" s="93" t="n">
        <f aca="false">M37+O37+R37+U37</f>
        <v>300</v>
      </c>
      <c r="X37" s="93" t="n">
        <f aca="false">N37*100</f>
        <v>0</v>
      </c>
      <c r="Y37" s="101" t="n">
        <f aca="false">(0.8*W37)+(0.2*X37)</f>
        <v>240</v>
      </c>
      <c r="Z37" s="102" t="n">
        <f aca="false">75+((Y37-$Y$61)/($Y$60-$Y$61)*(92-75))</f>
        <v>87</v>
      </c>
      <c r="AF37" s="103" t="n"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40" t="s">
        <v>199</v>
      </c>
      <c r="D38" s="94" t="n">
        <v>252610027</v>
      </c>
      <c r="E38" s="95" t="s">
        <v>738</v>
      </c>
      <c r="F38" s="96" t="s">
        <v>739</v>
      </c>
      <c r="G38" s="36" t="s">
        <v>739</v>
      </c>
      <c r="H38" s="97" t="s">
        <v>66</v>
      </c>
      <c r="I38" s="40" t="s">
        <v>687</v>
      </c>
      <c r="J38" s="98" t="n">
        <v>39769</v>
      </c>
      <c r="K38" s="40" t="s">
        <v>78</v>
      </c>
      <c r="L38" s="99" t="s">
        <v>54</v>
      </c>
      <c r="M38" s="100" t="n">
        <v>100</v>
      </c>
      <c r="N38" s="100"/>
      <c r="O38" s="93" t="n">
        <v>100</v>
      </c>
      <c r="P38" s="93"/>
      <c r="Q38" s="93" t="n">
        <v>100</v>
      </c>
      <c r="R38" s="93"/>
      <c r="S38" s="6" t="n">
        <v>2</v>
      </c>
      <c r="U38" s="79" t="n">
        <v>100</v>
      </c>
      <c r="W38" s="93" t="n">
        <f aca="false">M38+O38+R38+U38</f>
        <v>300</v>
      </c>
      <c r="X38" s="93" t="n">
        <f aca="false">N38*100</f>
        <v>0</v>
      </c>
      <c r="Y38" s="101" t="n">
        <f aca="false">(0.8*W38)+(0.2*X38)</f>
        <v>240</v>
      </c>
      <c r="Z38" s="102" t="n">
        <f aca="false">75+((Y38-$Y$61)/($Y$60-$Y$61)*(92-75))</f>
        <v>87</v>
      </c>
      <c r="AF38" s="103" t="n"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40" t="s">
        <v>204</v>
      </c>
      <c r="D39" s="94" t="n">
        <v>252610028</v>
      </c>
      <c r="E39" s="95" t="s">
        <v>740</v>
      </c>
      <c r="F39" s="108" t="s">
        <v>741</v>
      </c>
      <c r="G39" s="36" t="s">
        <v>741</v>
      </c>
      <c r="H39" s="97" t="s">
        <v>66</v>
      </c>
      <c r="I39" s="40" t="s">
        <v>687</v>
      </c>
      <c r="J39" s="98" t="n">
        <v>39862</v>
      </c>
      <c r="K39" s="40" t="s">
        <v>60</v>
      </c>
      <c r="L39" s="99" t="s">
        <v>54</v>
      </c>
      <c r="M39" s="100" t="n">
        <v>100</v>
      </c>
      <c r="N39" s="100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1" t="n">
        <f aca="false">(0.8*W39)+(0.2*X39)</f>
        <v>80</v>
      </c>
      <c r="Z39" s="102" t="n">
        <f aca="false">75+((Y39-$Y$61)/($Y$60-$Y$61)*(92-75))</f>
        <v>79</v>
      </c>
      <c r="AF39" s="103" t="n"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40" t="s">
        <v>215</v>
      </c>
      <c r="D40" s="94" t="n">
        <v>252610029</v>
      </c>
      <c r="E40" s="95" t="s">
        <v>742</v>
      </c>
      <c r="F40" s="96" t="s">
        <v>743</v>
      </c>
      <c r="G40" s="36" t="s">
        <v>743</v>
      </c>
      <c r="H40" s="97" t="s">
        <v>66</v>
      </c>
      <c r="I40" s="40" t="s">
        <v>687</v>
      </c>
      <c r="J40" s="98" t="n">
        <v>39566</v>
      </c>
      <c r="K40" s="40" t="s">
        <v>78</v>
      </c>
      <c r="L40" s="99" t="s">
        <v>54</v>
      </c>
      <c r="M40" s="100" t="n">
        <v>100</v>
      </c>
      <c r="N40" s="100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1" t="n">
        <f aca="false">(0.8*W40)+(0.2*X40)</f>
        <v>160</v>
      </c>
      <c r="Z40" s="102" t="n">
        <f aca="false">75+((Y40-$Y$61)/($Y$60-$Y$61)*(92-75))</f>
        <v>83</v>
      </c>
      <c r="AF40" s="103" t="n"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40" t="s">
        <v>218</v>
      </c>
      <c r="D41" s="94" t="n">
        <v>252610030</v>
      </c>
      <c r="E41" s="95" t="s">
        <v>744</v>
      </c>
      <c r="F41" s="96" t="s">
        <v>745</v>
      </c>
      <c r="G41" s="36" t="s">
        <v>745</v>
      </c>
      <c r="H41" s="97" t="s">
        <v>66</v>
      </c>
      <c r="I41" s="40" t="s">
        <v>681</v>
      </c>
      <c r="J41" s="98" t="n">
        <v>39851</v>
      </c>
      <c r="K41" s="40" t="s">
        <v>78</v>
      </c>
      <c r="L41" s="99" t="s">
        <v>54</v>
      </c>
      <c r="M41" s="100" t="n">
        <v>100</v>
      </c>
      <c r="N41" s="100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1" t="n">
        <f aca="false">(0.8*W41)+(0.2*X41)</f>
        <v>80</v>
      </c>
      <c r="Z41" s="102" t="n">
        <f aca="false">75+((Y41-$Y$61)/($Y$60-$Y$61)*(92-75))</f>
        <v>79</v>
      </c>
      <c r="AF41" s="103" t="n"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40" t="s">
        <v>223</v>
      </c>
      <c r="D42" s="94" t="n">
        <v>252610031</v>
      </c>
      <c r="E42" s="95" t="s">
        <v>746</v>
      </c>
      <c r="F42" s="96" t="s">
        <v>747</v>
      </c>
      <c r="G42" s="36" t="s">
        <v>747</v>
      </c>
      <c r="H42" s="97" t="s">
        <v>66</v>
      </c>
      <c r="I42" s="40" t="s">
        <v>687</v>
      </c>
      <c r="J42" s="98" t="n">
        <v>39889</v>
      </c>
      <c r="K42" s="40" t="s">
        <v>60</v>
      </c>
      <c r="L42" s="99" t="s">
        <v>54</v>
      </c>
      <c r="M42" s="100" t="n">
        <v>100</v>
      </c>
      <c r="N42" s="100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1" t="n">
        <f aca="false">(0.8*W42)+(0.2*X42)</f>
        <v>160</v>
      </c>
      <c r="Z42" s="102" t="n">
        <f aca="false">75+((Y42-$Y$61)/($Y$60-$Y$61)*(92-75))</f>
        <v>83</v>
      </c>
      <c r="AF42" s="103" t="n"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40" t="s">
        <v>229</v>
      </c>
      <c r="D43" s="94" t="n">
        <v>252610032</v>
      </c>
      <c r="E43" s="95" t="s">
        <v>748</v>
      </c>
      <c r="F43" s="96" t="s">
        <v>749</v>
      </c>
      <c r="G43" s="36" t="s">
        <v>749</v>
      </c>
      <c r="H43" s="97" t="s">
        <v>66</v>
      </c>
      <c r="I43" s="40" t="s">
        <v>750</v>
      </c>
      <c r="J43" s="98" t="n">
        <v>39654</v>
      </c>
      <c r="K43" s="40" t="s">
        <v>60</v>
      </c>
      <c r="L43" s="99" t="s">
        <v>54</v>
      </c>
      <c r="M43" s="100" t="n">
        <v>100</v>
      </c>
      <c r="N43" s="100"/>
      <c r="O43" s="93" t="n">
        <v>100</v>
      </c>
      <c r="P43" s="93"/>
      <c r="Q43" s="93" t="n">
        <v>100</v>
      </c>
      <c r="R43" s="93"/>
      <c r="U43" s="79" t="n">
        <v>100</v>
      </c>
      <c r="W43" s="93" t="n">
        <f aca="false">M43+O43+R43+U43</f>
        <v>300</v>
      </c>
      <c r="X43" s="93" t="n">
        <f aca="false">N43*100</f>
        <v>0</v>
      </c>
      <c r="Y43" s="101" t="n">
        <f aca="false">(0.8*W43)+(0.2*X43)</f>
        <v>240</v>
      </c>
      <c r="Z43" s="102" t="n">
        <f aca="false">75+((Y43-$Y$61)/($Y$60-$Y$61)*(92-75))</f>
        <v>87</v>
      </c>
      <c r="AF43" s="103" t="n"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40" t="s">
        <v>234</v>
      </c>
      <c r="D44" s="94" t="n">
        <v>252610033</v>
      </c>
      <c r="E44" s="95" t="s">
        <v>751</v>
      </c>
      <c r="F44" s="96" t="s">
        <v>752</v>
      </c>
      <c r="G44" s="36" t="s">
        <v>752</v>
      </c>
      <c r="H44" s="97" t="s">
        <v>52</v>
      </c>
      <c r="I44" s="40" t="s">
        <v>687</v>
      </c>
      <c r="J44" s="98" t="n">
        <v>39675</v>
      </c>
      <c r="K44" s="40" t="s">
        <v>78</v>
      </c>
      <c r="L44" s="99" t="s">
        <v>54</v>
      </c>
      <c r="M44" s="100" t="n">
        <v>100</v>
      </c>
      <c r="N44" s="100"/>
      <c r="O44" s="93" t="n">
        <v>100</v>
      </c>
      <c r="P44" s="93"/>
      <c r="Q44" s="93" t="n">
        <v>100</v>
      </c>
      <c r="R44" s="93"/>
      <c r="S44" s="6"/>
      <c r="T44" s="79"/>
      <c r="U44" s="79" t="n">
        <v>100</v>
      </c>
      <c r="V44" s="79"/>
      <c r="W44" s="93" t="n">
        <f aca="false">M44+O44+R44+U44</f>
        <v>300</v>
      </c>
      <c r="X44" s="93" t="n">
        <f aca="false">N44*100</f>
        <v>0</v>
      </c>
      <c r="Y44" s="101" t="n">
        <f aca="false">(0.8*W44)+(0.2*X44)</f>
        <v>240</v>
      </c>
      <c r="Z44" s="102" t="n">
        <f aca="false">75+((Y44-$Y$61)/($Y$60-$Y$61)*(92-75))</f>
        <v>87</v>
      </c>
      <c r="AA44" s="6"/>
      <c r="AB44" s="6"/>
      <c r="AD44" s="80"/>
      <c r="AF44" s="110" t="n">
        <v>87</v>
      </c>
      <c r="AG44" s="80"/>
      <c r="AH44" s="80"/>
      <c r="AJ44" s="80"/>
    </row>
    <row r="45" s="80" customFormat="true" ht="12.75" hidden="false" customHeight="true" outlineLevel="0" collapsed="false">
      <c r="A45" s="93" t="n">
        <v>34</v>
      </c>
      <c r="B45" s="93" t="n">
        <v>35</v>
      </c>
      <c r="C45" s="40" t="s">
        <v>753</v>
      </c>
      <c r="D45" s="94" t="n">
        <v>252610034</v>
      </c>
      <c r="E45" s="95" t="s">
        <v>754</v>
      </c>
      <c r="F45" s="96" t="s">
        <v>755</v>
      </c>
      <c r="G45" s="36" t="s">
        <v>755</v>
      </c>
      <c r="H45" s="97" t="s">
        <v>52</v>
      </c>
      <c r="I45" s="40" t="s">
        <v>687</v>
      </c>
      <c r="J45" s="98" t="n">
        <v>39930</v>
      </c>
      <c r="K45" s="40" t="s">
        <v>78</v>
      </c>
      <c r="L45" s="99" t="s">
        <v>54</v>
      </c>
      <c r="M45" s="100" t="n">
        <v>100</v>
      </c>
      <c r="N45" s="100"/>
      <c r="O45" s="93" t="n">
        <v>100</v>
      </c>
      <c r="P45" s="93"/>
      <c r="Q45" s="93" t="n">
        <v>100</v>
      </c>
      <c r="R45" s="93"/>
      <c r="S45" s="6"/>
      <c r="T45" s="79"/>
      <c r="U45" s="79" t="n">
        <v>100</v>
      </c>
      <c r="V45" s="79"/>
      <c r="W45" s="93" t="n">
        <f aca="false">M45+O45+R45+U45</f>
        <v>300</v>
      </c>
      <c r="X45" s="93" t="n">
        <f aca="false">N45*100</f>
        <v>0</v>
      </c>
      <c r="Y45" s="101" t="n">
        <f aca="false">(0.8*W45)+(0.2*X45)</f>
        <v>240</v>
      </c>
      <c r="Z45" s="102" t="n">
        <f aca="false">75+((Y45-$Y$61)/($Y$60-$Y$61)*(92-75))</f>
        <v>87</v>
      </c>
      <c r="AA45" s="6"/>
      <c r="AB45" s="6"/>
      <c r="AF45" s="110" t="n">
        <v>87</v>
      </c>
    </row>
    <row r="46" s="109" customFormat="true" ht="12.75" hidden="false" customHeight="true" outlineLevel="0" collapsed="false">
      <c r="A46" s="93" t="n">
        <v>35</v>
      </c>
      <c r="B46" s="93" t="n">
        <v>36</v>
      </c>
      <c r="C46" s="40" t="s">
        <v>756</v>
      </c>
      <c r="D46" s="94" t="n">
        <v>252610035</v>
      </c>
      <c r="E46" s="95" t="s">
        <v>757</v>
      </c>
      <c r="F46" s="96" t="s">
        <v>758</v>
      </c>
      <c r="G46" s="68" t="s">
        <v>758</v>
      </c>
      <c r="H46" s="97" t="s">
        <v>52</v>
      </c>
      <c r="I46" s="40" t="s">
        <v>681</v>
      </c>
      <c r="J46" s="98" t="n">
        <v>39600</v>
      </c>
      <c r="K46" s="40" t="s">
        <v>67</v>
      </c>
      <c r="L46" s="99" t="s">
        <v>54</v>
      </c>
      <c r="M46" s="100" t="n">
        <v>100</v>
      </c>
      <c r="N46" s="100"/>
      <c r="O46" s="93" t="n">
        <v>100</v>
      </c>
      <c r="P46" s="93"/>
      <c r="Q46" s="93" t="n">
        <v>100</v>
      </c>
      <c r="R46" s="93"/>
      <c r="S46" s="6"/>
      <c r="T46" s="79"/>
      <c r="U46" s="79" t="n">
        <v>100</v>
      </c>
      <c r="V46" s="79"/>
      <c r="W46" s="93" t="n">
        <f aca="false">M46+O46+R46+U46</f>
        <v>300</v>
      </c>
      <c r="X46" s="93" t="n">
        <f aca="false">N46*100</f>
        <v>0</v>
      </c>
      <c r="Y46" s="101" t="n">
        <f aca="false">(0.8*W46)+(0.2*X46)</f>
        <v>240</v>
      </c>
      <c r="Z46" s="102" t="n">
        <f aca="false">75+((Y46-$Y$61)/($Y$60-$Y$61)*(92-75))</f>
        <v>87</v>
      </c>
      <c r="AA46" s="6"/>
      <c r="AB46" s="6"/>
      <c r="AD46" s="80"/>
      <c r="AF46" s="110" t="n">
        <v>87</v>
      </c>
      <c r="AG46" s="80"/>
      <c r="AH46" s="80"/>
      <c r="AJ46" s="80"/>
    </row>
    <row r="47" s="109" customFormat="true" ht="12.75" hidden="false" customHeight="true" outlineLevel="0" collapsed="false">
      <c r="A47" s="93" t="n">
        <v>36</v>
      </c>
      <c r="B47" s="93"/>
      <c r="C47" s="40"/>
      <c r="D47" s="94" t="n">
        <v>252610036</v>
      </c>
      <c r="E47" s="95" t="s">
        <v>759</v>
      </c>
      <c r="F47" s="111" t="s">
        <v>760</v>
      </c>
      <c r="G47" s="36" t="s">
        <v>760</v>
      </c>
      <c r="H47" s="97" t="s">
        <v>52</v>
      </c>
      <c r="I47" s="40"/>
      <c r="J47" s="98"/>
      <c r="K47" s="40"/>
      <c r="L47" s="99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6"/>
      <c r="T47" s="79"/>
      <c r="U47" s="79" t="n">
        <v>100</v>
      </c>
      <c r="V47" s="79"/>
      <c r="W47" s="93" t="n">
        <f aca="false">M47+O47+R47+U47</f>
        <v>400</v>
      </c>
      <c r="X47" s="93" t="n">
        <f aca="false">N47*100</f>
        <v>0</v>
      </c>
      <c r="Y47" s="101" t="n">
        <f aca="false">(0.8*W47)+(0.2*X47)</f>
        <v>320</v>
      </c>
      <c r="Z47" s="102" t="n">
        <f aca="false">75+((Y47-$Y$61)/($Y$60-$Y$61)*(92-75))</f>
        <v>91</v>
      </c>
      <c r="AA47" s="6"/>
      <c r="AB47" s="6"/>
      <c r="AD47" s="80"/>
      <c r="AF47" s="110" t="n">
        <v>91</v>
      </c>
      <c r="AG47" s="80"/>
      <c r="AH47" s="80"/>
      <c r="AJ47" s="80"/>
    </row>
    <row r="48" s="109" customFormat="true" ht="12.75" hidden="false" customHeight="true" outlineLevel="0" collapsed="false">
      <c r="A48" s="93" t="n">
        <v>37</v>
      </c>
      <c r="B48" s="93"/>
      <c r="C48" s="40"/>
      <c r="D48" s="94" t="n">
        <v>252610037</v>
      </c>
      <c r="E48" s="95" t="s">
        <v>761</v>
      </c>
      <c r="F48" s="111" t="s">
        <v>762</v>
      </c>
      <c r="G48" s="36" t="s">
        <v>762</v>
      </c>
      <c r="H48" s="97" t="s">
        <v>66</v>
      </c>
      <c r="I48" s="40"/>
      <c r="J48" s="98"/>
      <c r="K48" s="40"/>
      <c r="L48" s="99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6"/>
      <c r="T48" s="79"/>
      <c r="U48" s="79"/>
      <c r="V48" s="79"/>
      <c r="W48" s="93" t="n">
        <f aca="false">M48+O48+R48+U48</f>
        <v>200</v>
      </c>
      <c r="X48" s="93" t="n">
        <f aca="false">N48*100</f>
        <v>0</v>
      </c>
      <c r="Y48" s="101" t="n">
        <f aca="false">(0.8*W48)+(0.2*X48)</f>
        <v>160</v>
      </c>
      <c r="Z48" s="102" t="n">
        <f aca="false">75+((Y48-$Y$61)/($Y$60-$Y$61)*(92-75))</f>
        <v>83</v>
      </c>
      <c r="AA48" s="6"/>
      <c r="AB48" s="6"/>
      <c r="AD48" s="80"/>
      <c r="AF48" s="110" t="n">
        <v>83</v>
      </c>
      <c r="AG48" s="80"/>
      <c r="AH48" s="80"/>
      <c r="AJ48" s="80"/>
    </row>
    <row r="49" s="109" customFormat="true" ht="12.75" hidden="false" customHeight="true" outlineLevel="0" collapsed="false">
      <c r="A49" s="93" t="n">
        <v>38</v>
      </c>
      <c r="B49" s="93"/>
      <c r="C49" s="40"/>
      <c r="D49" s="94" t="n">
        <v>252610038</v>
      </c>
      <c r="E49" s="95" t="s">
        <v>763</v>
      </c>
      <c r="F49" s="111" t="s">
        <v>764</v>
      </c>
      <c r="G49" s="36" t="s">
        <v>764</v>
      </c>
      <c r="H49" s="97" t="s">
        <v>66</v>
      </c>
      <c r="I49" s="40"/>
      <c r="J49" s="98"/>
      <c r="K49" s="40"/>
      <c r="L49" s="99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6" t="n">
        <v>2</v>
      </c>
      <c r="T49" s="79"/>
      <c r="U49" s="79" t="n">
        <v>100</v>
      </c>
      <c r="V49" s="79"/>
      <c r="W49" s="93" t="n">
        <f aca="false">M49+O49+R49+U49</f>
        <v>400</v>
      </c>
      <c r="X49" s="93" t="n">
        <f aca="false">N49*100</f>
        <v>0</v>
      </c>
      <c r="Y49" s="101" t="n">
        <f aca="false">(0.8*W49)+(0.2*X49)</f>
        <v>320</v>
      </c>
      <c r="Z49" s="102" t="n">
        <f aca="false">75+((Y49-$Y$61)/($Y$60-$Y$61)*(92-75))</f>
        <v>91</v>
      </c>
      <c r="AA49" s="6"/>
      <c r="AB49" s="6"/>
      <c r="AD49" s="80"/>
      <c r="AF49" s="110" t="n">
        <v>91</v>
      </c>
      <c r="AG49" s="80"/>
      <c r="AH49" s="80"/>
      <c r="AJ49" s="80"/>
    </row>
    <row r="50" s="109" customFormat="true" ht="12.75" hidden="false" customHeight="true" outlineLevel="0" collapsed="false">
      <c r="A50" s="93" t="n">
        <v>39</v>
      </c>
      <c r="B50" s="93"/>
      <c r="C50" s="40"/>
      <c r="D50" s="94" t="n">
        <v>252610039</v>
      </c>
      <c r="E50" s="95" t="s">
        <v>765</v>
      </c>
      <c r="F50" s="111" t="s">
        <v>766</v>
      </c>
      <c r="G50" s="36" t="s">
        <v>766</v>
      </c>
      <c r="H50" s="97" t="s">
        <v>66</v>
      </c>
      <c r="I50" s="40"/>
      <c r="J50" s="98"/>
      <c r="K50" s="40"/>
      <c r="L50" s="99"/>
      <c r="M50" s="93" t="n">
        <v>100</v>
      </c>
      <c r="N50" s="93" t="n">
        <v>1</v>
      </c>
      <c r="O50" s="93"/>
      <c r="P50" s="93"/>
      <c r="Q50" s="93"/>
      <c r="R50" s="93"/>
      <c r="S50" s="6"/>
      <c r="T50" s="79"/>
      <c r="U50" s="79"/>
      <c r="V50" s="79"/>
      <c r="W50" s="93" t="n">
        <f aca="false">M50+O50+R50+U50</f>
        <v>100</v>
      </c>
      <c r="X50" s="93" t="n">
        <f aca="false">N50*100</f>
        <v>100</v>
      </c>
      <c r="Y50" s="101" t="n">
        <f aca="false">(0.8*W50)+(0.2*X50)</f>
        <v>100</v>
      </c>
      <c r="Z50" s="102" t="n">
        <f aca="false">75+((Y50-$Y$61)/($Y$60-$Y$61)*(92-75))</f>
        <v>80</v>
      </c>
      <c r="AA50" s="6"/>
      <c r="AB50" s="6"/>
      <c r="AD50" s="80"/>
      <c r="AF50" s="110" t="n">
        <v>80</v>
      </c>
      <c r="AG50" s="80"/>
      <c r="AH50" s="80"/>
      <c r="AJ50" s="80"/>
    </row>
    <row r="51" s="109" customFormat="true" ht="12.75" hidden="false" customHeight="true" outlineLevel="0" collapsed="false">
      <c r="A51" s="93" t="n">
        <v>40</v>
      </c>
      <c r="B51" s="93"/>
      <c r="C51" s="40"/>
      <c r="D51" s="94" t="n">
        <v>252610040</v>
      </c>
      <c r="E51" s="95" t="s">
        <v>767</v>
      </c>
      <c r="F51" s="111" t="s">
        <v>768</v>
      </c>
      <c r="G51" s="36" t="s">
        <v>768</v>
      </c>
      <c r="H51" s="97" t="s">
        <v>52</v>
      </c>
      <c r="I51" s="40"/>
      <c r="J51" s="98"/>
      <c r="K51" s="40"/>
      <c r="L51" s="99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6"/>
      <c r="T51" s="79"/>
      <c r="U51" s="79" t="n">
        <v>100</v>
      </c>
      <c r="V51" s="79"/>
      <c r="W51" s="93" t="n">
        <f aca="false">M51+O51+R51+U51</f>
        <v>300</v>
      </c>
      <c r="X51" s="93" t="n">
        <f aca="false">N51*100</f>
        <v>0</v>
      </c>
      <c r="Y51" s="101" t="n">
        <f aca="false">(0.8*W51)+(0.2*X51)</f>
        <v>240</v>
      </c>
      <c r="Z51" s="102" t="n">
        <f aca="false">75+((Y51-$Y$61)/($Y$60-$Y$61)*(92-75))</f>
        <v>87</v>
      </c>
      <c r="AA51" s="6"/>
      <c r="AB51" s="6"/>
      <c r="AD51" s="80"/>
      <c r="AF51" s="110" t="n">
        <v>87</v>
      </c>
      <c r="AG51" s="80" t="s">
        <v>533</v>
      </c>
      <c r="AH51" s="80"/>
      <c r="AJ51" s="80"/>
    </row>
    <row r="52" s="109" customFormat="true" ht="12.75" hidden="false" customHeight="true" outlineLevel="0" collapsed="false">
      <c r="A52" s="93" t="n">
        <v>41</v>
      </c>
      <c r="B52" s="93"/>
      <c r="C52" s="40"/>
      <c r="D52" s="94" t="n">
        <v>252610041</v>
      </c>
      <c r="E52" s="95" t="s">
        <v>769</v>
      </c>
      <c r="F52" s="111" t="s">
        <v>770</v>
      </c>
      <c r="G52" s="36" t="s">
        <v>770</v>
      </c>
      <c r="H52" s="97" t="s">
        <v>52</v>
      </c>
      <c r="I52" s="40"/>
      <c r="J52" s="98"/>
      <c r="K52" s="40"/>
      <c r="L52" s="99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6"/>
      <c r="T52" s="79"/>
      <c r="U52" s="79" t="n">
        <v>100</v>
      </c>
      <c r="V52" s="79"/>
      <c r="W52" s="93" t="n">
        <f aca="false">M52+O52+R52+U52</f>
        <v>300</v>
      </c>
      <c r="X52" s="93" t="n">
        <f aca="false">N52*100</f>
        <v>0</v>
      </c>
      <c r="Y52" s="101" t="n">
        <f aca="false">(0.8*W52)+(0.2*X52)</f>
        <v>240</v>
      </c>
      <c r="Z52" s="102" t="n">
        <f aca="false">75+((Y52-$Y$61)/($Y$60-$Y$61)*(92-75))</f>
        <v>87</v>
      </c>
      <c r="AA52" s="6"/>
      <c r="AB52" s="6"/>
      <c r="AD52" s="80"/>
      <c r="AF52" s="110" t="n">
        <v>87</v>
      </c>
      <c r="AG52" s="80"/>
      <c r="AH52" s="80"/>
      <c r="AJ52" s="80"/>
    </row>
    <row r="53" s="109" customFormat="true" ht="12.75" hidden="false" customHeight="true" outlineLevel="0" collapsed="false">
      <c r="A53" s="93" t="n">
        <v>42</v>
      </c>
      <c r="B53" s="93"/>
      <c r="C53" s="40"/>
      <c r="D53" s="94" t="n">
        <v>252610042</v>
      </c>
      <c r="E53" s="95" t="s">
        <v>771</v>
      </c>
      <c r="F53" s="111" t="s">
        <v>772</v>
      </c>
      <c r="G53" s="36" t="s">
        <v>772</v>
      </c>
      <c r="H53" s="97" t="s">
        <v>52</v>
      </c>
      <c r="I53" s="40"/>
      <c r="J53" s="98"/>
      <c r="K53" s="40"/>
      <c r="L53" s="99"/>
      <c r="M53" s="93" t="n">
        <v>100</v>
      </c>
      <c r="N53" s="93"/>
      <c r="O53" s="93" t="n">
        <v>100</v>
      </c>
      <c r="P53" s="93"/>
      <c r="Q53" s="93"/>
      <c r="R53" s="93"/>
      <c r="S53" s="6"/>
      <c r="T53" s="79"/>
      <c r="U53" s="79" t="n">
        <v>100</v>
      </c>
      <c r="V53" s="79"/>
      <c r="W53" s="93" t="n">
        <f aca="false">M53+O53+R53+U53</f>
        <v>300</v>
      </c>
      <c r="X53" s="93" t="n">
        <f aca="false">N53*100</f>
        <v>0</v>
      </c>
      <c r="Y53" s="101" t="n">
        <f aca="false">(0.8*W53)+(0.2*X53)</f>
        <v>240</v>
      </c>
      <c r="Z53" s="102" t="n">
        <f aca="false">75+((Y53-$Y$61)/($Y$60-$Y$61)*(92-75))</f>
        <v>87</v>
      </c>
      <c r="AA53" s="6"/>
      <c r="AB53" s="6"/>
      <c r="AD53" s="80"/>
      <c r="AF53" s="110" t="n">
        <v>87</v>
      </c>
      <c r="AG53" s="80"/>
      <c r="AH53" s="80"/>
      <c r="AJ53" s="80"/>
    </row>
    <row r="54" s="109" customFormat="true" ht="12.75" hidden="false" customHeight="true" outlineLevel="0" collapsed="false">
      <c r="A54" s="93" t="n">
        <v>43</v>
      </c>
      <c r="B54" s="93"/>
      <c r="C54" s="40"/>
      <c r="D54" s="94" t="n">
        <v>252610043</v>
      </c>
      <c r="E54" s="95" t="s">
        <v>773</v>
      </c>
      <c r="F54" s="111" t="s">
        <v>774</v>
      </c>
      <c r="G54" s="36" t="s">
        <v>774</v>
      </c>
      <c r="H54" s="97" t="s">
        <v>52</v>
      </c>
      <c r="I54" s="40"/>
      <c r="J54" s="98"/>
      <c r="K54" s="40"/>
      <c r="L54" s="99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6"/>
      <c r="T54" s="79"/>
      <c r="U54" s="79" t="n">
        <v>100</v>
      </c>
      <c r="V54" s="79"/>
      <c r="W54" s="93" t="n">
        <f aca="false">M54+O54+R54+U54</f>
        <v>400</v>
      </c>
      <c r="X54" s="93" t="n">
        <f aca="false">N54*100</f>
        <v>100</v>
      </c>
      <c r="Y54" s="101" t="n">
        <f aca="false">(0.8*W54)+(0.2*X54)</f>
        <v>340</v>
      </c>
      <c r="Z54" s="102" t="n">
        <f aca="false">75+((Y54-$Y$61)/($Y$60-$Y$61)*(92-75))</f>
        <v>92</v>
      </c>
      <c r="AA54" s="6"/>
      <c r="AB54" s="6"/>
      <c r="AD54" s="80"/>
      <c r="AF54" s="110" t="n">
        <v>92</v>
      </c>
      <c r="AG54" s="80"/>
      <c r="AH54" s="80"/>
      <c r="AJ54" s="80"/>
    </row>
    <row r="55" s="109" customFormat="true" ht="12.75" hidden="false" customHeight="true" outlineLevel="0" collapsed="false">
      <c r="A55" s="93" t="n">
        <v>44</v>
      </c>
      <c r="B55" s="93"/>
      <c r="C55" s="40"/>
      <c r="D55" s="94" t="n">
        <v>252610044</v>
      </c>
      <c r="E55" s="95" t="s">
        <v>775</v>
      </c>
      <c r="F55" s="111" t="s">
        <v>776</v>
      </c>
      <c r="G55" s="36" t="s">
        <v>776</v>
      </c>
      <c r="H55" s="97" t="s">
        <v>66</v>
      </c>
      <c r="I55" s="40"/>
      <c r="J55" s="98"/>
      <c r="K55" s="40"/>
      <c r="L55" s="99"/>
      <c r="M55" s="93"/>
      <c r="N55" s="93"/>
      <c r="O55" s="93" t="n">
        <v>100</v>
      </c>
      <c r="P55" s="93"/>
      <c r="Q55" s="93"/>
      <c r="R55" s="93"/>
      <c r="S55" s="6"/>
      <c r="T55" s="79"/>
      <c r="U55" s="79"/>
      <c r="V55" s="79"/>
      <c r="W55" s="93" t="n">
        <f aca="false">M55+O55+R55+U55</f>
        <v>100</v>
      </c>
      <c r="X55" s="93" t="n">
        <f aca="false">N55*100</f>
        <v>0</v>
      </c>
      <c r="Y55" s="101" t="n">
        <f aca="false">(0.8*W55)+(0.2*X55)</f>
        <v>80</v>
      </c>
      <c r="Z55" s="102" t="n">
        <f aca="false">75+((Y55-$Y$61)/($Y$60-$Y$61)*(92-75))</f>
        <v>79</v>
      </c>
      <c r="AA55" s="6"/>
      <c r="AB55" s="6"/>
      <c r="AD55" s="80"/>
      <c r="AF55" s="110" t="n">
        <v>79</v>
      </c>
      <c r="AG55" s="80"/>
      <c r="AH55" s="80"/>
      <c r="AJ55" s="80"/>
    </row>
    <row r="56" s="109" customFormat="true" ht="12.75" hidden="false" customHeight="true" outlineLevel="0" collapsed="false">
      <c r="A56" s="93" t="n">
        <v>45</v>
      </c>
      <c r="B56" s="93"/>
      <c r="C56" s="40"/>
      <c r="D56" s="94" t="n">
        <v>252610045</v>
      </c>
      <c r="E56" s="95" t="s">
        <v>777</v>
      </c>
      <c r="F56" s="111" t="s">
        <v>778</v>
      </c>
      <c r="G56" s="36" t="s">
        <v>778</v>
      </c>
      <c r="H56" s="97" t="s">
        <v>52</v>
      </c>
      <c r="I56" s="40"/>
      <c r="J56" s="98"/>
      <c r="K56" s="40"/>
      <c r="L56" s="99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6"/>
      <c r="T56" s="79"/>
      <c r="U56" s="79" t="n">
        <v>100</v>
      </c>
      <c r="V56" s="79"/>
      <c r="W56" s="93" t="n">
        <f aca="false">M56+O56+R56+U56</f>
        <v>400</v>
      </c>
      <c r="X56" s="93" t="n">
        <f aca="false">N56*100</f>
        <v>0</v>
      </c>
      <c r="Y56" s="101" t="n">
        <f aca="false">(0.8*W56)+(0.2*X56)</f>
        <v>320</v>
      </c>
      <c r="Z56" s="102" t="n">
        <f aca="false">75+((Y56-$Y$61)/($Y$60-$Y$61)*(92-75))</f>
        <v>91</v>
      </c>
      <c r="AA56" s="6"/>
      <c r="AB56" s="6"/>
      <c r="AD56" s="80"/>
      <c r="AF56" s="110" t="n">
        <v>91</v>
      </c>
      <c r="AG56" s="80"/>
      <c r="AH56" s="80"/>
      <c r="AJ56" s="80"/>
    </row>
    <row r="57" s="109" customFormat="true" ht="12.75" hidden="false" customHeight="true" outlineLevel="0" collapsed="false">
      <c r="A57" s="93" t="n">
        <v>46</v>
      </c>
      <c r="B57" s="93"/>
      <c r="C57" s="40"/>
      <c r="D57" s="94" t="n">
        <v>252610046</v>
      </c>
      <c r="E57" s="95" t="s">
        <v>779</v>
      </c>
      <c r="F57" s="111" t="s">
        <v>780</v>
      </c>
      <c r="G57" s="36" t="s">
        <v>780</v>
      </c>
      <c r="H57" s="97" t="s">
        <v>52</v>
      </c>
      <c r="I57" s="40"/>
      <c r="J57" s="98"/>
      <c r="K57" s="40"/>
      <c r="L57" s="99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6"/>
      <c r="T57" s="79"/>
      <c r="U57" s="79" t="n">
        <v>100</v>
      </c>
      <c r="V57" s="79"/>
      <c r="W57" s="93" t="n">
        <f aca="false">M57+O57+R57+U57</f>
        <v>300</v>
      </c>
      <c r="X57" s="93" t="n">
        <f aca="false">N57*100</f>
        <v>0</v>
      </c>
      <c r="Y57" s="101" t="n">
        <f aca="false">(0.8*W57)+(0.2*X57)</f>
        <v>240</v>
      </c>
      <c r="Z57" s="102" t="n">
        <f aca="false">75+((Y57-$Y$61)/($Y$60-$Y$61)*(92-75))</f>
        <v>87</v>
      </c>
      <c r="AA57" s="6"/>
      <c r="AB57" s="6"/>
      <c r="AD57" s="80"/>
      <c r="AF57" s="110" t="n">
        <v>87</v>
      </c>
      <c r="AG57" s="80"/>
      <c r="AH57" s="80"/>
      <c r="AJ57" s="80"/>
    </row>
    <row r="58" s="109" customFormat="true" ht="12.75" hidden="false" customHeight="true" outlineLevel="0" collapsed="false">
      <c r="A58" s="93" t="n">
        <v>47</v>
      </c>
      <c r="B58" s="93"/>
      <c r="C58" s="40"/>
      <c r="D58" s="94" t="n">
        <v>252610047</v>
      </c>
      <c r="E58" s="95" t="s">
        <v>781</v>
      </c>
      <c r="F58" s="111" t="s">
        <v>782</v>
      </c>
      <c r="G58" s="36" t="s">
        <v>782</v>
      </c>
      <c r="H58" s="97" t="s">
        <v>52</v>
      </c>
      <c r="I58" s="40"/>
      <c r="J58" s="98"/>
      <c r="K58" s="40"/>
      <c r="L58" s="99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6"/>
      <c r="T58" s="79"/>
      <c r="U58" s="79" t="n">
        <v>100</v>
      </c>
      <c r="V58" s="79"/>
      <c r="W58" s="93" t="n">
        <f aca="false">M58+O58+R58+U58</f>
        <v>400</v>
      </c>
      <c r="X58" s="93" t="n">
        <f aca="false">N58*100</f>
        <v>0</v>
      </c>
      <c r="Y58" s="101" t="n">
        <f aca="false">(0.8*W58)+(0.2*X58)</f>
        <v>320</v>
      </c>
      <c r="Z58" s="102" t="n">
        <f aca="false">75+((Y58-$Y$61)/($Y$60-$Y$61)*(92-75))</f>
        <v>91</v>
      </c>
      <c r="AA58" s="6"/>
      <c r="AB58" s="6"/>
      <c r="AD58" s="80"/>
      <c r="AF58" s="110" t="n">
        <v>91</v>
      </c>
      <c r="AG58" s="80"/>
      <c r="AH58" s="80"/>
      <c r="AJ58" s="80"/>
    </row>
    <row r="59" s="109" customFormat="true" ht="12.75" hidden="false" customHeight="true" outlineLevel="0" collapsed="false">
      <c r="A59" s="93" t="n">
        <v>48</v>
      </c>
      <c r="B59" s="93"/>
      <c r="C59" s="40"/>
      <c r="D59" s="94" t="n">
        <v>252610048</v>
      </c>
      <c r="E59" s="95" t="s">
        <v>783</v>
      </c>
      <c r="F59" s="111" t="s">
        <v>784</v>
      </c>
      <c r="G59" s="36" t="s">
        <v>784</v>
      </c>
      <c r="H59" s="97" t="s">
        <v>52</v>
      </c>
      <c r="I59" s="40"/>
      <c r="J59" s="98"/>
      <c r="K59" s="40"/>
      <c r="L59" s="99"/>
      <c r="M59" s="93"/>
      <c r="N59" s="93"/>
      <c r="O59" s="93"/>
      <c r="P59" s="93"/>
      <c r="Q59" s="93"/>
      <c r="R59" s="93"/>
      <c r="S59" s="6"/>
      <c r="T59" s="79"/>
      <c r="U59" s="79"/>
      <c r="V59" s="79"/>
      <c r="W59" s="93" t="n">
        <f aca="false">M59+O59+R59+U59</f>
        <v>0</v>
      </c>
      <c r="X59" s="93" t="n">
        <f aca="false">N59*100</f>
        <v>0</v>
      </c>
      <c r="Y59" s="101" t="n">
        <f aca="false">(0.8*W59)+(0.2*X59)</f>
        <v>0</v>
      </c>
      <c r="Z59" s="102" t="n">
        <v>0</v>
      </c>
      <c r="AA59" s="6"/>
      <c r="AB59" s="6"/>
      <c r="AD59" s="80"/>
      <c r="AF59" s="110" t="n">
        <v>0</v>
      </c>
      <c r="AG59" s="80" t="s">
        <v>785</v>
      </c>
      <c r="AH59" s="80"/>
      <c r="AJ59" s="80"/>
    </row>
    <row r="60" s="109" customFormat="true" ht="12.75" hidden="false" customHeight="true" outlineLevel="0" collapsed="false">
      <c r="A60" s="79"/>
      <c r="B60" s="79"/>
      <c r="C60" s="6"/>
      <c r="D60" s="112"/>
      <c r="E60" s="80"/>
      <c r="F60" s="113" t="s">
        <v>786</v>
      </c>
      <c r="G60" s="6"/>
      <c r="H60" s="79" t="n">
        <v>20</v>
      </c>
      <c r="I60" s="6"/>
      <c r="J60" s="114"/>
      <c r="K60" s="6"/>
      <c r="L60" s="80"/>
      <c r="M60" s="79"/>
      <c r="N60" s="79"/>
      <c r="O60" s="79"/>
      <c r="P60" s="79"/>
      <c r="Q60" s="79"/>
      <c r="R60" s="79"/>
      <c r="S60" s="6"/>
      <c r="T60" s="79"/>
      <c r="U60" s="79"/>
      <c r="V60" s="79"/>
      <c r="W60" s="79"/>
      <c r="X60" s="79"/>
      <c r="Y60" s="79" t="n">
        <f aca="false">MAX(Y12:Y59)</f>
        <v>340</v>
      </c>
      <c r="Z60" s="79"/>
      <c r="AA60" s="6"/>
      <c r="AB60" s="6"/>
      <c r="AD60" s="80"/>
      <c r="AG60" s="80"/>
      <c r="AH60" s="80"/>
      <c r="AJ60" s="80"/>
    </row>
    <row r="61" s="109" customFormat="true" ht="12.75" hidden="false" customHeight="true" outlineLevel="0" collapsed="false">
      <c r="A61" s="79"/>
      <c r="B61" s="79"/>
      <c r="C61" s="6"/>
      <c r="D61" s="115"/>
      <c r="E61" s="80"/>
      <c r="F61" s="113" t="s">
        <v>242</v>
      </c>
      <c r="G61" s="116"/>
      <c r="H61" s="79" t="n">
        <v>28</v>
      </c>
      <c r="I61" s="6"/>
      <c r="J61" s="114"/>
      <c r="K61" s="6"/>
      <c r="L61" s="80"/>
      <c r="M61" s="79"/>
      <c r="N61" s="79"/>
      <c r="O61" s="79"/>
      <c r="P61" s="79"/>
      <c r="Q61" s="79"/>
      <c r="R61" s="79"/>
      <c r="S61" s="6"/>
      <c r="T61" s="79"/>
      <c r="U61" s="79"/>
      <c r="V61" s="79"/>
      <c r="W61" s="79"/>
      <c r="X61" s="79"/>
      <c r="Y61" s="79" t="n">
        <f aca="false">MIN(Y12:Y59)</f>
        <v>0</v>
      </c>
      <c r="Z61" s="79"/>
      <c r="AA61" s="6"/>
      <c r="AB61" s="6"/>
      <c r="AD61" s="80"/>
      <c r="AG61" s="80"/>
      <c r="AH61" s="80"/>
      <c r="AJ61" s="80"/>
    </row>
    <row r="62" s="109" customFormat="true" ht="12.75" hidden="false" customHeight="true" outlineLevel="0" collapsed="false">
      <c r="A62" s="79"/>
      <c r="B62" s="79"/>
      <c r="C62" s="6"/>
      <c r="D62" s="80" t="s">
        <v>446</v>
      </c>
      <c r="E62" s="80"/>
      <c r="F62" s="6"/>
      <c r="G62" s="116" t="s">
        <v>787</v>
      </c>
      <c r="H62" s="79"/>
      <c r="I62" s="6"/>
      <c r="J62" s="114"/>
      <c r="K62" s="6"/>
      <c r="L62" s="80"/>
      <c r="M62" s="79" t="s">
        <v>447</v>
      </c>
      <c r="N62" s="79"/>
      <c r="O62" s="79"/>
      <c r="P62" s="79"/>
      <c r="Q62" s="79"/>
      <c r="R62" s="79"/>
      <c r="S62" s="6"/>
      <c r="T62" s="79"/>
      <c r="U62" s="79"/>
      <c r="V62" s="79"/>
      <c r="W62" s="79"/>
      <c r="X62" s="79"/>
      <c r="Y62" s="79"/>
      <c r="Z62" s="79"/>
      <c r="AA62" s="6"/>
      <c r="AB62" s="6"/>
      <c r="AD62" s="80"/>
      <c r="AG62" s="80"/>
      <c r="AH62" s="80"/>
      <c r="AJ62" s="80"/>
    </row>
    <row r="63" s="109" customFormat="true" ht="12.75" hidden="false" customHeight="true" outlineLevel="0" collapsed="false">
      <c r="A63" s="79"/>
      <c r="B63" s="79"/>
      <c r="C63" s="6"/>
      <c r="D63" s="80"/>
      <c r="E63" s="80"/>
      <c r="F63" s="6"/>
      <c r="G63" s="116"/>
      <c r="H63" s="79"/>
      <c r="I63" s="6"/>
      <c r="J63" s="114"/>
      <c r="K63" s="6"/>
      <c r="L63" s="80"/>
      <c r="M63" s="79"/>
      <c r="N63" s="79"/>
      <c r="O63" s="79"/>
      <c r="P63" s="79"/>
      <c r="Q63" s="79"/>
      <c r="R63" s="79"/>
      <c r="S63" s="6"/>
      <c r="T63" s="79"/>
      <c r="U63" s="79"/>
      <c r="V63" s="79"/>
      <c r="W63" s="79"/>
      <c r="X63" s="79"/>
      <c r="Y63" s="79"/>
      <c r="Z63" s="79"/>
      <c r="AA63" s="6"/>
      <c r="AB63" s="6"/>
      <c r="AD63" s="80"/>
      <c r="AG63" s="80"/>
      <c r="AH63" s="80"/>
      <c r="AJ63" s="80"/>
    </row>
    <row r="64" s="109" customFormat="true" ht="12.75" hidden="false" customHeight="true" outlineLevel="0" collapsed="false">
      <c r="A64" s="79"/>
      <c r="B64" s="79"/>
      <c r="C64" s="6"/>
      <c r="D64" s="80"/>
      <c r="E64" s="80"/>
      <c r="F64" s="6"/>
      <c r="G64" s="116"/>
      <c r="H64" s="79"/>
      <c r="I64" s="6"/>
      <c r="J64" s="114"/>
      <c r="K64" s="6"/>
      <c r="L64" s="80"/>
      <c r="M64" s="79"/>
      <c r="N64" s="79"/>
      <c r="O64" s="79"/>
      <c r="P64" s="79"/>
      <c r="Q64" s="79"/>
      <c r="R64" s="79"/>
      <c r="S64" s="6"/>
      <c r="T64" s="79"/>
      <c r="U64" s="79"/>
      <c r="V64" s="79"/>
      <c r="W64" s="79"/>
      <c r="X64" s="79"/>
      <c r="Y64" s="79"/>
      <c r="Z64" s="79"/>
      <c r="AA64" s="6"/>
      <c r="AB64" s="6"/>
      <c r="AD64" s="80"/>
      <c r="AG64" s="80"/>
      <c r="AH64" s="80"/>
      <c r="AJ64" s="80"/>
    </row>
    <row r="65" s="109" customFormat="true" ht="12.75" hidden="false" customHeight="true" outlineLevel="0" collapsed="false">
      <c r="A65" s="79"/>
      <c r="B65" s="79"/>
      <c r="C65" s="6"/>
      <c r="D65" s="80"/>
      <c r="E65" s="80"/>
      <c r="F65" s="6"/>
      <c r="G65" s="116"/>
      <c r="H65" s="79"/>
      <c r="I65" s="6"/>
      <c r="J65" s="114"/>
      <c r="K65" s="6"/>
      <c r="L65" s="80"/>
      <c r="M65" s="79"/>
      <c r="N65" s="79"/>
      <c r="O65" s="79"/>
      <c r="P65" s="79"/>
      <c r="Q65" s="79"/>
      <c r="R65" s="79"/>
      <c r="S65" s="6"/>
      <c r="T65" s="79"/>
      <c r="U65" s="79"/>
      <c r="V65" s="79"/>
      <c r="W65" s="79"/>
      <c r="X65" s="79"/>
      <c r="Y65" s="79"/>
      <c r="Z65" s="79"/>
      <c r="AA65" s="6"/>
      <c r="AB65" s="6"/>
      <c r="AD65" s="80"/>
      <c r="AG65" s="80"/>
      <c r="AH65" s="80"/>
      <c r="AJ65" s="80"/>
    </row>
    <row r="66" s="109" customFormat="true" ht="12.75" hidden="false" customHeight="true" outlineLevel="0" collapsed="false">
      <c r="A66" s="79"/>
      <c r="B66" s="79"/>
      <c r="C66" s="6"/>
      <c r="D66" s="117" t="s">
        <v>448</v>
      </c>
      <c r="E66" s="80"/>
      <c r="F66" s="6"/>
      <c r="G66" s="116" t="s">
        <v>449</v>
      </c>
      <c r="H66" s="79"/>
      <c r="I66" s="6"/>
      <c r="J66" s="114"/>
      <c r="K66" s="6"/>
      <c r="L66" s="80"/>
      <c r="M66" s="79" t="s">
        <v>788</v>
      </c>
      <c r="N66" s="79"/>
      <c r="O66" s="79"/>
      <c r="P66" s="79"/>
      <c r="Q66" s="79"/>
      <c r="R66" s="79"/>
      <c r="S66" s="6"/>
      <c r="T66" s="79"/>
      <c r="U66" s="79"/>
      <c r="V66" s="79"/>
      <c r="W66" s="79"/>
      <c r="X66" s="79"/>
      <c r="Y66" s="79"/>
      <c r="Z66" s="79"/>
      <c r="AA66" s="6"/>
      <c r="AB66" s="6"/>
      <c r="AD66" s="80"/>
      <c r="AG66" s="80"/>
      <c r="AH66" s="80"/>
      <c r="AJ66" s="80"/>
    </row>
    <row r="67" s="109" customFormat="true" ht="12.75" hidden="false" customHeight="true" outlineLevel="0" collapsed="false">
      <c r="A67" s="79"/>
      <c r="B67" s="79"/>
      <c r="C67" s="6"/>
      <c r="D67" s="118" t="s">
        <v>451</v>
      </c>
      <c r="E67" s="80"/>
      <c r="F67" s="6"/>
      <c r="G67" s="6"/>
      <c r="H67" s="79"/>
      <c r="I67" s="6"/>
      <c r="J67" s="114"/>
      <c r="K67" s="6"/>
      <c r="L67" s="80"/>
      <c r="M67" s="79"/>
      <c r="N67" s="79"/>
      <c r="O67" s="79"/>
      <c r="P67" s="79"/>
      <c r="Q67" s="79"/>
      <c r="R67" s="79"/>
      <c r="S67" s="6"/>
      <c r="T67" s="79"/>
      <c r="U67" s="79"/>
      <c r="V67" s="79"/>
      <c r="W67" s="79"/>
      <c r="X67" s="79"/>
      <c r="Y67" s="79"/>
      <c r="Z67" s="79"/>
      <c r="AA67" s="6"/>
      <c r="AB67" s="6"/>
      <c r="AD67" s="80"/>
      <c r="AG67" s="80"/>
      <c r="AH67" s="80"/>
      <c r="AJ67" s="80"/>
    </row>
    <row r="68" s="109" customFormat="true" ht="12.75" hidden="false" customHeight="true" outlineLevel="0" collapsed="false">
      <c r="A68" s="81" t="s">
        <v>0</v>
      </c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79"/>
      <c r="S68" s="6"/>
      <c r="T68" s="79"/>
      <c r="U68" s="79"/>
      <c r="V68" s="79"/>
      <c r="W68" s="79"/>
      <c r="X68" s="79"/>
      <c r="Y68" s="79"/>
      <c r="Z68" s="79"/>
      <c r="AA68" s="6"/>
      <c r="AB68" s="6"/>
      <c r="AD68" s="80"/>
      <c r="AG68" s="80"/>
      <c r="AH68" s="80"/>
      <c r="AJ68" s="80"/>
    </row>
    <row r="69" s="109" customFormat="true" ht="12.75" hidden="false" customHeight="true" outlineLevel="0" collapsed="false">
      <c r="A69" s="81" t="s">
        <v>1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79"/>
      <c r="S69" s="6"/>
      <c r="T69" s="79"/>
      <c r="U69" s="79"/>
      <c r="V69" s="79"/>
      <c r="W69" s="79"/>
      <c r="X69" s="79"/>
      <c r="Y69" s="79"/>
      <c r="Z69" s="79"/>
      <c r="AA69" s="6"/>
      <c r="AB69" s="6"/>
      <c r="AD69" s="80"/>
      <c r="AG69" s="80"/>
      <c r="AH69" s="80"/>
      <c r="AJ69" s="80"/>
    </row>
    <row r="70" s="109" customFormat="true" ht="12.75" hidden="false" customHeight="true" outlineLevel="0" collapsed="false">
      <c r="A70" s="81" t="s">
        <v>2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79"/>
      <c r="S70" s="6"/>
      <c r="T70" s="79"/>
      <c r="U70" s="79"/>
      <c r="V70" s="79"/>
      <c r="W70" s="79"/>
      <c r="X70" s="79"/>
      <c r="Y70" s="79"/>
      <c r="Z70" s="79"/>
      <c r="AA70" s="6"/>
      <c r="AB70" s="6"/>
      <c r="AD70" s="80"/>
      <c r="AG70" s="80"/>
      <c r="AH70" s="80"/>
      <c r="AJ70" s="80"/>
    </row>
    <row r="71" s="109" customFormat="true" ht="16.5" hidden="false" customHeight="true" outlineLevel="0" collapsed="false">
      <c r="A71" s="82" t="s">
        <v>3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79"/>
      <c r="S71" s="6"/>
      <c r="T71" s="79"/>
      <c r="U71" s="79"/>
      <c r="V71" s="79"/>
      <c r="W71" s="79"/>
      <c r="X71" s="79"/>
      <c r="Y71" s="79"/>
      <c r="Z71" s="79"/>
      <c r="AA71" s="6"/>
      <c r="AB71" s="6"/>
      <c r="AD71" s="80"/>
      <c r="AG71" s="80"/>
      <c r="AH71" s="80"/>
      <c r="AJ71" s="80"/>
    </row>
    <row r="72" s="109" customFormat="true" ht="12.75" hidden="false" customHeight="true" outlineLevel="0" collapsed="false">
      <c r="A72" s="83" t="s">
        <v>4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79"/>
      <c r="S72" s="6"/>
      <c r="T72" s="79"/>
      <c r="U72" s="79"/>
      <c r="V72" s="79"/>
      <c r="W72" s="79"/>
      <c r="X72" s="79"/>
      <c r="Y72" s="79"/>
      <c r="Z72" s="79"/>
      <c r="AA72" s="6"/>
      <c r="AB72" s="6"/>
      <c r="AD72" s="80"/>
      <c r="AG72" s="80"/>
      <c r="AH72" s="80"/>
      <c r="AJ72" s="80"/>
    </row>
    <row r="73" s="109" customFormat="true" ht="15" hidden="false" customHeight="true" outlineLevel="0" collapsed="false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79"/>
      <c r="S73" s="6"/>
      <c r="T73" s="79"/>
      <c r="U73" s="79"/>
      <c r="V73" s="79"/>
      <c r="W73" s="79"/>
      <c r="X73" s="79"/>
      <c r="Y73" s="79"/>
      <c r="Z73" s="79"/>
      <c r="AA73" s="6"/>
      <c r="AB73" s="6"/>
      <c r="AD73" s="80"/>
      <c r="AG73" s="80"/>
      <c r="AH73" s="80"/>
      <c r="AJ73" s="80"/>
    </row>
    <row r="74" s="109" customFormat="true" ht="12.75" hidden="false" customHeight="true" outlineLevel="0" collapsed="false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79"/>
      <c r="S74" s="6"/>
      <c r="T74" s="79"/>
      <c r="U74" s="79"/>
      <c r="V74" s="79"/>
      <c r="W74" s="79"/>
      <c r="X74" s="79"/>
      <c r="Y74" s="79"/>
      <c r="Z74" s="79"/>
      <c r="AA74" s="6"/>
      <c r="AB74" s="6"/>
      <c r="AD74" s="80"/>
      <c r="AG74" s="80"/>
      <c r="AH74" s="80"/>
      <c r="AJ74" s="80"/>
    </row>
    <row r="75" s="109" customFormat="true" ht="12.75" hidden="false" customHeight="true" outlineLevel="0" collapsed="false">
      <c r="A75" s="84" t="s">
        <v>245</v>
      </c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79"/>
      <c r="S75" s="6"/>
      <c r="T75" s="79"/>
      <c r="U75" s="79"/>
      <c r="V75" s="79"/>
      <c r="W75" s="79"/>
      <c r="X75" s="79"/>
      <c r="Y75" s="79"/>
      <c r="Z75" s="79"/>
      <c r="AA75" s="6"/>
      <c r="AB75" s="6"/>
      <c r="AD75" s="80"/>
      <c r="AG75" s="80"/>
      <c r="AH75" s="80"/>
      <c r="AJ75" s="80"/>
    </row>
    <row r="76" s="109" customFormat="true" ht="12.7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79"/>
      <c r="S76" s="6"/>
      <c r="T76" s="79"/>
      <c r="U76" s="79"/>
      <c r="V76" s="79"/>
      <c r="W76" s="79"/>
      <c r="X76" s="79"/>
      <c r="Y76" s="79"/>
      <c r="Z76" s="79"/>
      <c r="AA76" s="6"/>
      <c r="AB76" s="6"/>
      <c r="AD76" s="80"/>
      <c r="AG76" s="80"/>
      <c r="AH76" s="80"/>
      <c r="AJ76" s="80"/>
    </row>
    <row r="77" s="109" customFormat="true" ht="12.75" hidden="false" customHeight="true" outlineLevel="0" collapsed="false">
      <c r="A77" s="6"/>
      <c r="B77" s="85"/>
      <c r="C77" s="6"/>
      <c r="D77" s="86" t="s">
        <v>789</v>
      </c>
      <c r="E77" s="87"/>
      <c r="F77" s="6"/>
      <c r="G77" s="85" t="s">
        <v>7</v>
      </c>
      <c r="H77" s="88" t="s">
        <v>8</v>
      </c>
      <c r="I77" s="6"/>
      <c r="J77" s="6"/>
      <c r="K77" s="6"/>
      <c r="L77" s="80"/>
      <c r="M77" s="73" t="s">
        <v>790</v>
      </c>
      <c r="N77" s="79"/>
      <c r="O77" s="79"/>
      <c r="P77" s="79"/>
      <c r="Q77" s="79"/>
      <c r="R77" s="79"/>
      <c r="S77" s="6"/>
      <c r="T77" s="79"/>
      <c r="U77" s="79"/>
      <c r="V77" s="79"/>
      <c r="W77" s="79"/>
      <c r="X77" s="79"/>
      <c r="Y77" s="79"/>
      <c r="Z77" s="79"/>
      <c r="AA77" s="6"/>
      <c r="AB77" s="6"/>
      <c r="AD77" s="80"/>
      <c r="AF77" s="80" t="s">
        <v>791</v>
      </c>
      <c r="AG77" s="80"/>
      <c r="AH77" s="80"/>
      <c r="AJ77" s="80"/>
    </row>
    <row r="78" s="109" customFormat="true" ht="27" hidden="false" customHeight="true" outlineLevel="0" collapsed="false">
      <c r="A78" s="90" t="s">
        <v>10</v>
      </c>
      <c r="B78" s="90" t="s">
        <v>11</v>
      </c>
      <c r="C78" s="91" t="s">
        <v>12</v>
      </c>
      <c r="D78" s="91" t="s">
        <v>13</v>
      </c>
      <c r="E78" s="91" t="s">
        <v>14</v>
      </c>
      <c r="F78" s="91" t="s">
        <v>17</v>
      </c>
      <c r="G78" s="91" t="s">
        <v>18</v>
      </c>
      <c r="H78" s="91" t="s">
        <v>19</v>
      </c>
      <c r="I78" s="91" t="s">
        <v>20</v>
      </c>
      <c r="J78" s="91" t="s">
        <v>21</v>
      </c>
      <c r="K78" s="90" t="s">
        <v>22</v>
      </c>
      <c r="L78" s="90" t="s">
        <v>23</v>
      </c>
      <c r="M78" s="92" t="s">
        <v>792</v>
      </c>
      <c r="N78" s="92" t="s">
        <v>793</v>
      </c>
      <c r="O78" s="92" t="s">
        <v>794</v>
      </c>
      <c r="P78" s="92" t="s">
        <v>793</v>
      </c>
      <c r="Q78" s="30"/>
      <c r="R78" s="119" t="s">
        <v>795</v>
      </c>
      <c r="S78" s="120"/>
      <c r="T78" s="92" t="s">
        <v>793</v>
      </c>
      <c r="U78" s="92" t="s">
        <v>793</v>
      </c>
      <c r="V78" s="119" t="s">
        <v>796</v>
      </c>
      <c r="W78" s="92" t="s">
        <v>793</v>
      </c>
      <c r="X78" s="119" t="s">
        <v>797</v>
      </c>
      <c r="Y78" s="92" t="s">
        <v>793</v>
      </c>
      <c r="Z78" s="121" t="s">
        <v>798</v>
      </c>
      <c r="AA78" s="92" t="s">
        <v>793</v>
      </c>
      <c r="AB78" s="92" t="s">
        <v>799</v>
      </c>
      <c r="AC78" s="27" t="s">
        <v>38</v>
      </c>
      <c r="AD78" s="28" t="s">
        <v>39</v>
      </c>
      <c r="AE78" s="25" t="s">
        <v>40</v>
      </c>
      <c r="AF78" s="29" t="s">
        <v>800</v>
      </c>
      <c r="AG78" s="80" t="s">
        <v>801</v>
      </c>
      <c r="AH78" s="80" t="s">
        <v>802</v>
      </c>
      <c r="AJ78" s="80"/>
    </row>
    <row r="79" s="109" customFormat="true" ht="12.75" hidden="false" customHeight="true" outlineLevel="0" collapsed="false">
      <c r="A79" s="99" t="n">
        <v>1</v>
      </c>
      <c r="B79" s="99" t="n">
        <v>1</v>
      </c>
      <c r="C79" s="122" t="s">
        <v>46</v>
      </c>
      <c r="D79" s="94" t="n">
        <v>252610049</v>
      </c>
      <c r="E79" s="123" t="s">
        <v>803</v>
      </c>
      <c r="F79" s="124" t="s">
        <v>804</v>
      </c>
      <c r="G79" s="36" t="s">
        <v>804</v>
      </c>
      <c r="H79" s="125" t="s">
        <v>52</v>
      </c>
      <c r="I79" s="122" t="s">
        <v>681</v>
      </c>
      <c r="J79" s="126" t="n">
        <v>39691</v>
      </c>
      <c r="K79" s="122" t="s">
        <v>53</v>
      </c>
      <c r="L79" s="99" t="s">
        <v>54</v>
      </c>
      <c r="M79" s="127" t="n">
        <v>100</v>
      </c>
      <c r="N79" s="99"/>
      <c r="O79" s="99" t="n">
        <v>100</v>
      </c>
      <c r="P79" s="99"/>
      <c r="Q79" s="99"/>
      <c r="R79" s="99" t="n">
        <v>100</v>
      </c>
      <c r="S79" s="122"/>
      <c r="T79" s="99"/>
      <c r="U79" s="99"/>
      <c r="V79" s="99" t="n">
        <v>100</v>
      </c>
      <c r="W79" s="99"/>
      <c r="X79" s="99" t="n">
        <v>90</v>
      </c>
      <c r="Y79" s="99" t="n">
        <v>1</v>
      </c>
      <c r="Z79" s="128" t="n">
        <v>90</v>
      </c>
      <c r="AA79" s="122"/>
      <c r="AB79" s="122" t="n">
        <v>100</v>
      </c>
      <c r="AC79" s="99" t="n">
        <f aca="false">AB79+Z79+X79+V79+R79+O79+M79+O79</f>
        <v>780</v>
      </c>
      <c r="AD79" s="99" t="n">
        <f aca="false">(Y79+W79+U79+T79+P79+N79+P79)*100</f>
        <v>100</v>
      </c>
      <c r="AE79" s="99" t="n">
        <f aca="false">(0.8*AC79)+(0.2*AD79)</f>
        <v>644</v>
      </c>
      <c r="AF79" s="129" t="n">
        <f aca="false">75+((AE79-$AE$128)/($AE$127-$AE$128)*(90-75))</f>
        <v>87.4484536082474</v>
      </c>
      <c r="AG79" s="80" t="n">
        <v>100</v>
      </c>
      <c r="AH79" s="80" t="n">
        <v>0</v>
      </c>
      <c r="AJ79" s="80"/>
    </row>
    <row r="80" s="109" customFormat="true" ht="12.75" hidden="false" customHeight="true" outlineLevel="0" collapsed="false">
      <c r="A80" s="99" t="n">
        <v>2</v>
      </c>
      <c r="B80" s="99" t="n">
        <v>2</v>
      </c>
      <c r="C80" s="122" t="s">
        <v>55</v>
      </c>
      <c r="D80" s="94" t="n">
        <v>252610050</v>
      </c>
      <c r="E80" s="123" t="s">
        <v>805</v>
      </c>
      <c r="F80" s="124" t="s">
        <v>806</v>
      </c>
      <c r="G80" s="36" t="s">
        <v>806</v>
      </c>
      <c r="H80" s="125" t="s">
        <v>52</v>
      </c>
      <c r="I80" s="122" t="s">
        <v>684</v>
      </c>
      <c r="J80" s="126" t="n">
        <v>39698</v>
      </c>
      <c r="K80" s="122" t="s">
        <v>60</v>
      </c>
      <c r="L80" s="99" t="s">
        <v>54</v>
      </c>
      <c r="M80" s="127" t="n">
        <v>100</v>
      </c>
      <c r="N80" s="99"/>
      <c r="O80" s="99" t="n">
        <v>100</v>
      </c>
      <c r="P80" s="99"/>
      <c r="Q80" s="99"/>
      <c r="R80" s="99" t="n">
        <v>100</v>
      </c>
      <c r="S80" s="99"/>
      <c r="T80" s="99"/>
      <c r="U80" s="99"/>
      <c r="V80" s="99" t="n">
        <v>100</v>
      </c>
      <c r="W80" s="99"/>
      <c r="X80" s="99" t="n">
        <v>95</v>
      </c>
      <c r="Y80" s="99"/>
      <c r="Z80" s="128" t="n">
        <v>90</v>
      </c>
      <c r="AA80" s="99"/>
      <c r="AB80" s="99"/>
      <c r="AC80" s="99" t="n">
        <f aca="false">AB80+Z80+X80+V80+R80+O80+M80+O80</f>
        <v>685</v>
      </c>
      <c r="AD80" s="99" t="n">
        <f aca="false">(Y80+W80+U80+T80+P80+N80+P80)*100</f>
        <v>0</v>
      </c>
      <c r="AE80" s="99" t="n">
        <f aca="false">(0.8*AC80)+(0.2*AD80)</f>
        <v>548</v>
      </c>
      <c r="AF80" s="129" t="n">
        <f aca="false">75+((AE80-$AE$128)/($AE$127-$AE$128)*(90-75))</f>
        <v>85.5927835051546</v>
      </c>
      <c r="AG80" s="80" t="n">
        <v>100</v>
      </c>
      <c r="AH80" s="80" t="n">
        <v>100</v>
      </c>
      <c r="AJ80" s="80"/>
    </row>
    <row r="81" s="109" customFormat="true" ht="12.75" hidden="false" customHeight="true" outlineLevel="0" collapsed="false">
      <c r="A81" s="99" t="n">
        <v>3</v>
      </c>
      <c r="B81" s="99" t="n">
        <v>4</v>
      </c>
      <c r="C81" s="122" t="s">
        <v>61</v>
      </c>
      <c r="D81" s="94" t="n">
        <v>252610051</v>
      </c>
      <c r="E81" s="123" t="s">
        <v>807</v>
      </c>
      <c r="F81" s="124" t="s">
        <v>808</v>
      </c>
      <c r="G81" s="36" t="s">
        <v>808</v>
      </c>
      <c r="H81" s="125" t="s">
        <v>66</v>
      </c>
      <c r="I81" s="122" t="s">
        <v>687</v>
      </c>
      <c r="J81" s="126" t="n">
        <v>39684</v>
      </c>
      <c r="K81" s="122" t="s">
        <v>67</v>
      </c>
      <c r="L81" s="99" t="s">
        <v>54</v>
      </c>
      <c r="M81" s="127" t="n">
        <v>100</v>
      </c>
      <c r="N81" s="99" t="n">
        <v>1</v>
      </c>
      <c r="O81" s="99" t="n">
        <v>100</v>
      </c>
      <c r="P81" s="99"/>
      <c r="Q81" s="99"/>
      <c r="R81" s="99" t="n">
        <v>100</v>
      </c>
      <c r="S81" s="122"/>
      <c r="T81" s="99"/>
      <c r="U81" s="93"/>
      <c r="V81" s="93" t="n">
        <v>100</v>
      </c>
      <c r="W81" s="99"/>
      <c r="X81" s="99" t="n">
        <v>85</v>
      </c>
      <c r="Y81" s="99"/>
      <c r="Z81" s="128" t="n">
        <v>95</v>
      </c>
      <c r="AA81" s="122"/>
      <c r="AB81" s="122"/>
      <c r="AC81" s="99" t="n">
        <f aca="false">AB81+Z81+X81+V81+R81+O81+M81+O81</f>
        <v>680</v>
      </c>
      <c r="AD81" s="99" t="n">
        <f aca="false">(Y81+W81+U81+T81+P81+N81+P81)*100</f>
        <v>100</v>
      </c>
      <c r="AE81" s="99" t="n">
        <f aca="false">(0.8*AC81)+(0.2*AD81)</f>
        <v>564</v>
      </c>
      <c r="AF81" s="129" t="n">
        <f aca="false">75+((AE81-$AE$128)/($AE$127-$AE$128)*(90-75))</f>
        <v>85.9020618556701</v>
      </c>
      <c r="AG81" s="80" t="n">
        <v>100</v>
      </c>
      <c r="AH81" s="80" t="n">
        <v>0</v>
      </c>
      <c r="AJ81" s="80"/>
    </row>
    <row r="82" s="109" customFormat="true" ht="12.75" hidden="false" customHeight="true" outlineLevel="0" collapsed="false">
      <c r="A82" s="99" t="n">
        <v>4</v>
      </c>
      <c r="B82" s="99" t="n">
        <v>5</v>
      </c>
      <c r="C82" s="122" t="s">
        <v>68</v>
      </c>
      <c r="D82" s="94" t="n">
        <v>252610052</v>
      </c>
      <c r="E82" s="33" t="s">
        <v>809</v>
      </c>
      <c r="F82" s="124" t="s">
        <v>810</v>
      </c>
      <c r="G82" s="36" t="s">
        <v>810</v>
      </c>
      <c r="H82" s="125" t="s">
        <v>66</v>
      </c>
      <c r="I82" s="122" t="s">
        <v>681</v>
      </c>
      <c r="J82" s="126" t="n">
        <v>39616</v>
      </c>
      <c r="K82" s="122" t="s">
        <v>60</v>
      </c>
      <c r="L82" s="99" t="s">
        <v>54</v>
      </c>
      <c r="M82" s="127" t="n">
        <v>100</v>
      </c>
      <c r="N82" s="99"/>
      <c r="O82" s="99" t="n">
        <v>100</v>
      </c>
      <c r="P82" s="99"/>
      <c r="Q82" s="99"/>
      <c r="R82" s="99" t="n">
        <v>100</v>
      </c>
      <c r="S82" s="122"/>
      <c r="T82" s="99" t="n">
        <v>1</v>
      </c>
      <c r="U82" s="99" t="n">
        <v>2</v>
      </c>
      <c r="V82" s="99" t="n">
        <v>100</v>
      </c>
      <c r="W82" s="99" t="n">
        <v>3</v>
      </c>
      <c r="X82" s="99" t="n">
        <v>100</v>
      </c>
      <c r="Y82" s="99" t="n">
        <v>1</v>
      </c>
      <c r="Z82" s="128" t="n">
        <v>95</v>
      </c>
      <c r="AA82" s="122"/>
      <c r="AB82" s="122" t="n">
        <v>100</v>
      </c>
      <c r="AC82" s="99" t="n">
        <f aca="false">AB82+Z82+X82+V82+R82+O82+M82+O82</f>
        <v>795</v>
      </c>
      <c r="AD82" s="99" t="n">
        <f aca="false">(Y82+W82+U82+T82+P82+N82+P82)*100</f>
        <v>700</v>
      </c>
      <c r="AE82" s="99" t="n">
        <f aca="false">(0.8*AC82)+(0.2*AD82)</f>
        <v>776</v>
      </c>
      <c r="AF82" s="129" t="n">
        <f aca="false">75+((AE82-$AE$128)/($AE$127-$AE$128)*(90-75))</f>
        <v>90</v>
      </c>
      <c r="AG82" s="80" t="n">
        <v>100</v>
      </c>
      <c r="AH82" s="80" t="n">
        <v>100</v>
      </c>
      <c r="AJ82" s="80"/>
    </row>
    <row r="83" s="109" customFormat="true" ht="12.75" hidden="false" customHeight="true" outlineLevel="0" collapsed="false">
      <c r="A83" s="99" t="n">
        <v>5</v>
      </c>
      <c r="B83" s="99" t="n">
        <v>6</v>
      </c>
      <c r="C83" s="122" t="s">
        <v>73</v>
      </c>
      <c r="D83" s="94" t="n">
        <v>252610053</v>
      </c>
      <c r="E83" s="123" t="s">
        <v>811</v>
      </c>
      <c r="F83" s="124" t="s">
        <v>812</v>
      </c>
      <c r="G83" s="36" t="s">
        <v>812</v>
      </c>
      <c r="H83" s="125" t="s">
        <v>52</v>
      </c>
      <c r="I83" s="122" t="s">
        <v>687</v>
      </c>
      <c r="J83" s="126" t="n">
        <v>39948</v>
      </c>
      <c r="K83" s="122" t="s">
        <v>78</v>
      </c>
      <c r="L83" s="99" t="s">
        <v>54</v>
      </c>
      <c r="M83" s="127" t="n">
        <v>100</v>
      </c>
      <c r="N83" s="99"/>
      <c r="O83" s="99"/>
      <c r="P83" s="99"/>
      <c r="Q83" s="99"/>
      <c r="R83" s="99" t="n">
        <v>100</v>
      </c>
      <c r="S83" s="122"/>
      <c r="T83" s="99"/>
      <c r="U83" s="99"/>
      <c r="V83" s="99" t="n">
        <v>100</v>
      </c>
      <c r="W83" s="99"/>
      <c r="X83" s="99" t="n">
        <v>85</v>
      </c>
      <c r="Y83" s="99"/>
      <c r="Z83" s="128" t="n">
        <v>95</v>
      </c>
      <c r="AA83" s="122"/>
      <c r="AB83" s="122" t="n">
        <v>100</v>
      </c>
      <c r="AC83" s="99" t="n">
        <f aca="false">AB83+Z83+X83+V83+R83+O83+M83+O83</f>
        <v>580</v>
      </c>
      <c r="AD83" s="99" t="n">
        <f aca="false">(Y83+W83+U83+T83+P83+N83+P83)*100</f>
        <v>0</v>
      </c>
      <c r="AE83" s="99" t="n">
        <f aca="false">(0.8*AC83)+(0.2*AD83)</f>
        <v>464</v>
      </c>
      <c r="AF83" s="129" t="n">
        <f aca="false">75+((AE83-$AE$128)/($AE$127-$AE$128)*(90-75))</f>
        <v>83.9690721649485</v>
      </c>
      <c r="AG83" s="80" t="n">
        <v>100</v>
      </c>
      <c r="AH83" s="80" t="n">
        <v>100</v>
      </c>
      <c r="AJ83" s="80"/>
    </row>
    <row r="84" s="109" customFormat="true" ht="12.75" hidden="false" customHeight="true" outlineLevel="0" collapsed="false">
      <c r="A84" s="99" t="n">
        <v>6</v>
      </c>
      <c r="B84" s="99" t="n">
        <v>7</v>
      </c>
      <c r="C84" s="122" t="s">
        <v>79</v>
      </c>
      <c r="D84" s="94" t="n">
        <v>252610054</v>
      </c>
      <c r="E84" s="123" t="s">
        <v>813</v>
      </c>
      <c r="F84" s="124" t="s">
        <v>814</v>
      </c>
      <c r="G84" s="36" t="s">
        <v>814</v>
      </c>
      <c r="H84" s="125" t="s">
        <v>52</v>
      </c>
      <c r="I84" s="122" t="s">
        <v>687</v>
      </c>
      <c r="J84" s="126" t="n">
        <v>39904</v>
      </c>
      <c r="K84" s="122" t="s">
        <v>78</v>
      </c>
      <c r="L84" s="99" t="s">
        <v>54</v>
      </c>
      <c r="M84" s="127" t="n">
        <v>100</v>
      </c>
      <c r="N84" s="99"/>
      <c r="O84" s="99" t="n">
        <v>100</v>
      </c>
      <c r="P84" s="99"/>
      <c r="Q84" s="99"/>
      <c r="R84" s="99" t="n">
        <v>100</v>
      </c>
      <c r="S84" s="122"/>
      <c r="T84" s="99"/>
      <c r="U84" s="99" t="n">
        <v>3</v>
      </c>
      <c r="V84" s="99" t="n">
        <v>100</v>
      </c>
      <c r="W84" s="99"/>
      <c r="X84" s="99" t="n">
        <v>95</v>
      </c>
      <c r="Y84" s="99"/>
      <c r="Z84" s="128" t="n">
        <v>90</v>
      </c>
      <c r="AA84" s="122"/>
      <c r="AB84" s="122" t="n">
        <v>100</v>
      </c>
      <c r="AC84" s="99" t="n">
        <f aca="false">AB84+Z84+X84+V84+R84+O84+M84+O84</f>
        <v>785</v>
      </c>
      <c r="AD84" s="99" t="n">
        <f aca="false">(Y84+W84+U84+T84+P84+N84+P84)*100</f>
        <v>300</v>
      </c>
      <c r="AE84" s="99" t="n">
        <f aca="false">(0.8*AC84)+(0.2*AD84)</f>
        <v>688</v>
      </c>
      <c r="AF84" s="129" t="n">
        <f aca="false">75+((AE84-$AE$128)/($AE$127-$AE$128)*(90-75))</f>
        <v>88.298969072165</v>
      </c>
      <c r="AG84" s="80" t="n">
        <v>100</v>
      </c>
      <c r="AH84" s="80" t="n">
        <v>100</v>
      </c>
      <c r="AJ84" s="80"/>
    </row>
    <row r="85" s="109" customFormat="true" ht="12.75" hidden="false" customHeight="true" outlineLevel="0" collapsed="false">
      <c r="A85" s="99" t="n">
        <v>7</v>
      </c>
      <c r="B85" s="99" t="n">
        <v>8</v>
      </c>
      <c r="C85" s="122" t="s">
        <v>84</v>
      </c>
      <c r="D85" s="94" t="n">
        <v>252610055</v>
      </c>
      <c r="E85" s="33" t="s">
        <v>815</v>
      </c>
      <c r="F85" s="124" t="s">
        <v>816</v>
      </c>
      <c r="G85" s="36" t="s">
        <v>816</v>
      </c>
      <c r="H85" s="125" t="s">
        <v>52</v>
      </c>
      <c r="I85" s="122" t="s">
        <v>681</v>
      </c>
      <c r="J85" s="126" t="n">
        <v>39710</v>
      </c>
      <c r="K85" s="122" t="s">
        <v>60</v>
      </c>
      <c r="L85" s="99" t="s">
        <v>54</v>
      </c>
      <c r="M85" s="127" t="n">
        <v>100</v>
      </c>
      <c r="N85" s="99"/>
      <c r="O85" s="99" t="n">
        <v>100</v>
      </c>
      <c r="P85" s="99"/>
      <c r="Q85" s="99"/>
      <c r="R85" s="99" t="n">
        <v>100</v>
      </c>
      <c r="S85" s="122"/>
      <c r="T85" s="99" t="n">
        <v>1</v>
      </c>
      <c r="U85" s="99" t="n">
        <v>1</v>
      </c>
      <c r="V85" s="99" t="n">
        <v>100</v>
      </c>
      <c r="W85" s="99"/>
      <c r="X85" s="99" t="n">
        <v>95</v>
      </c>
      <c r="Y85" s="99" t="n">
        <v>1</v>
      </c>
      <c r="Z85" s="128" t="n">
        <v>90</v>
      </c>
      <c r="AA85" s="122"/>
      <c r="AB85" s="122" t="n">
        <v>100</v>
      </c>
      <c r="AC85" s="99" t="n">
        <f aca="false">AB85+Z85+X85+V85+R85+O85+M85+O85</f>
        <v>785</v>
      </c>
      <c r="AD85" s="99" t="n">
        <f aca="false">(Y85+W85+U85+T85+P85+N85+P85)*100</f>
        <v>300</v>
      </c>
      <c r="AE85" s="99" t="n">
        <f aca="false">(0.8*AC85)+(0.2*AD85)</f>
        <v>688</v>
      </c>
      <c r="AF85" s="129" t="n">
        <f aca="false">75+((AE85-$AE$128)/($AE$127-$AE$128)*(90-75))</f>
        <v>88.298969072165</v>
      </c>
      <c r="AG85" s="80" t="n">
        <v>100</v>
      </c>
      <c r="AH85" s="80" t="n">
        <v>100</v>
      </c>
      <c r="AJ85" s="80"/>
    </row>
    <row r="86" s="109" customFormat="true" ht="12.75" hidden="false" customHeight="true" outlineLevel="0" collapsed="false">
      <c r="A86" s="99" t="n">
        <v>8</v>
      </c>
      <c r="B86" s="99" t="n">
        <v>9</v>
      </c>
      <c r="C86" s="122" t="s">
        <v>89</v>
      </c>
      <c r="D86" s="94" t="n">
        <v>252610056</v>
      </c>
      <c r="E86" s="123" t="s">
        <v>817</v>
      </c>
      <c r="F86" s="124" t="s">
        <v>818</v>
      </c>
      <c r="G86" s="36" t="s">
        <v>818</v>
      </c>
      <c r="H86" s="125" t="s">
        <v>66</v>
      </c>
      <c r="I86" s="122" t="s">
        <v>687</v>
      </c>
      <c r="J86" s="126" t="n">
        <v>39542</v>
      </c>
      <c r="K86" s="122" t="s">
        <v>67</v>
      </c>
      <c r="L86" s="99" t="s">
        <v>54</v>
      </c>
      <c r="M86" s="127"/>
      <c r="N86" s="99"/>
      <c r="O86" s="99" t="n">
        <v>100</v>
      </c>
      <c r="P86" s="99"/>
      <c r="Q86" s="99"/>
      <c r="R86" s="99" t="n">
        <v>100</v>
      </c>
      <c r="S86" s="122"/>
      <c r="T86" s="99"/>
      <c r="U86" s="99"/>
      <c r="V86" s="99"/>
      <c r="W86" s="99"/>
      <c r="X86" s="99" t="n">
        <v>85</v>
      </c>
      <c r="Y86" s="99"/>
      <c r="Z86" s="128" t="n">
        <v>90</v>
      </c>
      <c r="AA86" s="122"/>
      <c r="AB86" s="122"/>
      <c r="AC86" s="99" t="n">
        <f aca="false">AB86+Z86+X86+V86+R86+O86+M86+O86</f>
        <v>475</v>
      </c>
      <c r="AD86" s="99" t="n">
        <f aca="false">(Y86+W86+U86+T86+P86+N86+P86)*100</f>
        <v>0</v>
      </c>
      <c r="AE86" s="99" t="n">
        <f aca="false">(0.8*AC86)+(0.2*AD86)</f>
        <v>380</v>
      </c>
      <c r="AF86" s="129" t="n">
        <f aca="false">75+((AE86-$AE$128)/($AE$127-$AE$128)*(90-75))</f>
        <v>82.3453608247423</v>
      </c>
      <c r="AG86" s="80" t="n">
        <v>0</v>
      </c>
      <c r="AH86" s="80" t="n">
        <v>0</v>
      </c>
      <c r="AJ86" s="80"/>
    </row>
    <row r="87" s="109" customFormat="true" ht="12.75" hidden="false" customHeight="true" outlineLevel="0" collapsed="false">
      <c r="A87" s="99" t="n">
        <v>9</v>
      </c>
      <c r="B87" s="99" t="n">
        <v>10</v>
      </c>
      <c r="C87" s="122" t="s">
        <v>94</v>
      </c>
      <c r="D87" s="94" t="n">
        <v>252610057</v>
      </c>
      <c r="E87" s="123" t="s">
        <v>819</v>
      </c>
      <c r="F87" s="124" t="s">
        <v>820</v>
      </c>
      <c r="G87" s="36" t="s">
        <v>820</v>
      </c>
      <c r="H87" s="125" t="s">
        <v>52</v>
      </c>
      <c r="I87" s="122" t="s">
        <v>687</v>
      </c>
      <c r="J87" s="126" t="n">
        <v>39886</v>
      </c>
      <c r="K87" s="122" t="s">
        <v>78</v>
      </c>
      <c r="L87" s="99" t="s">
        <v>54</v>
      </c>
      <c r="M87" s="127" t="n">
        <v>100</v>
      </c>
      <c r="N87" s="99"/>
      <c r="O87" s="99" t="n">
        <v>100</v>
      </c>
      <c r="P87" s="99"/>
      <c r="Q87" s="99"/>
      <c r="R87" s="99" t="n">
        <v>100</v>
      </c>
      <c r="S87" s="122"/>
      <c r="T87" s="99"/>
      <c r="U87" s="99"/>
      <c r="V87" s="99" t="n">
        <v>100</v>
      </c>
      <c r="W87" s="99"/>
      <c r="X87" s="99" t="n">
        <v>90</v>
      </c>
      <c r="Y87" s="99"/>
      <c r="Z87" s="128" t="n">
        <v>90</v>
      </c>
      <c r="AA87" s="122"/>
      <c r="AB87" s="122" t="n">
        <v>100</v>
      </c>
      <c r="AC87" s="99" t="n">
        <f aca="false">AB87+Z87+X87+V87+R87+O87+M87+O87</f>
        <v>780</v>
      </c>
      <c r="AD87" s="99" t="n">
        <f aca="false">(Y87+W87+U87+T87+P87+N87+P87)*100</f>
        <v>0</v>
      </c>
      <c r="AE87" s="99" t="n">
        <f aca="false">(0.8*AC87)+(0.2*AD87)</f>
        <v>624</v>
      </c>
      <c r="AF87" s="129" t="n">
        <f aca="false">75+((AE87-$AE$128)/($AE$127-$AE$128)*(90-75))</f>
        <v>87.0618556701031</v>
      </c>
      <c r="AG87" s="80" t="n">
        <v>100</v>
      </c>
      <c r="AH87" s="80" t="n">
        <v>100</v>
      </c>
      <c r="AJ87" s="80"/>
    </row>
    <row r="88" s="109" customFormat="true" ht="12.75" hidden="false" customHeight="true" outlineLevel="0" collapsed="false">
      <c r="A88" s="99" t="n">
        <v>10</v>
      </c>
      <c r="B88" s="99" t="n">
        <v>11</v>
      </c>
      <c r="C88" s="122" t="s">
        <v>100</v>
      </c>
      <c r="D88" s="94" t="n">
        <v>252610058</v>
      </c>
      <c r="E88" s="123" t="s">
        <v>821</v>
      </c>
      <c r="F88" s="124" t="s">
        <v>822</v>
      </c>
      <c r="G88" s="36" t="s">
        <v>822</v>
      </c>
      <c r="H88" s="125" t="s">
        <v>52</v>
      </c>
      <c r="I88" s="122" t="s">
        <v>703</v>
      </c>
      <c r="J88" s="126" t="n">
        <v>39944</v>
      </c>
      <c r="K88" s="122" t="s">
        <v>67</v>
      </c>
      <c r="L88" s="99" t="s">
        <v>54</v>
      </c>
      <c r="M88" s="127" t="n">
        <v>100</v>
      </c>
      <c r="N88" s="99"/>
      <c r="O88" s="99" t="n">
        <v>100</v>
      </c>
      <c r="P88" s="99"/>
      <c r="Q88" s="99"/>
      <c r="R88" s="99" t="n">
        <v>100</v>
      </c>
      <c r="S88" s="122"/>
      <c r="T88" s="99"/>
      <c r="U88" s="99"/>
      <c r="V88" s="99" t="n">
        <v>100</v>
      </c>
      <c r="W88" s="99"/>
      <c r="X88" s="99" t="n">
        <v>95</v>
      </c>
      <c r="Y88" s="99"/>
      <c r="Z88" s="128" t="n">
        <v>95</v>
      </c>
      <c r="AA88" s="122"/>
      <c r="AB88" s="122" t="n">
        <v>100</v>
      </c>
      <c r="AC88" s="99" t="n">
        <f aca="false">AB88+Z88+X88+V88+R88+O88+M88+O88</f>
        <v>790</v>
      </c>
      <c r="AD88" s="99" t="n">
        <f aca="false">(Y88+W88+U88+T88+P88+N88+P88)*100</f>
        <v>0</v>
      </c>
      <c r="AE88" s="99" t="n">
        <f aca="false">(0.8*AC88)+(0.2*AD88)</f>
        <v>632</v>
      </c>
      <c r="AF88" s="129" t="n">
        <f aca="false">75+((AE88-$AE$128)/($AE$127-$AE$128)*(90-75))</f>
        <v>87.2164948453608</v>
      </c>
      <c r="AG88" s="80" t="n">
        <v>100</v>
      </c>
      <c r="AH88" s="80" t="n">
        <v>100</v>
      </c>
      <c r="AJ88" s="80"/>
    </row>
    <row r="89" s="109" customFormat="true" ht="12.75" hidden="false" customHeight="true" outlineLevel="0" collapsed="false">
      <c r="A89" s="99" t="n">
        <v>11</v>
      </c>
      <c r="B89" s="99" t="n">
        <v>12</v>
      </c>
      <c r="C89" s="122" t="s">
        <v>106</v>
      </c>
      <c r="D89" s="94" t="n">
        <v>252610059</v>
      </c>
      <c r="E89" s="123" t="s">
        <v>823</v>
      </c>
      <c r="F89" s="124" t="s">
        <v>824</v>
      </c>
      <c r="G89" s="36" t="s">
        <v>824</v>
      </c>
      <c r="H89" s="125" t="s">
        <v>52</v>
      </c>
      <c r="I89" s="122" t="s">
        <v>687</v>
      </c>
      <c r="J89" s="126" t="n">
        <v>39825</v>
      </c>
      <c r="K89" s="122" t="s">
        <v>112</v>
      </c>
      <c r="L89" s="99" t="s">
        <v>54</v>
      </c>
      <c r="M89" s="127" t="n">
        <v>100</v>
      </c>
      <c r="N89" s="99"/>
      <c r="O89" s="99" t="n">
        <v>100</v>
      </c>
      <c r="P89" s="99"/>
      <c r="Q89" s="99"/>
      <c r="R89" s="99" t="n">
        <v>100</v>
      </c>
      <c r="S89" s="122"/>
      <c r="T89" s="99"/>
      <c r="U89" s="99"/>
      <c r="V89" s="99" t="n">
        <v>100</v>
      </c>
      <c r="W89" s="99"/>
      <c r="X89" s="99" t="n">
        <v>90</v>
      </c>
      <c r="Y89" s="99"/>
      <c r="Z89" s="128" t="n">
        <v>100</v>
      </c>
      <c r="AA89" s="122"/>
      <c r="AB89" s="122" t="n">
        <v>100</v>
      </c>
      <c r="AC89" s="99" t="n">
        <f aca="false">AB89+Z89+X89+V89+R89+O89+M89+O89</f>
        <v>790</v>
      </c>
      <c r="AD89" s="99" t="n">
        <f aca="false">(Y89+W89+U89+T89+P89+N89+P89)*100</f>
        <v>0</v>
      </c>
      <c r="AE89" s="99" t="n">
        <f aca="false">(0.8*AC89)+(0.2*AD89)</f>
        <v>632</v>
      </c>
      <c r="AF89" s="129" t="n">
        <f aca="false">75+((AE89-$AE$128)/($AE$127-$AE$128)*(90-75))</f>
        <v>87.2164948453608</v>
      </c>
      <c r="AG89" s="80" t="n">
        <v>100</v>
      </c>
      <c r="AH89" s="80" t="n">
        <v>100</v>
      </c>
      <c r="AJ89" s="80"/>
    </row>
    <row r="90" s="109" customFormat="true" ht="12.75" hidden="false" customHeight="true" outlineLevel="0" collapsed="false">
      <c r="A90" s="99" t="n">
        <v>12</v>
      </c>
      <c r="B90" s="99" t="n">
        <v>13</v>
      </c>
      <c r="C90" s="122" t="s">
        <v>113</v>
      </c>
      <c r="D90" s="94" t="n">
        <v>252610060</v>
      </c>
      <c r="E90" s="123" t="s">
        <v>825</v>
      </c>
      <c r="F90" s="124" t="s">
        <v>826</v>
      </c>
      <c r="G90" s="36" t="s">
        <v>826</v>
      </c>
      <c r="H90" s="125" t="s">
        <v>66</v>
      </c>
      <c r="I90" s="122" t="s">
        <v>687</v>
      </c>
      <c r="J90" s="126" t="n">
        <v>39925</v>
      </c>
      <c r="K90" s="122" t="s">
        <v>78</v>
      </c>
      <c r="L90" s="99" t="s">
        <v>54</v>
      </c>
      <c r="M90" s="127" t="n">
        <v>100</v>
      </c>
      <c r="N90" s="99"/>
      <c r="O90" s="99" t="n">
        <v>100</v>
      </c>
      <c r="P90" s="99"/>
      <c r="Q90" s="99"/>
      <c r="R90" s="99" t="n">
        <v>100</v>
      </c>
      <c r="S90" s="122"/>
      <c r="T90" s="99"/>
      <c r="U90" s="99" t="n">
        <v>1</v>
      </c>
      <c r="V90" s="99" t="n">
        <v>100</v>
      </c>
      <c r="W90" s="99"/>
      <c r="X90" s="99" t="n">
        <v>100</v>
      </c>
      <c r="Y90" s="99" t="n">
        <v>1</v>
      </c>
      <c r="Z90" s="128" t="n">
        <v>100</v>
      </c>
      <c r="AA90" s="122"/>
      <c r="AB90" s="122" t="n">
        <v>100</v>
      </c>
      <c r="AC90" s="99" t="n">
        <f aca="false">AB90+Z90+X90+V90+R90+O90+M90+O90</f>
        <v>800</v>
      </c>
      <c r="AD90" s="99" t="n">
        <f aca="false">(Y90+W90+U90+T90+P90+N90+P90)*100</f>
        <v>200</v>
      </c>
      <c r="AE90" s="99" t="n">
        <f aca="false">(0.8*AC90)+(0.2*AD90)</f>
        <v>680</v>
      </c>
      <c r="AF90" s="129" t="n">
        <f aca="false">75+((AE90-$AE$128)/($AE$127-$AE$128)*(90-75))</f>
        <v>88.1443298969072</v>
      </c>
      <c r="AG90" s="80" t="n">
        <v>100</v>
      </c>
      <c r="AH90" s="80" t="n">
        <v>100</v>
      </c>
      <c r="AJ90" s="80"/>
    </row>
    <row r="91" s="109" customFormat="true" ht="12.75" hidden="false" customHeight="true" outlineLevel="0" collapsed="false">
      <c r="A91" s="99" t="n">
        <v>13</v>
      </c>
      <c r="B91" s="99" t="n">
        <v>14</v>
      </c>
      <c r="C91" s="122" t="s">
        <v>118</v>
      </c>
      <c r="D91" s="94" t="n">
        <v>252610061</v>
      </c>
      <c r="E91" s="33" t="s">
        <v>827</v>
      </c>
      <c r="F91" s="124" t="s">
        <v>828</v>
      </c>
      <c r="G91" s="36" t="s">
        <v>828</v>
      </c>
      <c r="H91" s="125" t="s">
        <v>66</v>
      </c>
      <c r="I91" s="130" t="s">
        <v>687</v>
      </c>
      <c r="J91" s="126" t="n">
        <v>39836</v>
      </c>
      <c r="K91" s="122" t="s">
        <v>124</v>
      </c>
      <c r="L91" s="99" t="s">
        <v>54</v>
      </c>
      <c r="M91" s="127" t="n">
        <v>100</v>
      </c>
      <c r="N91" s="99"/>
      <c r="O91" s="99" t="n">
        <v>100</v>
      </c>
      <c r="P91" s="99" t="n">
        <v>1</v>
      </c>
      <c r="Q91" s="99"/>
      <c r="R91" s="99" t="n">
        <v>100</v>
      </c>
      <c r="S91" s="122"/>
      <c r="T91" s="99" t="n">
        <v>1</v>
      </c>
      <c r="U91" s="99" t="n">
        <v>1</v>
      </c>
      <c r="V91" s="99"/>
      <c r="W91" s="99"/>
      <c r="X91" s="99" t="n">
        <v>100</v>
      </c>
      <c r="Y91" s="99" t="n">
        <v>1</v>
      </c>
      <c r="Z91" s="128" t="n">
        <v>100</v>
      </c>
      <c r="AA91" s="122"/>
      <c r="AB91" s="122" t="n">
        <v>100</v>
      </c>
      <c r="AC91" s="99" t="n">
        <f aca="false">AB91+Z91+X91+V91+R91+O91+M91+O91</f>
        <v>700</v>
      </c>
      <c r="AD91" s="99" t="n">
        <f aca="false">(Y91+W91+U91+T91+P91+N91+P91)*100</f>
        <v>500</v>
      </c>
      <c r="AE91" s="99" t="n">
        <f aca="false">(0.8*AC91)+(0.2*AD91)</f>
        <v>660</v>
      </c>
      <c r="AF91" s="129" t="n">
        <f aca="false">75+((AE91-$AE$128)/($AE$127-$AE$128)*(90-75))</f>
        <v>87.7577319587629</v>
      </c>
      <c r="AG91" s="80" t="n">
        <v>100</v>
      </c>
      <c r="AH91" s="80" t="n">
        <v>0</v>
      </c>
      <c r="AJ91" s="80"/>
    </row>
    <row r="92" customFormat="false" ht="12.75" hidden="false" customHeight="true" outlineLevel="0" collapsed="false">
      <c r="A92" s="99" t="n">
        <v>14</v>
      </c>
      <c r="B92" s="99" t="n">
        <v>15</v>
      </c>
      <c r="C92" s="122" t="s">
        <v>125</v>
      </c>
      <c r="D92" s="94" t="n">
        <v>252610062</v>
      </c>
      <c r="E92" s="123" t="s">
        <v>829</v>
      </c>
      <c r="F92" s="124" t="s">
        <v>830</v>
      </c>
      <c r="G92" s="36" t="s">
        <v>830</v>
      </c>
      <c r="H92" s="125" t="s">
        <v>52</v>
      </c>
      <c r="I92" s="122" t="s">
        <v>681</v>
      </c>
      <c r="J92" s="126" t="n">
        <v>39668</v>
      </c>
      <c r="K92" s="122" t="s">
        <v>78</v>
      </c>
      <c r="L92" s="99" t="s">
        <v>54</v>
      </c>
      <c r="M92" s="127" t="n">
        <v>100</v>
      </c>
      <c r="N92" s="99"/>
      <c r="O92" s="99" t="n">
        <v>100</v>
      </c>
      <c r="P92" s="99" t="n">
        <v>1</v>
      </c>
      <c r="Q92" s="99"/>
      <c r="R92" s="99" t="n">
        <v>100</v>
      </c>
      <c r="S92" s="122"/>
      <c r="T92" s="99"/>
      <c r="U92" s="99"/>
      <c r="V92" s="99" t="n">
        <v>100</v>
      </c>
      <c r="W92" s="99"/>
      <c r="X92" s="99" t="n">
        <v>95</v>
      </c>
      <c r="Y92" s="99"/>
      <c r="Z92" s="128" t="n">
        <v>100</v>
      </c>
      <c r="AA92" s="122"/>
      <c r="AB92" s="122" t="n">
        <v>100</v>
      </c>
      <c r="AC92" s="99" t="n">
        <f aca="false">AB92+Z92+X92+V92+R92+O92+M92+O92</f>
        <v>795</v>
      </c>
      <c r="AD92" s="99" t="n">
        <f aca="false">(Y92+W92+U92+T92+P92+N92+P92)*100</f>
        <v>200</v>
      </c>
      <c r="AE92" s="99" t="n">
        <f aca="false">(0.8*AC92)+(0.2*AD92)</f>
        <v>676</v>
      </c>
      <c r="AF92" s="129" t="n">
        <f aca="false">75+((AE92-$AE$128)/($AE$127-$AE$128)*(90-75))</f>
        <v>88.0670103092783</v>
      </c>
      <c r="AG92" s="79" t="n">
        <v>100</v>
      </c>
      <c r="AH92" s="79" t="n">
        <v>100</v>
      </c>
    </row>
    <row r="93" customFormat="false" ht="12.75" hidden="false" customHeight="true" outlineLevel="0" collapsed="false">
      <c r="A93" s="99" t="n">
        <v>15</v>
      </c>
      <c r="B93" s="99" t="n">
        <v>16</v>
      </c>
      <c r="C93" s="122" t="s">
        <v>136</v>
      </c>
      <c r="D93" s="94" t="n">
        <v>252610063</v>
      </c>
      <c r="E93" s="33" t="s">
        <v>831</v>
      </c>
      <c r="F93" s="124" t="s">
        <v>832</v>
      </c>
      <c r="G93" s="36" t="s">
        <v>832</v>
      </c>
      <c r="H93" s="125" t="s">
        <v>52</v>
      </c>
      <c r="I93" s="122" t="s">
        <v>687</v>
      </c>
      <c r="J93" s="126" t="n">
        <v>39654</v>
      </c>
      <c r="K93" s="122" t="s">
        <v>112</v>
      </c>
      <c r="L93" s="99" t="s">
        <v>54</v>
      </c>
      <c r="M93" s="127" t="n">
        <v>100</v>
      </c>
      <c r="N93" s="99"/>
      <c r="O93" s="99" t="n">
        <v>100</v>
      </c>
      <c r="P93" s="99"/>
      <c r="Q93" s="99"/>
      <c r="R93" s="99" t="n">
        <v>100</v>
      </c>
      <c r="S93" s="122"/>
      <c r="T93" s="99"/>
      <c r="U93" s="99"/>
      <c r="V93" s="99" t="n">
        <v>100</v>
      </c>
      <c r="W93" s="99"/>
      <c r="X93" s="99" t="n">
        <v>90</v>
      </c>
      <c r="Y93" s="99"/>
      <c r="Z93" s="128" t="n">
        <v>90</v>
      </c>
      <c r="AA93" s="122"/>
      <c r="AB93" s="122"/>
      <c r="AC93" s="99" t="n">
        <f aca="false">AB93+Z93+X93+V93+R93+O93+M93+O93</f>
        <v>680</v>
      </c>
      <c r="AD93" s="99" t="n">
        <f aca="false">(Y93+W93+U93+T93+P93+N93+P93)*100</f>
        <v>0</v>
      </c>
      <c r="AE93" s="99" t="n">
        <f aca="false">(0.8*AC93)+(0.2*AD93)</f>
        <v>544</v>
      </c>
      <c r="AF93" s="129" t="n">
        <f aca="false">75+((AE93-$AE$128)/($AE$127-$AE$128)*(90-75))</f>
        <v>85.5154639175258</v>
      </c>
      <c r="AG93" s="80" t="n">
        <v>0</v>
      </c>
      <c r="AH93" s="80" t="n">
        <v>0</v>
      </c>
    </row>
    <row r="94" customFormat="false" ht="12.75" hidden="false" customHeight="true" outlineLevel="0" collapsed="false">
      <c r="A94" s="99" t="n">
        <v>16</v>
      </c>
      <c r="B94" s="99" t="n">
        <v>17</v>
      </c>
      <c r="C94" s="122" t="s">
        <v>715</v>
      </c>
      <c r="D94" s="94" t="n">
        <v>252610064</v>
      </c>
      <c r="E94" s="123" t="s">
        <v>833</v>
      </c>
      <c r="F94" s="124" t="s">
        <v>834</v>
      </c>
      <c r="G94" s="36" t="s">
        <v>834</v>
      </c>
      <c r="H94" s="125" t="s">
        <v>66</v>
      </c>
      <c r="I94" s="122" t="s">
        <v>681</v>
      </c>
      <c r="J94" s="126" t="n">
        <v>39732</v>
      </c>
      <c r="K94" s="122" t="s">
        <v>78</v>
      </c>
      <c r="L94" s="99" t="s">
        <v>54</v>
      </c>
      <c r="M94" s="127"/>
      <c r="N94" s="99"/>
      <c r="O94" s="99"/>
      <c r="P94" s="99"/>
      <c r="Q94" s="99"/>
      <c r="R94" s="99"/>
      <c r="S94" s="122"/>
      <c r="T94" s="99"/>
      <c r="U94" s="99"/>
      <c r="V94" s="99"/>
      <c r="W94" s="99"/>
      <c r="X94" s="99" t="n">
        <v>95</v>
      </c>
      <c r="Y94" s="99"/>
      <c r="Z94" s="128" t="n">
        <v>90</v>
      </c>
      <c r="AA94" s="122"/>
      <c r="AB94" s="122"/>
      <c r="AC94" s="99" t="n">
        <f aca="false">AB94+Z94+X94+V94+R94+O94+M94+O94</f>
        <v>185</v>
      </c>
      <c r="AD94" s="99" t="n">
        <f aca="false">(Y94+W94+U94+T94+P94+N94+P94)*100</f>
        <v>0</v>
      </c>
      <c r="AE94" s="99" t="n">
        <f aca="false">(0.8*AC94)+(0.2*AD94)</f>
        <v>148</v>
      </c>
      <c r="AF94" s="129" t="n">
        <f aca="false">75+((AE94-$AE$128)/($AE$127-$AE$128)*(90-75))</f>
        <v>77.860824742268</v>
      </c>
      <c r="AG94" s="79" t="n">
        <v>100</v>
      </c>
      <c r="AH94" s="80" t="n">
        <v>0</v>
      </c>
    </row>
    <row r="95" customFormat="false" ht="12.75" hidden="false" customHeight="true" outlineLevel="0" collapsed="false">
      <c r="A95" s="99" t="n">
        <v>17</v>
      </c>
      <c r="B95" s="99" t="n">
        <v>18</v>
      </c>
      <c r="C95" s="122" t="s">
        <v>141</v>
      </c>
      <c r="D95" s="94" t="n">
        <v>252610065</v>
      </c>
      <c r="E95" s="33" t="s">
        <v>835</v>
      </c>
      <c r="F95" s="124" t="s">
        <v>836</v>
      </c>
      <c r="G95" s="36" t="s">
        <v>836</v>
      </c>
      <c r="H95" s="125" t="s">
        <v>66</v>
      </c>
      <c r="I95" s="122" t="s">
        <v>687</v>
      </c>
      <c r="J95" s="126" t="n">
        <v>39765</v>
      </c>
      <c r="K95" s="122" t="s">
        <v>147</v>
      </c>
      <c r="L95" s="99" t="s">
        <v>54</v>
      </c>
      <c r="M95" s="127" t="n">
        <v>100</v>
      </c>
      <c r="N95" s="99" t="n">
        <v>1</v>
      </c>
      <c r="O95" s="99" t="n">
        <v>100</v>
      </c>
      <c r="P95" s="99"/>
      <c r="Q95" s="99"/>
      <c r="R95" s="99" t="n">
        <v>100</v>
      </c>
      <c r="S95" s="122"/>
      <c r="T95" s="99"/>
      <c r="U95" s="99" t="n">
        <v>1</v>
      </c>
      <c r="V95" s="99" t="n">
        <v>100</v>
      </c>
      <c r="W95" s="99"/>
      <c r="X95" s="99" t="n">
        <v>95</v>
      </c>
      <c r="Y95" s="99"/>
      <c r="Z95" s="128" t="n">
        <v>100</v>
      </c>
      <c r="AA95" s="122"/>
      <c r="AB95" s="122" t="n">
        <v>100</v>
      </c>
      <c r="AC95" s="99" t="n">
        <f aca="false">AB95+Z95+X95+V95+R95+O95+M95+O95</f>
        <v>795</v>
      </c>
      <c r="AD95" s="99" t="n">
        <f aca="false">(Y95+W95+U95+T95+P95+N95+P95)*100</f>
        <v>200</v>
      </c>
      <c r="AE95" s="99" t="n">
        <f aca="false">(0.8*AC95)+(0.2*AD95)</f>
        <v>676</v>
      </c>
      <c r="AF95" s="129" t="n">
        <f aca="false">75+((AE95-$AE$128)/($AE$127-$AE$128)*(90-75))</f>
        <v>88.0670103092783</v>
      </c>
      <c r="AG95" s="79" t="n">
        <v>100</v>
      </c>
      <c r="AH95" s="79" t="n">
        <v>100</v>
      </c>
    </row>
    <row r="96" customFormat="false" ht="12.75" hidden="false" customHeight="true" outlineLevel="0" collapsed="false">
      <c r="A96" s="99" t="n">
        <v>18</v>
      </c>
      <c r="B96" s="99" t="n">
        <v>19</v>
      </c>
      <c r="C96" s="122" t="s">
        <v>148</v>
      </c>
      <c r="D96" s="94" t="n">
        <v>252610066</v>
      </c>
      <c r="E96" s="123" t="s">
        <v>837</v>
      </c>
      <c r="F96" s="124" t="s">
        <v>838</v>
      </c>
      <c r="G96" s="36" t="s">
        <v>838</v>
      </c>
      <c r="H96" s="125" t="s">
        <v>66</v>
      </c>
      <c r="I96" s="130" t="s">
        <v>687</v>
      </c>
      <c r="J96" s="126" t="n">
        <v>39736</v>
      </c>
      <c r="K96" s="122" t="s">
        <v>124</v>
      </c>
      <c r="L96" s="99" t="s">
        <v>54</v>
      </c>
      <c r="M96" s="127"/>
      <c r="N96" s="99"/>
      <c r="O96" s="99" t="n">
        <v>100</v>
      </c>
      <c r="P96" s="99"/>
      <c r="Q96" s="99"/>
      <c r="R96" s="99" t="n">
        <v>100</v>
      </c>
      <c r="S96" s="122"/>
      <c r="T96" s="99"/>
      <c r="U96" s="99"/>
      <c r="V96" s="99"/>
      <c r="W96" s="99"/>
      <c r="X96" s="99"/>
      <c r="Y96" s="99"/>
      <c r="Z96" s="128"/>
      <c r="AA96" s="122"/>
      <c r="AB96" s="122"/>
      <c r="AC96" s="99" t="n">
        <f aca="false">AB96+Z96+X96+V96+R96+O96+M96+O96</f>
        <v>300</v>
      </c>
      <c r="AD96" s="99" t="n">
        <f aca="false">(Y96+W96+U96+T96+P96+N96+P96)*100</f>
        <v>0</v>
      </c>
      <c r="AE96" s="99" t="n">
        <f aca="false">(0.8*AC96)+(0.2*AD96)</f>
        <v>240</v>
      </c>
      <c r="AF96" s="129" t="n">
        <f aca="false">75+((AE96-$AE$128)/($AE$127-$AE$128)*(90-75))</f>
        <v>79.639175257732</v>
      </c>
      <c r="AG96" s="80" t="n">
        <v>0</v>
      </c>
      <c r="AH96" s="80" t="n">
        <v>0</v>
      </c>
    </row>
    <row r="97" customFormat="false" ht="12.75" hidden="false" customHeight="true" outlineLevel="0" collapsed="false">
      <c r="A97" s="99" t="n">
        <v>19</v>
      </c>
      <c r="B97" s="99" t="n">
        <v>20</v>
      </c>
      <c r="C97" s="122" t="s">
        <v>154</v>
      </c>
      <c r="D97" s="94" t="n">
        <v>252610067</v>
      </c>
      <c r="E97" s="123" t="s">
        <v>839</v>
      </c>
      <c r="F97" s="124" t="s">
        <v>840</v>
      </c>
      <c r="G97" s="36" t="s">
        <v>840</v>
      </c>
      <c r="H97" s="125" t="s">
        <v>66</v>
      </c>
      <c r="I97" s="122" t="s">
        <v>681</v>
      </c>
      <c r="J97" s="126" t="n">
        <v>39768</v>
      </c>
      <c r="K97" s="122" t="s">
        <v>67</v>
      </c>
      <c r="L97" s="99" t="s">
        <v>54</v>
      </c>
      <c r="M97" s="127" t="n">
        <v>100</v>
      </c>
      <c r="N97" s="99"/>
      <c r="O97" s="99" t="n">
        <v>100</v>
      </c>
      <c r="P97" s="99"/>
      <c r="Q97" s="99"/>
      <c r="R97" s="99" t="n">
        <v>100</v>
      </c>
      <c r="S97" s="122"/>
      <c r="T97" s="99"/>
      <c r="U97" s="99"/>
      <c r="V97" s="99" t="n">
        <v>100</v>
      </c>
      <c r="W97" s="99"/>
      <c r="X97" s="99" t="n">
        <v>85</v>
      </c>
      <c r="Y97" s="99"/>
      <c r="Z97" s="128" t="n">
        <v>90</v>
      </c>
      <c r="AA97" s="122"/>
      <c r="AB97" s="122" t="n">
        <v>100</v>
      </c>
      <c r="AC97" s="99" t="n">
        <f aca="false">AB97+Z97+X97+V97+R97+O97+M97+O97</f>
        <v>775</v>
      </c>
      <c r="AD97" s="99" t="n">
        <f aca="false">(Y97+W97+U97+T97+P97+N97+P97)*100</f>
        <v>0</v>
      </c>
      <c r="AE97" s="99" t="n">
        <f aca="false">(0.8*AC97)+(0.2*AD97)</f>
        <v>620</v>
      </c>
      <c r="AF97" s="129" t="n">
        <f aca="false">75+((AE97-$AE$128)/($AE$127-$AE$128)*(90-75))</f>
        <v>86.9845360824742</v>
      </c>
      <c r="AG97" s="79" t="n">
        <v>100</v>
      </c>
      <c r="AH97" s="79" t="n">
        <v>100</v>
      </c>
    </row>
    <row r="98" customFormat="false" ht="12.75" hidden="false" customHeight="true" outlineLevel="0" collapsed="false">
      <c r="A98" s="99" t="n">
        <v>20</v>
      </c>
      <c r="B98" s="99" t="n">
        <v>21</v>
      </c>
      <c r="C98" s="122" t="s">
        <v>159</v>
      </c>
      <c r="D98" s="94" t="n">
        <v>252610068</v>
      </c>
      <c r="E98" s="123" t="s">
        <v>841</v>
      </c>
      <c r="F98" s="124" t="s">
        <v>842</v>
      </c>
      <c r="G98" s="36" t="s">
        <v>842</v>
      </c>
      <c r="H98" s="125" t="s">
        <v>52</v>
      </c>
      <c r="I98" s="122" t="s">
        <v>687</v>
      </c>
      <c r="J98" s="126" t="n">
        <v>39896</v>
      </c>
      <c r="K98" s="122" t="s">
        <v>78</v>
      </c>
      <c r="L98" s="99" t="s">
        <v>54</v>
      </c>
      <c r="M98" s="127" t="n">
        <v>100</v>
      </c>
      <c r="N98" s="99"/>
      <c r="O98" s="99" t="n">
        <v>100</v>
      </c>
      <c r="P98" s="99"/>
      <c r="Q98" s="99"/>
      <c r="R98" s="99" t="n">
        <v>100</v>
      </c>
      <c r="S98" s="122"/>
      <c r="T98" s="99"/>
      <c r="U98" s="99"/>
      <c r="V98" s="99" t="n">
        <v>100</v>
      </c>
      <c r="W98" s="99"/>
      <c r="X98" s="99" t="n">
        <v>85</v>
      </c>
      <c r="Y98" s="99"/>
      <c r="Z98" s="128" t="n">
        <v>90</v>
      </c>
      <c r="AA98" s="122"/>
      <c r="AB98" s="122" t="n">
        <v>100</v>
      </c>
      <c r="AC98" s="99" t="n">
        <f aca="false">AB98+Z98+X98+V98+R98+O98+M98+O98</f>
        <v>775</v>
      </c>
      <c r="AD98" s="99" t="n">
        <f aca="false">(Y98+W98+U98+T98+P98+N98+P98)*100</f>
        <v>0</v>
      </c>
      <c r="AE98" s="99" t="n">
        <f aca="false">(0.8*AC98)+(0.2*AD98)</f>
        <v>620</v>
      </c>
      <c r="AF98" s="129" t="n">
        <f aca="false">75+((AE98-$AE$128)/($AE$127-$AE$128)*(90-75))</f>
        <v>86.9845360824742</v>
      </c>
      <c r="AG98" s="79" t="n">
        <v>100</v>
      </c>
      <c r="AH98" s="79" t="n">
        <v>100</v>
      </c>
    </row>
    <row r="99" customFormat="false" ht="12.75" hidden="false" customHeight="true" outlineLevel="0" collapsed="false">
      <c r="A99" s="99" t="n">
        <v>21</v>
      </c>
      <c r="B99" s="99" t="n">
        <v>22</v>
      </c>
      <c r="C99" s="122" t="s">
        <v>164</v>
      </c>
      <c r="D99" s="94" t="n">
        <v>252610069</v>
      </c>
      <c r="E99" s="33" t="s">
        <v>843</v>
      </c>
      <c r="F99" s="124" t="s">
        <v>844</v>
      </c>
      <c r="G99" s="36" t="s">
        <v>844</v>
      </c>
      <c r="H99" s="125" t="s">
        <v>52</v>
      </c>
      <c r="I99" s="122" t="s">
        <v>687</v>
      </c>
      <c r="J99" s="126" t="n">
        <v>40031</v>
      </c>
      <c r="K99" s="122" t="s">
        <v>78</v>
      </c>
      <c r="L99" s="99" t="s">
        <v>54</v>
      </c>
      <c r="M99" s="127" t="n">
        <v>100</v>
      </c>
      <c r="N99" s="99"/>
      <c r="O99" s="99" t="n">
        <v>100</v>
      </c>
      <c r="P99" s="99"/>
      <c r="Q99" s="99"/>
      <c r="R99" s="99" t="n">
        <v>100</v>
      </c>
      <c r="S99" s="122"/>
      <c r="T99" s="99"/>
      <c r="U99" s="99"/>
      <c r="V99" s="99" t="n">
        <v>100</v>
      </c>
      <c r="W99" s="99"/>
      <c r="X99" s="99" t="n">
        <v>85</v>
      </c>
      <c r="Y99" s="99"/>
      <c r="Z99" s="128" t="n">
        <v>90</v>
      </c>
      <c r="AA99" s="122"/>
      <c r="AB99" s="122" t="n">
        <v>100</v>
      </c>
      <c r="AC99" s="99" t="n">
        <f aca="false">AB99+Z99+X99+V99+R99+O99+M99+O99</f>
        <v>775</v>
      </c>
      <c r="AD99" s="99" t="n">
        <f aca="false">(Y99+W99+U99+T99+P99+N99+P99)*100</f>
        <v>0</v>
      </c>
      <c r="AE99" s="99" t="n">
        <f aca="false">(0.8*AC99)+(0.2*AD99)</f>
        <v>620</v>
      </c>
      <c r="AF99" s="129" t="n">
        <f aca="false">75+((AE99-$AE$128)/($AE$127-$AE$128)*(90-75))</f>
        <v>86.9845360824742</v>
      </c>
      <c r="AG99" s="79" t="n">
        <v>100</v>
      </c>
      <c r="AH99" s="79" t="n">
        <v>100</v>
      </c>
    </row>
    <row r="100" customFormat="false" ht="12.75" hidden="false" customHeight="true" outlineLevel="0" collapsed="false">
      <c r="A100" s="99" t="n">
        <v>22</v>
      </c>
      <c r="B100" s="99" t="n">
        <v>296</v>
      </c>
      <c r="C100" s="122" t="s">
        <v>170</v>
      </c>
      <c r="D100" s="94" t="n">
        <v>252610070</v>
      </c>
      <c r="E100" s="123" t="s">
        <v>845</v>
      </c>
      <c r="F100" s="124" t="s">
        <v>846</v>
      </c>
      <c r="G100" s="36" t="s">
        <v>846</v>
      </c>
      <c r="H100" s="131" t="s">
        <v>66</v>
      </c>
      <c r="I100" s="122" t="s">
        <v>687</v>
      </c>
      <c r="J100" s="126" t="n">
        <v>39926</v>
      </c>
      <c r="K100" s="122" t="s">
        <v>147</v>
      </c>
      <c r="L100" s="99" t="s">
        <v>54</v>
      </c>
      <c r="M100" s="127" t="n">
        <v>100</v>
      </c>
      <c r="N100" s="99" t="n">
        <v>1</v>
      </c>
      <c r="O100" s="99" t="n">
        <v>100</v>
      </c>
      <c r="P100" s="99"/>
      <c r="Q100" s="99"/>
      <c r="R100" s="99" t="n">
        <v>100</v>
      </c>
      <c r="S100" s="122"/>
      <c r="T100" s="99"/>
      <c r="U100" s="99"/>
      <c r="V100" s="99" t="n">
        <v>100</v>
      </c>
      <c r="W100" s="99"/>
      <c r="X100" s="99" t="n">
        <v>95</v>
      </c>
      <c r="Y100" s="99"/>
      <c r="Z100" s="128" t="n">
        <v>90</v>
      </c>
      <c r="AA100" s="122"/>
      <c r="AB100" s="122"/>
      <c r="AC100" s="99" t="n">
        <f aca="false">AB100+Z100+X100+V100+R100+O100+M100+O100</f>
        <v>685</v>
      </c>
      <c r="AD100" s="99" t="n">
        <f aca="false">(Y100+W100+U100+T100+P100+N100+P100)*100</f>
        <v>100</v>
      </c>
      <c r="AE100" s="99" t="n">
        <f aca="false">(0.8*AC100)+(0.2*AD100)</f>
        <v>568</v>
      </c>
      <c r="AF100" s="129" t="n">
        <f aca="false">75+((AE100-$AE$128)/($AE$127-$AE$128)*(90-75))</f>
        <v>85.979381443299</v>
      </c>
      <c r="AG100" s="79" t="n">
        <v>100</v>
      </c>
      <c r="AH100" s="79" t="n">
        <v>100</v>
      </c>
    </row>
    <row r="101" customFormat="false" ht="12.75" hidden="false" customHeight="true" outlineLevel="0" collapsed="false">
      <c r="A101" s="99" t="n">
        <v>23</v>
      </c>
      <c r="B101" s="99" t="n">
        <v>23</v>
      </c>
      <c r="C101" s="122" t="s">
        <v>175</v>
      </c>
      <c r="D101" s="94" t="n">
        <v>252610071</v>
      </c>
      <c r="E101" s="123" t="s">
        <v>847</v>
      </c>
      <c r="F101" s="124" t="s">
        <v>848</v>
      </c>
      <c r="G101" s="36" t="s">
        <v>848</v>
      </c>
      <c r="H101" s="125" t="s">
        <v>66</v>
      </c>
      <c r="I101" s="122" t="s">
        <v>687</v>
      </c>
      <c r="J101" s="126" t="n">
        <v>39669</v>
      </c>
      <c r="K101" s="122" t="s">
        <v>112</v>
      </c>
      <c r="L101" s="99" t="s">
        <v>54</v>
      </c>
      <c r="M101" s="127"/>
      <c r="N101" s="99" t="n">
        <v>1</v>
      </c>
      <c r="O101" s="99" t="n">
        <v>100</v>
      </c>
      <c r="P101" s="99"/>
      <c r="Q101" s="99"/>
      <c r="R101" s="99" t="n">
        <v>100</v>
      </c>
      <c r="S101" s="122"/>
      <c r="T101" s="99"/>
      <c r="U101" s="99" t="n">
        <v>1</v>
      </c>
      <c r="V101" s="99"/>
      <c r="W101" s="99"/>
      <c r="X101" s="99" t="n">
        <v>90</v>
      </c>
      <c r="Y101" s="99"/>
      <c r="Z101" s="128" t="n">
        <v>90</v>
      </c>
      <c r="AA101" s="122"/>
      <c r="AB101" s="122"/>
      <c r="AC101" s="99" t="n">
        <f aca="false">AB101+Z101+X101+V101+R101+O101+M101+O101</f>
        <v>480</v>
      </c>
      <c r="AD101" s="99" t="n">
        <f aca="false">(Y101+W101+U101+T101+P101+N101+P101)*100</f>
        <v>200</v>
      </c>
      <c r="AE101" s="99" t="n">
        <f aca="false">(0.8*AC101)+(0.2*AD101)</f>
        <v>424</v>
      </c>
      <c r="AF101" s="129" t="n">
        <f aca="false">75+((AE101-$AE$128)/($AE$127-$AE$128)*(90-75))</f>
        <v>83.1958762886598</v>
      </c>
      <c r="AG101" s="79" t="n">
        <v>100</v>
      </c>
      <c r="AH101" s="80" t="n">
        <v>0</v>
      </c>
    </row>
    <row r="102" customFormat="false" ht="12.75" hidden="false" customHeight="true" outlineLevel="0" collapsed="false">
      <c r="A102" s="99" t="n">
        <v>24</v>
      </c>
      <c r="B102" s="99" t="n">
        <v>24</v>
      </c>
      <c r="C102" s="122" t="s">
        <v>181</v>
      </c>
      <c r="D102" s="94" t="n">
        <v>252610072</v>
      </c>
      <c r="E102" s="123" t="s">
        <v>849</v>
      </c>
      <c r="F102" s="124" t="s">
        <v>850</v>
      </c>
      <c r="G102" s="36" t="s">
        <v>850</v>
      </c>
      <c r="H102" s="125" t="s">
        <v>66</v>
      </c>
      <c r="I102" s="122" t="s">
        <v>687</v>
      </c>
      <c r="J102" s="126" t="n">
        <v>39911</v>
      </c>
      <c r="K102" s="122" t="s">
        <v>60</v>
      </c>
      <c r="L102" s="99" t="s">
        <v>54</v>
      </c>
      <c r="M102" s="127"/>
      <c r="N102" s="99"/>
      <c r="O102" s="99"/>
      <c r="P102" s="99"/>
      <c r="Q102" s="99"/>
      <c r="R102" s="99"/>
      <c r="S102" s="122"/>
      <c r="T102" s="99"/>
      <c r="U102" s="99" t="n">
        <v>1</v>
      </c>
      <c r="V102" s="99" t="n">
        <v>100</v>
      </c>
      <c r="W102" s="99"/>
      <c r="X102" s="99" t="n">
        <v>85</v>
      </c>
      <c r="Y102" s="99"/>
      <c r="Z102" s="128" t="n">
        <v>90</v>
      </c>
      <c r="AA102" s="122"/>
      <c r="AB102" s="122" t="n">
        <v>100</v>
      </c>
      <c r="AC102" s="99" t="n">
        <f aca="false">AB102+Z102+X102+V102+R102+O102+M102+O102</f>
        <v>375</v>
      </c>
      <c r="AD102" s="99" t="n">
        <f aca="false">(Y102+W102+U102+T102+P102+N102+P102)*100</f>
        <v>100</v>
      </c>
      <c r="AE102" s="99" t="n">
        <f aca="false">(0.8*AC102)+(0.2*AD102)</f>
        <v>320</v>
      </c>
      <c r="AF102" s="129" t="n">
        <f aca="false">75+((AE102-$AE$128)/($AE$127-$AE$128)*(90-75))</f>
        <v>81.1855670103093</v>
      </c>
      <c r="AG102" s="80" t="n">
        <v>0</v>
      </c>
      <c r="AH102" s="79" t="n">
        <v>100</v>
      </c>
    </row>
    <row r="103" s="80" customFormat="true" ht="12.75" hidden="false" customHeight="true" outlineLevel="0" collapsed="false">
      <c r="A103" s="99" t="n">
        <v>25</v>
      </c>
      <c r="B103" s="99" t="n">
        <v>25</v>
      </c>
      <c r="C103" s="122" t="s">
        <v>187</v>
      </c>
      <c r="D103" s="94" t="n">
        <v>252610073</v>
      </c>
      <c r="E103" s="123" t="s">
        <v>851</v>
      </c>
      <c r="F103" s="124" t="s">
        <v>852</v>
      </c>
      <c r="G103" s="36" t="s">
        <v>852</v>
      </c>
      <c r="H103" s="125" t="s">
        <v>66</v>
      </c>
      <c r="I103" s="122" t="s">
        <v>684</v>
      </c>
      <c r="J103" s="126" t="n">
        <v>39728</v>
      </c>
      <c r="K103" s="122" t="s">
        <v>78</v>
      </c>
      <c r="L103" s="99" t="s">
        <v>54</v>
      </c>
      <c r="M103" s="127" t="n">
        <v>100</v>
      </c>
      <c r="N103" s="99"/>
      <c r="O103" s="99"/>
      <c r="P103" s="99"/>
      <c r="Q103" s="99"/>
      <c r="R103" s="99" t="n">
        <v>100</v>
      </c>
      <c r="S103" s="122"/>
      <c r="T103" s="99"/>
      <c r="U103" s="99"/>
      <c r="V103" s="99" t="n">
        <v>100</v>
      </c>
      <c r="W103" s="99"/>
      <c r="X103" s="99" t="n">
        <v>100</v>
      </c>
      <c r="Y103" s="99"/>
      <c r="Z103" s="128" t="n">
        <v>90</v>
      </c>
      <c r="AA103" s="122"/>
      <c r="AB103" s="122" t="n">
        <v>100</v>
      </c>
      <c r="AC103" s="99" t="n">
        <f aca="false">AB103+Z103+X103+V103+R103+O103+M103+O103</f>
        <v>590</v>
      </c>
      <c r="AD103" s="99" t="n">
        <f aca="false">(Y103+W103+U103+T103+P103+N103+P103)*100</f>
        <v>0</v>
      </c>
      <c r="AE103" s="99" t="n">
        <f aca="false">(0.8*AC103)+(0.2*AD103)</f>
        <v>472</v>
      </c>
      <c r="AF103" s="129" t="n">
        <f aca="false">75+((AE103-$AE$128)/($AE$127-$AE$128)*(90-75))</f>
        <v>84.1237113402062</v>
      </c>
      <c r="AG103" s="80" t="n">
        <v>100</v>
      </c>
      <c r="AH103" s="80" t="n">
        <v>0</v>
      </c>
    </row>
    <row r="104" customFormat="false" ht="12.75" hidden="false" customHeight="true" outlineLevel="0" collapsed="false">
      <c r="A104" s="99" t="n">
        <v>26</v>
      </c>
      <c r="B104" s="99" t="n">
        <v>26</v>
      </c>
      <c r="C104" s="122" t="s">
        <v>193</v>
      </c>
      <c r="D104" s="94" t="n">
        <v>252610074</v>
      </c>
      <c r="E104" s="123" t="s">
        <v>853</v>
      </c>
      <c r="F104" s="124" t="s">
        <v>854</v>
      </c>
      <c r="G104" s="36" t="s">
        <v>854</v>
      </c>
      <c r="H104" s="125" t="s">
        <v>66</v>
      </c>
      <c r="I104" s="122" t="s">
        <v>681</v>
      </c>
      <c r="J104" s="126" t="n">
        <v>39846</v>
      </c>
      <c r="K104" s="122" t="s">
        <v>67</v>
      </c>
      <c r="L104" s="99" t="s">
        <v>54</v>
      </c>
      <c r="M104" s="127" t="n">
        <v>100</v>
      </c>
      <c r="N104" s="99" t="n">
        <v>1</v>
      </c>
      <c r="O104" s="99" t="n">
        <v>100</v>
      </c>
      <c r="P104" s="99"/>
      <c r="Q104" s="99"/>
      <c r="R104" s="99" t="n">
        <v>100</v>
      </c>
      <c r="S104" s="122"/>
      <c r="T104" s="99"/>
      <c r="U104" s="99"/>
      <c r="V104" s="99" t="n">
        <v>100</v>
      </c>
      <c r="W104" s="99"/>
      <c r="X104" s="99" t="n">
        <v>100</v>
      </c>
      <c r="Y104" s="99"/>
      <c r="Z104" s="128" t="n">
        <v>95</v>
      </c>
      <c r="AA104" s="122"/>
      <c r="AB104" s="122" t="n">
        <v>100</v>
      </c>
      <c r="AC104" s="99" t="n">
        <f aca="false">AB104+Z104+X104+V104+R104+O104+M104+O104</f>
        <v>795</v>
      </c>
      <c r="AD104" s="99" t="n">
        <f aca="false">(Y104+W104+U104+T104+P104+N104+P104)*100</f>
        <v>100</v>
      </c>
      <c r="AE104" s="99" t="n">
        <f aca="false">(0.8*AC104)+(0.2*AD104)</f>
        <v>656</v>
      </c>
      <c r="AF104" s="129" t="n">
        <f aca="false">75+((AE104-$AE$128)/($AE$127-$AE$128)*(90-75))</f>
        <v>87.680412371134</v>
      </c>
      <c r="AG104" s="79" t="n">
        <v>100</v>
      </c>
      <c r="AH104" s="79" t="n">
        <v>100</v>
      </c>
    </row>
    <row r="105" customFormat="false" ht="12.75" hidden="false" customHeight="true" outlineLevel="0" collapsed="false">
      <c r="A105" s="99" t="n">
        <v>27</v>
      </c>
      <c r="B105" s="99" t="n">
        <v>27</v>
      </c>
      <c r="C105" s="122" t="s">
        <v>199</v>
      </c>
      <c r="D105" s="94" t="n">
        <v>252610075</v>
      </c>
      <c r="E105" s="123" t="s">
        <v>855</v>
      </c>
      <c r="F105" s="124" t="s">
        <v>856</v>
      </c>
      <c r="G105" s="36" t="s">
        <v>856</v>
      </c>
      <c r="H105" s="125" t="s">
        <v>52</v>
      </c>
      <c r="I105" s="122" t="s">
        <v>687</v>
      </c>
      <c r="J105" s="126" t="n">
        <v>39769</v>
      </c>
      <c r="K105" s="122" t="s">
        <v>78</v>
      </c>
      <c r="L105" s="99" t="s">
        <v>54</v>
      </c>
      <c r="M105" s="127" t="n">
        <v>100</v>
      </c>
      <c r="N105" s="99"/>
      <c r="O105" s="99" t="n">
        <v>100</v>
      </c>
      <c r="P105" s="99"/>
      <c r="Q105" s="99"/>
      <c r="R105" s="99" t="n">
        <v>100</v>
      </c>
      <c r="S105" s="122"/>
      <c r="T105" s="99"/>
      <c r="U105" s="99"/>
      <c r="V105" s="99" t="n">
        <v>100</v>
      </c>
      <c r="W105" s="99"/>
      <c r="X105" s="99" t="n">
        <v>90</v>
      </c>
      <c r="Y105" s="99"/>
      <c r="Z105" s="128" t="n">
        <v>90</v>
      </c>
      <c r="AA105" s="122"/>
      <c r="AB105" s="122" t="n">
        <v>100</v>
      </c>
      <c r="AC105" s="99" t="n">
        <f aca="false">AB105+Z105+X105+V105+R105+O105+M105+O105</f>
        <v>780</v>
      </c>
      <c r="AD105" s="99" t="n">
        <f aca="false">(Y105+W105+U105+T105+P105+N105+P105)*100</f>
        <v>0</v>
      </c>
      <c r="AE105" s="99" t="n">
        <f aca="false">(0.8*AC105)+(0.2*AD105)</f>
        <v>624</v>
      </c>
      <c r="AF105" s="129" t="n">
        <f aca="false">75+((AE105-$AE$128)/($AE$127-$AE$128)*(90-75))</f>
        <v>87.0618556701031</v>
      </c>
      <c r="AG105" s="79" t="n">
        <v>100</v>
      </c>
      <c r="AH105" s="79" t="n">
        <v>100</v>
      </c>
    </row>
    <row r="106" customFormat="false" ht="12.75" hidden="false" customHeight="true" outlineLevel="0" collapsed="false">
      <c r="A106" s="99" t="n">
        <v>28</v>
      </c>
      <c r="B106" s="99" t="n">
        <v>28</v>
      </c>
      <c r="C106" s="122" t="s">
        <v>204</v>
      </c>
      <c r="D106" s="94" t="n">
        <v>252610076</v>
      </c>
      <c r="E106" s="123" t="s">
        <v>857</v>
      </c>
      <c r="F106" s="124" t="s">
        <v>858</v>
      </c>
      <c r="G106" s="36" t="s">
        <v>858</v>
      </c>
      <c r="H106" s="125" t="s">
        <v>52</v>
      </c>
      <c r="I106" s="122" t="s">
        <v>687</v>
      </c>
      <c r="J106" s="126" t="n">
        <v>39862</v>
      </c>
      <c r="K106" s="122" t="s">
        <v>60</v>
      </c>
      <c r="L106" s="99" t="s">
        <v>54</v>
      </c>
      <c r="M106" s="127" t="n">
        <v>100</v>
      </c>
      <c r="N106" s="99" t="n">
        <v>1</v>
      </c>
      <c r="O106" s="99" t="n">
        <v>100</v>
      </c>
      <c r="P106" s="99"/>
      <c r="Q106" s="99"/>
      <c r="R106" s="99" t="n">
        <v>100</v>
      </c>
      <c r="S106" s="122"/>
      <c r="T106" s="99" t="n">
        <v>1</v>
      </c>
      <c r="U106" s="99"/>
      <c r="V106" s="99" t="n">
        <v>100</v>
      </c>
      <c r="W106" s="99" t="n">
        <v>3</v>
      </c>
      <c r="X106" s="99" t="n">
        <v>100</v>
      </c>
      <c r="Y106" s="99"/>
      <c r="Z106" s="128" t="n">
        <v>100</v>
      </c>
      <c r="AA106" s="122"/>
      <c r="AB106" s="122" t="n">
        <v>100</v>
      </c>
      <c r="AC106" s="99" t="n">
        <f aca="false">AB106+Z106+X106+V106+R106+O106+M106+O106</f>
        <v>800</v>
      </c>
      <c r="AD106" s="99" t="n">
        <f aca="false">(Y106+W106+U106+T106+P106+N106+P106)*100</f>
        <v>500</v>
      </c>
      <c r="AE106" s="99" t="n">
        <f aca="false">(0.8*AC106)+(0.2*AD106)</f>
        <v>740</v>
      </c>
      <c r="AF106" s="129" t="n">
        <f aca="false">75+((AE106-$AE$128)/($AE$127-$AE$128)*(90-75))</f>
        <v>89.3041237113402</v>
      </c>
      <c r="AG106" s="79" t="n">
        <v>100</v>
      </c>
      <c r="AH106" s="79" t="n">
        <v>100</v>
      </c>
    </row>
    <row r="107" customFormat="false" ht="12.75" hidden="false" customHeight="true" outlineLevel="0" collapsed="false">
      <c r="A107" s="99" t="n">
        <v>29</v>
      </c>
      <c r="B107" s="99" t="n">
        <v>30</v>
      </c>
      <c r="C107" s="122" t="s">
        <v>215</v>
      </c>
      <c r="D107" s="94" t="n">
        <v>252610077</v>
      </c>
      <c r="E107" s="123" t="s">
        <v>859</v>
      </c>
      <c r="F107" s="124" t="s">
        <v>860</v>
      </c>
      <c r="G107" s="36" t="s">
        <v>860</v>
      </c>
      <c r="H107" s="125" t="s">
        <v>52</v>
      </c>
      <c r="I107" s="122" t="s">
        <v>687</v>
      </c>
      <c r="J107" s="126" t="n">
        <v>39566</v>
      </c>
      <c r="K107" s="122" t="s">
        <v>78</v>
      </c>
      <c r="L107" s="99" t="s">
        <v>54</v>
      </c>
      <c r="M107" s="127" t="n">
        <v>100</v>
      </c>
      <c r="N107" s="99"/>
      <c r="O107" s="99" t="n">
        <v>100</v>
      </c>
      <c r="P107" s="99"/>
      <c r="Q107" s="99"/>
      <c r="R107" s="99" t="n">
        <v>100</v>
      </c>
      <c r="S107" s="122"/>
      <c r="T107" s="99"/>
      <c r="U107" s="99" t="n">
        <v>2</v>
      </c>
      <c r="V107" s="99" t="n">
        <v>100</v>
      </c>
      <c r="W107" s="99" t="n">
        <v>3</v>
      </c>
      <c r="X107" s="99" t="n">
        <v>100</v>
      </c>
      <c r="Y107" s="99"/>
      <c r="Z107" s="128" t="n">
        <v>100</v>
      </c>
      <c r="AA107" s="122"/>
      <c r="AB107" s="122" t="n">
        <v>100</v>
      </c>
      <c r="AC107" s="99" t="n">
        <f aca="false">AB107+Z107+X107+V107+R107+O107+M107+O107</f>
        <v>800</v>
      </c>
      <c r="AD107" s="99" t="n">
        <f aca="false">(Y107+W107+U107+T107+P107+N107+P107)*100</f>
        <v>500</v>
      </c>
      <c r="AE107" s="99" t="n">
        <f aca="false">(0.8*AC107)+(0.2*AD107)</f>
        <v>740</v>
      </c>
      <c r="AF107" s="129" t="n">
        <f aca="false">75+((AE107-$AE$128)/($AE$127-$AE$128)*(90-75))</f>
        <v>89.3041237113402</v>
      </c>
      <c r="AG107" s="79" t="n">
        <v>100</v>
      </c>
      <c r="AH107" s="79" t="n">
        <v>100</v>
      </c>
    </row>
    <row r="108" customFormat="false" ht="12.75" hidden="false" customHeight="true" outlineLevel="0" collapsed="false">
      <c r="A108" s="99" t="n">
        <v>30</v>
      </c>
      <c r="B108" s="99" t="n">
        <v>31</v>
      </c>
      <c r="C108" s="122" t="s">
        <v>218</v>
      </c>
      <c r="D108" s="94" t="n">
        <v>252610078</v>
      </c>
      <c r="E108" s="123" t="s">
        <v>861</v>
      </c>
      <c r="F108" s="124" t="s">
        <v>862</v>
      </c>
      <c r="G108" s="36" t="s">
        <v>862</v>
      </c>
      <c r="H108" s="125" t="s">
        <v>52</v>
      </c>
      <c r="I108" s="122" t="s">
        <v>681</v>
      </c>
      <c r="J108" s="126" t="n">
        <v>39851</v>
      </c>
      <c r="K108" s="122" t="s">
        <v>78</v>
      </c>
      <c r="L108" s="99" t="s">
        <v>54</v>
      </c>
      <c r="M108" s="127" t="n">
        <v>100</v>
      </c>
      <c r="N108" s="99"/>
      <c r="O108" s="99" t="n">
        <v>100</v>
      </c>
      <c r="P108" s="99"/>
      <c r="Q108" s="99"/>
      <c r="R108" s="99" t="n">
        <v>100</v>
      </c>
      <c r="S108" s="122"/>
      <c r="T108" s="99"/>
      <c r="U108" s="99"/>
      <c r="V108" s="99" t="n">
        <v>100</v>
      </c>
      <c r="W108" s="99"/>
      <c r="X108" s="99" t="n">
        <v>90</v>
      </c>
      <c r="Y108" s="99"/>
      <c r="Z108" s="128" t="n">
        <v>90</v>
      </c>
      <c r="AA108" s="122"/>
      <c r="AB108" s="122"/>
      <c r="AC108" s="99" t="n">
        <f aca="false">AB108+Z108+X108+V108+R108+O108+M108+O108</f>
        <v>680</v>
      </c>
      <c r="AD108" s="99" t="n">
        <f aca="false">(Y108+W108+U108+T108+P108+N108+P108)*100</f>
        <v>0</v>
      </c>
      <c r="AE108" s="99" t="n">
        <f aca="false">(0.8*AC108)+(0.2*AD108)</f>
        <v>544</v>
      </c>
      <c r="AF108" s="129" t="n">
        <f aca="false">75+((AE108-$AE$128)/($AE$127-$AE$128)*(90-75))</f>
        <v>85.5154639175258</v>
      </c>
      <c r="AG108" s="80" t="n">
        <v>0</v>
      </c>
      <c r="AH108" s="80" t="n">
        <v>0</v>
      </c>
    </row>
    <row r="109" customFormat="false" ht="12.75" hidden="false" customHeight="true" outlineLevel="0" collapsed="false">
      <c r="A109" s="99" t="n">
        <v>31</v>
      </c>
      <c r="B109" s="99" t="n">
        <v>32</v>
      </c>
      <c r="C109" s="122" t="s">
        <v>223</v>
      </c>
      <c r="D109" s="94" t="n">
        <v>252610079</v>
      </c>
      <c r="E109" s="123" t="s">
        <v>863</v>
      </c>
      <c r="F109" s="124" t="s">
        <v>864</v>
      </c>
      <c r="G109" s="36" t="s">
        <v>864</v>
      </c>
      <c r="H109" s="125" t="s">
        <v>52</v>
      </c>
      <c r="I109" s="122" t="s">
        <v>687</v>
      </c>
      <c r="J109" s="126" t="n">
        <v>39889</v>
      </c>
      <c r="K109" s="122" t="s">
        <v>60</v>
      </c>
      <c r="L109" s="99" t="s">
        <v>54</v>
      </c>
      <c r="M109" s="127" t="n">
        <v>100</v>
      </c>
      <c r="N109" s="99"/>
      <c r="O109" s="99" t="n">
        <v>100</v>
      </c>
      <c r="P109" s="99"/>
      <c r="Q109" s="99"/>
      <c r="R109" s="99" t="n">
        <v>100</v>
      </c>
      <c r="S109" s="122"/>
      <c r="T109" s="99"/>
      <c r="U109" s="99"/>
      <c r="V109" s="99" t="n">
        <v>100</v>
      </c>
      <c r="W109" s="99"/>
      <c r="X109" s="99" t="n">
        <v>85</v>
      </c>
      <c r="Y109" s="99"/>
      <c r="Z109" s="128" t="n">
        <v>90</v>
      </c>
      <c r="AA109" s="122"/>
      <c r="AB109" s="122"/>
      <c r="AC109" s="99" t="n">
        <f aca="false">AB109+Z109+X109+V109+R109+O109+M109+O109</f>
        <v>675</v>
      </c>
      <c r="AD109" s="99" t="n">
        <f aca="false">(Y109+W109+U109+T109+P109+N109+P109)*100</f>
        <v>0</v>
      </c>
      <c r="AE109" s="99" t="n">
        <f aca="false">(0.8*AC109)+(0.2*AD109)</f>
        <v>540</v>
      </c>
      <c r="AF109" s="129" t="n">
        <f aca="false">75+((AE109-$AE$128)/($AE$127-$AE$128)*(90-75))</f>
        <v>85.4381443298969</v>
      </c>
      <c r="AG109" s="79" t="n">
        <v>100</v>
      </c>
      <c r="AH109" s="79" t="n">
        <v>100</v>
      </c>
    </row>
    <row r="110" customFormat="false" ht="12.75" hidden="false" customHeight="true" outlineLevel="0" collapsed="false">
      <c r="A110" s="99" t="n">
        <v>32</v>
      </c>
      <c r="B110" s="99" t="n">
        <v>33</v>
      </c>
      <c r="C110" s="122" t="s">
        <v>229</v>
      </c>
      <c r="D110" s="94" t="n">
        <v>252610080</v>
      </c>
      <c r="E110" s="123" t="s">
        <v>865</v>
      </c>
      <c r="F110" s="124" t="s">
        <v>866</v>
      </c>
      <c r="G110" s="36" t="s">
        <v>866</v>
      </c>
      <c r="H110" s="125" t="s">
        <v>52</v>
      </c>
      <c r="I110" s="122" t="s">
        <v>750</v>
      </c>
      <c r="J110" s="126" t="n">
        <v>39654</v>
      </c>
      <c r="K110" s="122" t="s">
        <v>60</v>
      </c>
      <c r="L110" s="99" t="s">
        <v>54</v>
      </c>
      <c r="M110" s="127" t="n">
        <v>100</v>
      </c>
      <c r="N110" s="99"/>
      <c r="O110" s="99" t="n">
        <v>100</v>
      </c>
      <c r="P110" s="99"/>
      <c r="Q110" s="99"/>
      <c r="R110" s="99" t="n">
        <v>100</v>
      </c>
      <c r="S110" s="122"/>
      <c r="T110" s="99" t="n">
        <v>1</v>
      </c>
      <c r="U110" s="99" t="n">
        <v>3</v>
      </c>
      <c r="V110" s="99" t="n">
        <v>100</v>
      </c>
      <c r="W110" s="99"/>
      <c r="X110" s="99" t="n">
        <v>90</v>
      </c>
      <c r="Y110" s="99"/>
      <c r="Z110" s="128" t="n">
        <v>95</v>
      </c>
      <c r="AA110" s="122"/>
      <c r="AB110" s="122" t="n">
        <v>100</v>
      </c>
      <c r="AC110" s="99" t="n">
        <f aca="false">AB110+Z110+X110+V110+R110+O110+M110+O110</f>
        <v>785</v>
      </c>
      <c r="AD110" s="99" t="n">
        <f aca="false">(Y110+W110+U110+T110+P110+N110+P110)*100</f>
        <v>400</v>
      </c>
      <c r="AE110" s="99" t="n">
        <f aca="false">(0.8*AC110)+(0.2*AD110)</f>
        <v>708</v>
      </c>
      <c r="AF110" s="129" t="n">
        <f aca="false">75+((AE110-$AE$128)/($AE$127-$AE$128)*(90-75))</f>
        <v>88.6855670103093</v>
      </c>
      <c r="AG110" s="79" t="n">
        <v>100</v>
      </c>
      <c r="AH110" s="79" t="n">
        <v>100</v>
      </c>
    </row>
    <row r="111" customFormat="false" ht="12.75" hidden="false" customHeight="true" outlineLevel="0" collapsed="false">
      <c r="A111" s="99" t="n">
        <v>33</v>
      </c>
      <c r="B111" s="99" t="n">
        <v>34</v>
      </c>
      <c r="C111" s="122" t="s">
        <v>234</v>
      </c>
      <c r="D111" s="94" t="n">
        <v>252610081</v>
      </c>
      <c r="E111" s="123" t="s">
        <v>867</v>
      </c>
      <c r="F111" s="124" t="s">
        <v>868</v>
      </c>
      <c r="G111" s="36" t="s">
        <v>868</v>
      </c>
      <c r="H111" s="125" t="s">
        <v>52</v>
      </c>
      <c r="I111" s="122" t="s">
        <v>687</v>
      </c>
      <c r="J111" s="126" t="n">
        <v>39675</v>
      </c>
      <c r="K111" s="122" t="s">
        <v>78</v>
      </c>
      <c r="L111" s="99" t="s">
        <v>54</v>
      </c>
      <c r="M111" s="127" t="n">
        <v>100</v>
      </c>
      <c r="N111" s="99"/>
      <c r="O111" s="99" t="n">
        <v>100</v>
      </c>
      <c r="P111" s="99" t="n">
        <v>1</v>
      </c>
      <c r="Q111" s="99"/>
      <c r="R111" s="99" t="n">
        <v>100</v>
      </c>
      <c r="S111" s="122"/>
      <c r="T111" s="99"/>
      <c r="U111" s="99" t="n">
        <v>1</v>
      </c>
      <c r="V111" s="99" t="n">
        <v>100</v>
      </c>
      <c r="W111" s="99"/>
      <c r="X111" s="99" t="n">
        <v>95</v>
      </c>
      <c r="Y111" s="99"/>
      <c r="Z111" s="128" t="n">
        <v>95</v>
      </c>
      <c r="AA111" s="122"/>
      <c r="AB111" s="122" t="n">
        <v>100</v>
      </c>
      <c r="AC111" s="99" t="n">
        <f aca="false">AB111+Z111+X111+V111+R111+O111+M111+O111</f>
        <v>790</v>
      </c>
      <c r="AD111" s="99" t="n">
        <f aca="false">(Y111+W111+U111+T111+P111+N111+P111)*100</f>
        <v>300</v>
      </c>
      <c r="AE111" s="99" t="n">
        <f aca="false">(0.8*AC111)+(0.2*AD111)</f>
        <v>692</v>
      </c>
      <c r="AF111" s="129" t="n">
        <f aca="false">75+((AE111-$AE$128)/($AE$127-$AE$128)*(90-75))</f>
        <v>88.3762886597938</v>
      </c>
      <c r="AG111" s="79" t="n">
        <v>100</v>
      </c>
      <c r="AH111" s="79" t="n">
        <v>100</v>
      </c>
    </row>
    <row r="112" s="80" customFormat="true" ht="12.75" hidden="false" customHeight="true" outlineLevel="0" collapsed="false">
      <c r="A112" s="99" t="n">
        <v>34</v>
      </c>
      <c r="B112" s="99" t="n">
        <v>35</v>
      </c>
      <c r="C112" s="122" t="s">
        <v>753</v>
      </c>
      <c r="D112" s="94" t="n">
        <v>252610082</v>
      </c>
      <c r="E112" s="123" t="s">
        <v>869</v>
      </c>
      <c r="F112" s="124" t="s">
        <v>870</v>
      </c>
      <c r="G112" s="36" t="s">
        <v>870</v>
      </c>
      <c r="H112" s="125" t="s">
        <v>52</v>
      </c>
      <c r="I112" s="122" t="s">
        <v>687</v>
      </c>
      <c r="J112" s="126" t="n">
        <v>39930</v>
      </c>
      <c r="K112" s="122" t="s">
        <v>78</v>
      </c>
      <c r="L112" s="99" t="s">
        <v>54</v>
      </c>
      <c r="M112" s="127" t="n">
        <v>100</v>
      </c>
      <c r="N112" s="99"/>
      <c r="O112" s="99" t="n">
        <v>100</v>
      </c>
      <c r="P112" s="99"/>
      <c r="Q112" s="99"/>
      <c r="R112" s="99" t="n">
        <v>100</v>
      </c>
      <c r="S112" s="122"/>
      <c r="T112" s="99"/>
      <c r="U112" s="99"/>
      <c r="V112" s="99" t="n">
        <v>100</v>
      </c>
      <c r="W112" s="99"/>
      <c r="X112" s="99" t="n">
        <v>90</v>
      </c>
      <c r="Y112" s="99"/>
      <c r="Z112" s="128" t="n">
        <v>90</v>
      </c>
      <c r="AA112" s="122"/>
      <c r="AB112" s="122" t="n">
        <v>100</v>
      </c>
      <c r="AC112" s="99" t="n">
        <f aca="false">AB112+Z112+X112+V112+R112+O112+M112+O112</f>
        <v>780</v>
      </c>
      <c r="AD112" s="99" t="n">
        <f aca="false">(Y112+W112+U112+T112+P112+N112+P112)*100</f>
        <v>0</v>
      </c>
      <c r="AE112" s="99" t="n">
        <f aca="false">(0.8*AC112)+(0.2*AD112)</f>
        <v>624</v>
      </c>
      <c r="AF112" s="129" t="n">
        <f aca="false">75+((AE112-$AE$128)/($AE$127-$AE$128)*(90-75))</f>
        <v>87.0618556701031</v>
      </c>
      <c r="AG112" s="80" t="n">
        <v>100</v>
      </c>
      <c r="AH112" s="80" t="n">
        <v>100</v>
      </c>
    </row>
    <row r="113" customFormat="false" ht="12.75" hidden="false" customHeight="true" outlineLevel="0" collapsed="false">
      <c r="A113" s="99" t="n">
        <v>35</v>
      </c>
      <c r="B113" s="99" t="n">
        <v>36</v>
      </c>
      <c r="C113" s="122" t="s">
        <v>756</v>
      </c>
      <c r="D113" s="94" t="n">
        <v>252610083</v>
      </c>
      <c r="E113" s="123" t="s">
        <v>871</v>
      </c>
      <c r="F113" s="124" t="s">
        <v>872</v>
      </c>
      <c r="G113" s="68" t="s">
        <v>872</v>
      </c>
      <c r="H113" s="125" t="s">
        <v>66</v>
      </c>
      <c r="I113" s="122" t="s">
        <v>681</v>
      </c>
      <c r="J113" s="126" t="n">
        <v>39600</v>
      </c>
      <c r="K113" s="122" t="s">
        <v>67</v>
      </c>
      <c r="L113" s="99" t="s">
        <v>54</v>
      </c>
      <c r="M113" s="127"/>
      <c r="N113" s="99"/>
      <c r="O113" s="99" t="n">
        <v>100</v>
      </c>
      <c r="P113" s="99"/>
      <c r="Q113" s="99"/>
      <c r="R113" s="99" t="n">
        <v>100</v>
      </c>
      <c r="S113" s="122"/>
      <c r="T113" s="99"/>
      <c r="U113" s="99"/>
      <c r="V113" s="99" t="n">
        <v>100</v>
      </c>
      <c r="W113" s="99"/>
      <c r="X113" s="99" t="n">
        <v>85</v>
      </c>
      <c r="Y113" s="99"/>
      <c r="Z113" s="128"/>
      <c r="AA113" s="122"/>
      <c r="AB113" s="122"/>
      <c r="AC113" s="99" t="n">
        <f aca="false">AB113+Z113+X113+V113+R113+O113+M113+O113</f>
        <v>485</v>
      </c>
      <c r="AD113" s="99" t="n">
        <f aca="false">(Y113+W113+U113+T113+P113+N113+P113)*100</f>
        <v>0</v>
      </c>
      <c r="AE113" s="99" t="n">
        <f aca="false">(0.8*AC113)+(0.2*AD113)</f>
        <v>388</v>
      </c>
      <c r="AF113" s="129" t="n">
        <f aca="false">75+((AE113-$AE$128)/($AE$127-$AE$128)*(90-75))</f>
        <v>82.5</v>
      </c>
      <c r="AG113" s="79" t="n">
        <v>100</v>
      </c>
      <c r="AH113" s="80" t="n">
        <v>0</v>
      </c>
    </row>
    <row r="114" customFormat="false" ht="12.75" hidden="false" customHeight="true" outlineLevel="0" collapsed="false">
      <c r="A114" s="99" t="n">
        <v>36</v>
      </c>
      <c r="B114" s="99"/>
      <c r="C114" s="122"/>
      <c r="D114" s="94" t="n">
        <v>252610084</v>
      </c>
      <c r="E114" s="123" t="s">
        <v>873</v>
      </c>
      <c r="F114" s="124" t="s">
        <v>874</v>
      </c>
      <c r="G114" s="36" t="s">
        <v>874</v>
      </c>
      <c r="H114" s="125" t="s">
        <v>52</v>
      </c>
      <c r="I114" s="122"/>
      <c r="J114" s="126"/>
      <c r="K114" s="122"/>
      <c r="L114" s="99"/>
      <c r="M114" s="99" t="n">
        <v>100</v>
      </c>
      <c r="N114" s="99"/>
      <c r="O114" s="99" t="n">
        <v>100</v>
      </c>
      <c r="P114" s="99"/>
      <c r="Q114" s="99"/>
      <c r="R114" s="99" t="n">
        <v>100</v>
      </c>
      <c r="S114" s="122"/>
      <c r="T114" s="99"/>
      <c r="U114" s="99"/>
      <c r="V114" s="99" t="n">
        <v>100</v>
      </c>
      <c r="W114" s="99"/>
      <c r="X114" s="99" t="n">
        <v>85</v>
      </c>
      <c r="Y114" s="99"/>
      <c r="Z114" s="128" t="n">
        <v>95</v>
      </c>
      <c r="AA114" s="122"/>
      <c r="AB114" s="122"/>
      <c r="AC114" s="99" t="n">
        <f aca="false">AB114+Z114+X114+V114+R114+O114+M114+O114</f>
        <v>680</v>
      </c>
      <c r="AD114" s="99" t="n">
        <f aca="false">(Y114+W114+U114+T114+P114+N114+P114)*100</f>
        <v>0</v>
      </c>
      <c r="AE114" s="99" t="n">
        <f aca="false">(0.8*AC114)+(0.2*AD114)</f>
        <v>544</v>
      </c>
      <c r="AF114" s="129" t="n">
        <f aca="false">75+((AE114-$AE$128)/($AE$127-$AE$128)*(90-75))</f>
        <v>85.5154639175258</v>
      </c>
      <c r="AG114" s="79" t="n">
        <v>100</v>
      </c>
      <c r="AH114" s="79" t="n">
        <v>100</v>
      </c>
    </row>
    <row r="115" customFormat="false" ht="12.75" hidden="false" customHeight="true" outlineLevel="0" collapsed="false">
      <c r="A115" s="99" t="n">
        <v>37</v>
      </c>
      <c r="B115" s="99"/>
      <c r="C115" s="122"/>
      <c r="D115" s="94" t="n">
        <v>252610085</v>
      </c>
      <c r="E115" s="33" t="s">
        <v>875</v>
      </c>
      <c r="F115" s="124" t="s">
        <v>876</v>
      </c>
      <c r="G115" s="36" t="s">
        <v>876</v>
      </c>
      <c r="H115" s="125" t="s">
        <v>66</v>
      </c>
      <c r="I115" s="122"/>
      <c r="J115" s="126"/>
      <c r="K115" s="122"/>
      <c r="L115" s="99"/>
      <c r="M115" s="99" t="n">
        <v>100</v>
      </c>
      <c r="N115" s="99"/>
      <c r="O115" s="99" t="n">
        <v>100</v>
      </c>
      <c r="P115" s="99"/>
      <c r="Q115" s="99"/>
      <c r="R115" s="99" t="n">
        <v>100</v>
      </c>
      <c r="S115" s="122"/>
      <c r="T115" s="99"/>
      <c r="U115" s="99"/>
      <c r="V115" s="99"/>
      <c r="W115" s="99"/>
      <c r="X115" s="99" t="n">
        <v>90</v>
      </c>
      <c r="Y115" s="99"/>
      <c r="Z115" s="128" t="n">
        <v>90</v>
      </c>
      <c r="AA115" s="122"/>
      <c r="AB115" s="122" t="n">
        <v>100</v>
      </c>
      <c r="AC115" s="99" t="n">
        <f aca="false">AB115+Z115+X115+V115+R115+O115+M115+O115</f>
        <v>680</v>
      </c>
      <c r="AD115" s="99" t="n">
        <f aca="false">(Y115+W115+U115+T115+P115+N115+P115)*100</f>
        <v>0</v>
      </c>
      <c r="AE115" s="99" t="n">
        <f aca="false">(0.8*AC115)+(0.2*AD115)</f>
        <v>544</v>
      </c>
      <c r="AF115" s="129" t="n">
        <f aca="false">75+((AE115-$AE$128)/($AE$127-$AE$128)*(90-75))</f>
        <v>85.5154639175258</v>
      </c>
      <c r="AG115" s="79" t="n">
        <v>100</v>
      </c>
      <c r="AH115" s="80" t="n">
        <v>0</v>
      </c>
    </row>
    <row r="116" customFormat="false" ht="12.75" hidden="false" customHeight="true" outlineLevel="0" collapsed="false">
      <c r="A116" s="99" t="n">
        <v>38</v>
      </c>
      <c r="B116" s="99"/>
      <c r="C116" s="122"/>
      <c r="D116" s="94" t="n">
        <v>252610086</v>
      </c>
      <c r="E116" s="123" t="s">
        <v>877</v>
      </c>
      <c r="F116" s="124" t="s">
        <v>878</v>
      </c>
      <c r="G116" s="36" t="s">
        <v>878</v>
      </c>
      <c r="H116" s="125" t="s">
        <v>66</v>
      </c>
      <c r="I116" s="122"/>
      <c r="J116" s="126"/>
      <c r="K116" s="122"/>
      <c r="L116" s="99"/>
      <c r="M116" s="99" t="n">
        <v>100</v>
      </c>
      <c r="N116" s="99"/>
      <c r="O116" s="99" t="n">
        <v>100</v>
      </c>
      <c r="P116" s="99"/>
      <c r="Q116" s="99"/>
      <c r="R116" s="99" t="n">
        <v>100</v>
      </c>
      <c r="S116" s="122"/>
      <c r="T116" s="99"/>
      <c r="U116" s="99"/>
      <c r="V116" s="99" t="n">
        <v>100</v>
      </c>
      <c r="W116" s="99"/>
      <c r="X116" s="99" t="n">
        <v>100</v>
      </c>
      <c r="Y116" s="99"/>
      <c r="Z116" s="128" t="n">
        <v>100</v>
      </c>
      <c r="AA116" s="122"/>
      <c r="AB116" s="122" t="n">
        <v>100</v>
      </c>
      <c r="AC116" s="99" t="n">
        <f aca="false">AB116+Z116+X116+V116+R116+O116+M116+O116</f>
        <v>800</v>
      </c>
      <c r="AD116" s="99" t="n">
        <f aca="false">(Y116+W116+U116+T116+P116+N116+P116)*100</f>
        <v>0</v>
      </c>
      <c r="AE116" s="99" t="n">
        <f aca="false">(0.8*AC116)+(0.2*AD116)</f>
        <v>640</v>
      </c>
      <c r="AF116" s="129" t="n">
        <f aca="false">75+((AE116-$AE$128)/($AE$127-$AE$128)*(90-75))</f>
        <v>87.3711340206186</v>
      </c>
      <c r="AG116" s="79" t="n">
        <v>100</v>
      </c>
      <c r="AH116" s="80" t="n">
        <v>0</v>
      </c>
    </row>
    <row r="117" customFormat="false" ht="12.75" hidden="false" customHeight="true" outlineLevel="0" collapsed="false">
      <c r="A117" s="99" t="n">
        <v>39</v>
      </c>
      <c r="B117" s="99"/>
      <c r="C117" s="122"/>
      <c r="D117" s="94" t="n">
        <v>252610087</v>
      </c>
      <c r="E117" s="33" t="s">
        <v>879</v>
      </c>
      <c r="F117" s="124" t="s">
        <v>880</v>
      </c>
      <c r="G117" s="36" t="s">
        <v>880</v>
      </c>
      <c r="H117" s="125" t="s">
        <v>52</v>
      </c>
      <c r="I117" s="122"/>
      <c r="J117" s="126"/>
      <c r="K117" s="122"/>
      <c r="L117" s="99"/>
      <c r="M117" s="99" t="n">
        <v>100</v>
      </c>
      <c r="N117" s="99"/>
      <c r="O117" s="99" t="n">
        <v>100</v>
      </c>
      <c r="P117" s="99"/>
      <c r="Q117" s="99"/>
      <c r="R117" s="99" t="n">
        <v>100</v>
      </c>
      <c r="S117" s="122"/>
      <c r="T117" s="99"/>
      <c r="U117" s="99"/>
      <c r="V117" s="99" t="n">
        <v>100</v>
      </c>
      <c r="W117" s="99"/>
      <c r="X117" s="99" t="n">
        <v>95</v>
      </c>
      <c r="Y117" s="99"/>
      <c r="Z117" s="128" t="n">
        <v>95</v>
      </c>
      <c r="AA117" s="122"/>
      <c r="AB117" s="122" t="n">
        <v>100</v>
      </c>
      <c r="AC117" s="99" t="n">
        <f aca="false">AB117+Z117+X117+V117+R117+O117+M117+O117</f>
        <v>790</v>
      </c>
      <c r="AD117" s="99" t="n">
        <f aca="false">(Y117+W117+U117+T117+P117+N117+P117)*100</f>
        <v>0</v>
      </c>
      <c r="AE117" s="99" t="n">
        <f aca="false">(0.8*AC117)+(0.2*AD117)</f>
        <v>632</v>
      </c>
      <c r="AF117" s="129" t="n">
        <f aca="false">75+((AE117-$AE$128)/($AE$127-$AE$128)*(90-75))</f>
        <v>87.2164948453608</v>
      </c>
      <c r="AG117" s="79" t="n">
        <v>100</v>
      </c>
      <c r="AH117" s="79" t="n">
        <v>100</v>
      </c>
    </row>
    <row r="118" customFormat="false" ht="12.75" hidden="false" customHeight="true" outlineLevel="0" collapsed="false">
      <c r="A118" s="99" t="n">
        <v>40</v>
      </c>
      <c r="B118" s="99"/>
      <c r="C118" s="122"/>
      <c r="D118" s="94" t="n">
        <v>252610088</v>
      </c>
      <c r="E118" s="123" t="s">
        <v>881</v>
      </c>
      <c r="F118" s="124" t="s">
        <v>882</v>
      </c>
      <c r="G118" s="36" t="s">
        <v>882</v>
      </c>
      <c r="H118" s="125" t="s">
        <v>52</v>
      </c>
      <c r="I118" s="122"/>
      <c r="J118" s="126"/>
      <c r="K118" s="122"/>
      <c r="L118" s="99"/>
      <c r="M118" s="99" t="n">
        <v>100</v>
      </c>
      <c r="N118" s="99"/>
      <c r="O118" s="99" t="n">
        <v>100</v>
      </c>
      <c r="P118" s="99"/>
      <c r="Q118" s="99"/>
      <c r="R118" s="99" t="n">
        <v>100</v>
      </c>
      <c r="S118" s="122"/>
      <c r="T118" s="99"/>
      <c r="U118" s="99"/>
      <c r="V118" s="99" t="n">
        <v>100</v>
      </c>
      <c r="W118" s="99"/>
      <c r="X118" s="99" t="n">
        <v>85</v>
      </c>
      <c r="Y118" s="99"/>
      <c r="Z118" s="128" t="n">
        <v>90</v>
      </c>
      <c r="AA118" s="122"/>
      <c r="AB118" s="122"/>
      <c r="AC118" s="99" t="n">
        <f aca="false">AB118+Z118+X118+V118+R118+O118+M118+O118</f>
        <v>675</v>
      </c>
      <c r="AD118" s="99" t="n">
        <f aca="false">(Y118+W118+U118+T118+P118+N118+P118)*100</f>
        <v>0</v>
      </c>
      <c r="AE118" s="99" t="n">
        <f aca="false">(0.8*AC118)+(0.2*AD118)</f>
        <v>540</v>
      </c>
      <c r="AF118" s="129" t="n">
        <f aca="false">75+((AE118-$AE$128)/($AE$127-$AE$128)*(90-75))</f>
        <v>85.4381443298969</v>
      </c>
      <c r="AG118" s="80" t="n">
        <v>0</v>
      </c>
      <c r="AH118" s="80" t="n">
        <v>0</v>
      </c>
    </row>
    <row r="119" customFormat="false" ht="12.75" hidden="false" customHeight="true" outlineLevel="0" collapsed="false">
      <c r="A119" s="99" t="n">
        <v>41</v>
      </c>
      <c r="B119" s="99"/>
      <c r="C119" s="122"/>
      <c r="D119" s="94" t="n">
        <v>252610089</v>
      </c>
      <c r="E119" s="123" t="s">
        <v>883</v>
      </c>
      <c r="F119" s="124" t="s">
        <v>884</v>
      </c>
      <c r="G119" s="36" t="s">
        <v>884</v>
      </c>
      <c r="H119" s="125" t="s">
        <v>52</v>
      </c>
      <c r="I119" s="122"/>
      <c r="J119" s="126"/>
      <c r="K119" s="122"/>
      <c r="L119" s="99"/>
      <c r="M119" s="99" t="n">
        <v>100</v>
      </c>
      <c r="N119" s="99"/>
      <c r="O119" s="99" t="n">
        <v>100</v>
      </c>
      <c r="P119" s="99"/>
      <c r="Q119" s="99"/>
      <c r="R119" s="99" t="n">
        <v>100</v>
      </c>
      <c r="S119" s="122"/>
      <c r="T119" s="99"/>
      <c r="U119" s="99"/>
      <c r="V119" s="99" t="n">
        <v>100</v>
      </c>
      <c r="W119" s="99"/>
      <c r="X119" s="99" t="n">
        <v>85</v>
      </c>
      <c r="Y119" s="99"/>
      <c r="Z119" s="128" t="n">
        <v>100</v>
      </c>
      <c r="AA119" s="122"/>
      <c r="AB119" s="122" t="n">
        <v>100</v>
      </c>
      <c r="AC119" s="99" t="n">
        <f aca="false">AB119+Z119+X119+V119+R119+O119+M119+O119</f>
        <v>785</v>
      </c>
      <c r="AD119" s="99" t="n">
        <f aca="false">(Y119+W119+U119+T119+P119+N119+P119)*100</f>
        <v>0</v>
      </c>
      <c r="AE119" s="99" t="n">
        <f aca="false">(0.8*AC119)+(0.2*AD119)</f>
        <v>628</v>
      </c>
      <c r="AF119" s="129" t="n">
        <f aca="false">75+((AE119-$AE$128)/($AE$127-$AE$128)*(90-75))</f>
        <v>87.139175257732</v>
      </c>
      <c r="AG119" s="79" t="n">
        <v>100</v>
      </c>
      <c r="AH119" s="79" t="n">
        <v>100</v>
      </c>
    </row>
    <row r="120" customFormat="false" ht="12.75" hidden="false" customHeight="true" outlineLevel="0" collapsed="false">
      <c r="A120" s="99" t="n">
        <v>42</v>
      </c>
      <c r="B120" s="99"/>
      <c r="C120" s="122"/>
      <c r="D120" s="94" t="n">
        <v>252610090</v>
      </c>
      <c r="E120" s="123" t="s">
        <v>885</v>
      </c>
      <c r="F120" s="124" t="s">
        <v>886</v>
      </c>
      <c r="G120" s="36" t="s">
        <v>886</v>
      </c>
      <c r="H120" s="125" t="s">
        <v>66</v>
      </c>
      <c r="I120" s="122"/>
      <c r="J120" s="126"/>
      <c r="K120" s="122"/>
      <c r="L120" s="99"/>
      <c r="M120" s="99"/>
      <c r="N120" s="99"/>
      <c r="O120" s="99"/>
      <c r="P120" s="99"/>
      <c r="Q120" s="99"/>
      <c r="R120" s="99"/>
      <c r="S120" s="122"/>
      <c r="T120" s="99"/>
      <c r="U120" s="99"/>
      <c r="V120" s="99"/>
      <c r="W120" s="99"/>
      <c r="X120" s="99"/>
      <c r="Y120" s="99"/>
      <c r="Z120" s="128"/>
      <c r="AA120" s="122"/>
      <c r="AB120" s="122"/>
      <c r="AC120" s="99" t="n">
        <f aca="false">AB120+Z120+X120+V120+R120+O120+M120+O120</f>
        <v>0</v>
      </c>
      <c r="AD120" s="99" t="n">
        <f aca="false">(Y120+W120+U120+T120+P120+N120+P120)*100</f>
        <v>0</v>
      </c>
      <c r="AE120" s="99" t="n">
        <f aca="false">(0.8*AC120)+(0.2*AD120)</f>
        <v>0</v>
      </c>
      <c r="AF120" s="129" t="n">
        <v>0</v>
      </c>
      <c r="AG120" s="80" t="n">
        <v>0</v>
      </c>
      <c r="AH120" s="80" t="n">
        <v>0</v>
      </c>
    </row>
    <row r="121" customFormat="false" ht="12.75" hidden="false" customHeight="true" outlineLevel="0" collapsed="false">
      <c r="A121" s="99" t="n">
        <v>43</v>
      </c>
      <c r="B121" s="99"/>
      <c r="C121" s="122"/>
      <c r="D121" s="94" t="n">
        <v>252610091</v>
      </c>
      <c r="E121" s="123" t="s">
        <v>887</v>
      </c>
      <c r="F121" s="124" t="s">
        <v>888</v>
      </c>
      <c r="G121" s="36" t="s">
        <v>888</v>
      </c>
      <c r="H121" s="125" t="s">
        <v>52</v>
      </c>
      <c r="I121" s="122"/>
      <c r="J121" s="126"/>
      <c r="K121" s="122"/>
      <c r="L121" s="99"/>
      <c r="M121" s="99" t="n">
        <v>100</v>
      </c>
      <c r="N121" s="99"/>
      <c r="O121" s="99" t="n">
        <v>100</v>
      </c>
      <c r="P121" s="99"/>
      <c r="Q121" s="99"/>
      <c r="R121" s="99" t="n">
        <v>100</v>
      </c>
      <c r="S121" s="122"/>
      <c r="T121" s="99"/>
      <c r="U121" s="99"/>
      <c r="V121" s="99" t="n">
        <v>100</v>
      </c>
      <c r="W121" s="99"/>
      <c r="X121" s="99" t="n">
        <v>85</v>
      </c>
      <c r="Y121" s="99"/>
      <c r="Z121" s="128" t="n">
        <v>95</v>
      </c>
      <c r="AA121" s="122"/>
      <c r="AB121" s="122" t="n">
        <v>100</v>
      </c>
      <c r="AC121" s="99" t="n">
        <f aca="false">AB121+Z121+X121+V121+R121+O121+M121+O121</f>
        <v>780</v>
      </c>
      <c r="AD121" s="99" t="n">
        <f aca="false">(Y121+W121+U121+T121+P121+N121+P121)*100</f>
        <v>0</v>
      </c>
      <c r="AE121" s="99" t="n">
        <f aca="false">(0.8*AC121)+(0.2*AD121)</f>
        <v>624</v>
      </c>
      <c r="AF121" s="129" t="n">
        <f aca="false">75+((AE121-$AE$128)/($AE$127-$AE$128)*(90-75))</f>
        <v>87.0618556701031</v>
      </c>
      <c r="AG121" s="79" t="n">
        <v>100</v>
      </c>
      <c r="AH121" s="79" t="n">
        <v>100</v>
      </c>
    </row>
    <row r="122" customFormat="false" ht="12.75" hidden="false" customHeight="true" outlineLevel="0" collapsed="false">
      <c r="A122" s="99" t="n">
        <v>44</v>
      </c>
      <c r="B122" s="99"/>
      <c r="C122" s="122"/>
      <c r="D122" s="94" t="n">
        <v>252610092</v>
      </c>
      <c r="E122" s="123" t="s">
        <v>889</v>
      </c>
      <c r="F122" s="124" t="s">
        <v>890</v>
      </c>
      <c r="G122" s="36" t="s">
        <v>890</v>
      </c>
      <c r="H122" s="125" t="s">
        <v>66</v>
      </c>
      <c r="I122" s="122"/>
      <c r="J122" s="126"/>
      <c r="K122" s="122"/>
      <c r="L122" s="99"/>
      <c r="M122" s="99" t="n">
        <v>100</v>
      </c>
      <c r="N122" s="99"/>
      <c r="O122" s="99" t="n">
        <v>100</v>
      </c>
      <c r="P122" s="99"/>
      <c r="Q122" s="99"/>
      <c r="R122" s="99" t="n">
        <v>100</v>
      </c>
      <c r="S122" s="122"/>
      <c r="T122" s="99"/>
      <c r="U122" s="99"/>
      <c r="V122" s="99"/>
      <c r="W122" s="99"/>
      <c r="X122" s="99" t="n">
        <v>85</v>
      </c>
      <c r="Y122" s="99"/>
      <c r="Z122" s="128" t="n">
        <v>90</v>
      </c>
      <c r="AA122" s="122"/>
      <c r="AB122" s="122"/>
      <c r="AC122" s="99" t="n">
        <f aca="false">AB122+Z122+X122+V122+R122+O122+M122+O122</f>
        <v>575</v>
      </c>
      <c r="AD122" s="99" t="n">
        <f aca="false">(Y122+W122+U122+T122+P122+N122+P122)*100</f>
        <v>0</v>
      </c>
      <c r="AE122" s="99" t="n">
        <f aca="false">(0.8*AC122)+(0.2*AD122)</f>
        <v>460</v>
      </c>
      <c r="AF122" s="129" t="n">
        <f aca="false">75+((AE122-$AE$128)/($AE$127-$AE$128)*(90-75))</f>
        <v>83.8917525773196</v>
      </c>
      <c r="AG122" s="80" t="n">
        <v>0</v>
      </c>
      <c r="AH122" s="80" t="n">
        <v>0</v>
      </c>
    </row>
    <row r="123" customFormat="false" ht="12.75" hidden="false" customHeight="true" outlineLevel="0" collapsed="false">
      <c r="A123" s="99" t="n">
        <v>45</v>
      </c>
      <c r="B123" s="99"/>
      <c r="C123" s="122"/>
      <c r="D123" s="94" t="n">
        <v>252610093</v>
      </c>
      <c r="E123" s="123" t="s">
        <v>891</v>
      </c>
      <c r="F123" s="124" t="s">
        <v>892</v>
      </c>
      <c r="G123" s="36" t="s">
        <v>892</v>
      </c>
      <c r="H123" s="125" t="s">
        <v>66</v>
      </c>
      <c r="I123" s="122"/>
      <c r="J123" s="126"/>
      <c r="K123" s="122"/>
      <c r="L123" s="99"/>
      <c r="M123" s="99" t="n">
        <v>100</v>
      </c>
      <c r="N123" s="99"/>
      <c r="O123" s="99" t="n">
        <v>100</v>
      </c>
      <c r="P123" s="99"/>
      <c r="Q123" s="99"/>
      <c r="R123" s="99" t="n">
        <v>100</v>
      </c>
      <c r="S123" s="122"/>
      <c r="T123" s="99" t="n">
        <v>1</v>
      </c>
      <c r="U123" s="99"/>
      <c r="V123" s="99" t="n">
        <v>100</v>
      </c>
      <c r="W123" s="99" t="n">
        <v>3</v>
      </c>
      <c r="X123" s="99" t="n">
        <v>100</v>
      </c>
      <c r="Y123" s="99"/>
      <c r="Z123" s="128" t="n">
        <v>95</v>
      </c>
      <c r="AA123" s="122"/>
      <c r="AB123" s="122" t="n">
        <v>100</v>
      </c>
      <c r="AC123" s="99" t="n">
        <f aca="false">AB123+Z123+X123+V123+R123+O123+M123+O123</f>
        <v>795</v>
      </c>
      <c r="AD123" s="99" t="n">
        <f aca="false">(Y123+W123+U123+T123+P123+N123+P123)*100</f>
        <v>400</v>
      </c>
      <c r="AE123" s="99" t="n">
        <f aca="false">(0.8*AC123)+(0.2*AD123)</f>
        <v>716</v>
      </c>
      <c r="AF123" s="129" t="n">
        <f aca="false">75+((AE123-$AE$128)/($AE$127-$AE$128)*(90-75))</f>
        <v>88.840206185567</v>
      </c>
      <c r="AG123" s="79" t="n">
        <v>100</v>
      </c>
      <c r="AH123" s="80" t="n">
        <v>0</v>
      </c>
    </row>
    <row r="124" customFormat="false" ht="12.75" hidden="false" customHeight="true" outlineLevel="0" collapsed="false">
      <c r="A124" s="99" t="n">
        <v>46</v>
      </c>
      <c r="B124" s="99"/>
      <c r="C124" s="122"/>
      <c r="D124" s="94" t="n">
        <v>252610094</v>
      </c>
      <c r="E124" s="123" t="s">
        <v>893</v>
      </c>
      <c r="F124" s="124" t="s">
        <v>894</v>
      </c>
      <c r="G124" s="36" t="s">
        <v>894</v>
      </c>
      <c r="H124" s="125" t="s">
        <v>52</v>
      </c>
      <c r="I124" s="122"/>
      <c r="J124" s="126"/>
      <c r="K124" s="122"/>
      <c r="L124" s="99"/>
      <c r="M124" s="99" t="n">
        <v>100</v>
      </c>
      <c r="N124" s="99"/>
      <c r="O124" s="99" t="n">
        <v>100</v>
      </c>
      <c r="P124" s="99"/>
      <c r="Q124" s="99"/>
      <c r="R124" s="99" t="n">
        <v>100</v>
      </c>
      <c r="S124" s="122"/>
      <c r="T124" s="99"/>
      <c r="U124" s="99"/>
      <c r="V124" s="99" t="n">
        <v>100</v>
      </c>
      <c r="W124" s="99"/>
      <c r="X124" s="99" t="n">
        <v>95</v>
      </c>
      <c r="Y124" s="99"/>
      <c r="Z124" s="128" t="n">
        <v>100</v>
      </c>
      <c r="AA124" s="122"/>
      <c r="AB124" s="122" t="n">
        <v>100</v>
      </c>
      <c r="AC124" s="99" t="n">
        <f aca="false">AB124+Z124+X124+V124+R124+O124+M124+O124</f>
        <v>795</v>
      </c>
      <c r="AD124" s="99" t="n">
        <f aca="false">(Y124+W124+U124+T124+P124+N124+P124)*100</f>
        <v>0</v>
      </c>
      <c r="AE124" s="99" t="n">
        <f aca="false">(0.8*AC124)+(0.2*AD124)</f>
        <v>636</v>
      </c>
      <c r="AF124" s="129" t="n">
        <f aca="false">75+((AE124-$AE$128)/($AE$127-$AE$128)*(90-75))</f>
        <v>87.2938144329897</v>
      </c>
      <c r="AG124" s="79" t="n">
        <v>100</v>
      </c>
      <c r="AH124" s="79" t="n">
        <v>100</v>
      </c>
    </row>
    <row r="125" customFormat="false" ht="12.75" hidden="false" customHeight="true" outlineLevel="0" collapsed="false">
      <c r="A125" s="99" t="n">
        <v>47</v>
      </c>
      <c r="B125" s="99"/>
      <c r="C125" s="122"/>
      <c r="D125" s="94" t="n">
        <v>252610095</v>
      </c>
      <c r="E125" s="123" t="s">
        <v>895</v>
      </c>
      <c r="F125" s="124" t="s">
        <v>896</v>
      </c>
      <c r="G125" s="36" t="s">
        <v>896</v>
      </c>
      <c r="H125" s="125" t="s">
        <v>52</v>
      </c>
      <c r="I125" s="122"/>
      <c r="J125" s="126"/>
      <c r="K125" s="122"/>
      <c r="L125" s="99"/>
      <c r="M125" s="99" t="n">
        <v>100</v>
      </c>
      <c r="N125" s="99" t="n">
        <v>1</v>
      </c>
      <c r="O125" s="99" t="n">
        <v>100</v>
      </c>
      <c r="P125" s="99"/>
      <c r="Q125" s="99"/>
      <c r="R125" s="99" t="n">
        <v>100</v>
      </c>
      <c r="S125" s="122"/>
      <c r="T125" s="99"/>
      <c r="U125" s="99"/>
      <c r="V125" s="99" t="n">
        <v>100</v>
      </c>
      <c r="W125" s="99"/>
      <c r="X125" s="99" t="n">
        <v>100</v>
      </c>
      <c r="Y125" s="99"/>
      <c r="Z125" s="128" t="n">
        <v>100</v>
      </c>
      <c r="AA125" s="122"/>
      <c r="AB125" s="122" t="n">
        <v>100</v>
      </c>
      <c r="AC125" s="99" t="n">
        <f aca="false">AB125+Z125+X125+V125+R125+O125+M125+O125</f>
        <v>800</v>
      </c>
      <c r="AD125" s="99" t="n">
        <f aca="false">(Y125+W125+U125+T125+P125+N125+P125)*100</f>
        <v>100</v>
      </c>
      <c r="AE125" s="99" t="n">
        <f aca="false">(0.8*AC125)+(0.2*AD125)</f>
        <v>660</v>
      </c>
      <c r="AF125" s="129" t="n">
        <f aca="false">75+((AE125-$AE$128)/($AE$127-$AE$128)*(90-75))</f>
        <v>87.7577319587629</v>
      </c>
      <c r="AG125" s="79" t="n">
        <v>100</v>
      </c>
      <c r="AH125" s="79" t="n">
        <v>100</v>
      </c>
    </row>
    <row r="126" customFormat="false" ht="12.75" hidden="false" customHeight="true" outlineLevel="0" collapsed="false">
      <c r="A126" s="99" t="n">
        <v>48</v>
      </c>
      <c r="B126" s="99"/>
      <c r="C126" s="122"/>
      <c r="D126" s="94" t="n">
        <v>252610096</v>
      </c>
      <c r="E126" s="33" t="s">
        <v>897</v>
      </c>
      <c r="F126" s="124" t="s">
        <v>898</v>
      </c>
      <c r="G126" s="36" t="s">
        <v>898</v>
      </c>
      <c r="H126" s="125" t="s">
        <v>52</v>
      </c>
      <c r="I126" s="122"/>
      <c r="J126" s="126"/>
      <c r="K126" s="122"/>
      <c r="L126" s="99"/>
      <c r="M126" s="99" t="n">
        <v>100</v>
      </c>
      <c r="N126" s="99"/>
      <c r="O126" s="99" t="n">
        <v>100</v>
      </c>
      <c r="P126" s="99"/>
      <c r="Q126" s="99"/>
      <c r="R126" s="99" t="n">
        <v>100</v>
      </c>
      <c r="S126" s="122"/>
      <c r="T126" s="99"/>
      <c r="U126" s="99"/>
      <c r="V126" s="99" t="n">
        <v>100</v>
      </c>
      <c r="W126" s="99"/>
      <c r="X126" s="99" t="n">
        <v>90</v>
      </c>
      <c r="Y126" s="99"/>
      <c r="Z126" s="128" t="n">
        <v>90</v>
      </c>
      <c r="AA126" s="122"/>
      <c r="AB126" s="122"/>
      <c r="AC126" s="99" t="n">
        <f aca="false">AB126+Z126+X126+V126+R126+O126+M126+O126</f>
        <v>680</v>
      </c>
      <c r="AD126" s="99" t="n">
        <f aca="false">(Y126+W126+U126+T126+P126+N126+P126)*100</f>
        <v>0</v>
      </c>
      <c r="AE126" s="99" t="n">
        <f aca="false">(0.8*AC126)+(0.2*AD126)</f>
        <v>544</v>
      </c>
      <c r="AF126" s="129" t="n">
        <f aca="false">75+((AE126-$AE$128)/($AE$127-$AE$128)*(90-75))</f>
        <v>85.5154639175258</v>
      </c>
      <c r="AG126" s="80" t="n">
        <v>0</v>
      </c>
      <c r="AH126" s="80" t="n">
        <v>0</v>
      </c>
    </row>
    <row r="127" customFormat="false" ht="12.75" hidden="false" customHeight="true" outlineLevel="0" collapsed="false">
      <c r="D127" s="115"/>
      <c r="E127" s="4"/>
      <c r="F127" s="132"/>
      <c r="G127" s="2"/>
      <c r="H127" s="1" t="n">
        <f aca="false">COUNTIF(H79:H126,"L")</f>
        <v>20</v>
      </c>
      <c r="J127" s="114"/>
      <c r="AD127" s="80" t="s">
        <v>241</v>
      </c>
      <c r="AE127" s="6" t="n">
        <f aca="false">MAX(AE79:AE126)</f>
        <v>776</v>
      </c>
      <c r="AF127" s="133"/>
      <c r="AG127" s="79" t="n">
        <f aca="false">COUNT(AG79:AG126)</f>
        <v>48</v>
      </c>
      <c r="AH127" s="79" t="n">
        <f aca="false">COUNT(AH79:AH126)</f>
        <v>48</v>
      </c>
    </row>
    <row r="128" customFormat="false" ht="12.75" hidden="false" customHeight="true" outlineLevel="0" collapsed="false">
      <c r="D128" s="115"/>
      <c r="E128" s="4"/>
      <c r="F128" s="132"/>
      <c r="G128" s="2"/>
      <c r="H128" s="1" t="n">
        <f aca="false">COUNTIF(H79:H126,"P")</f>
        <v>28</v>
      </c>
      <c r="J128" s="114"/>
      <c r="AD128" s="80" t="s">
        <v>243</v>
      </c>
      <c r="AE128" s="6" t="n">
        <f aca="false">MIN(AE79:AE126)</f>
        <v>0</v>
      </c>
      <c r="AF128" s="133"/>
      <c r="AG128" s="79" t="n">
        <f aca="false">COUNTIF(AG79:AG126,100)</f>
        <v>39</v>
      </c>
      <c r="AH128" s="79" t="n">
        <f aca="false">COUNTIF(AH79:AH126,100)</f>
        <v>30</v>
      </c>
    </row>
    <row r="129" customFormat="false" ht="12.75" hidden="false" customHeight="true" outlineLevel="0" collapsed="false">
      <c r="D129" s="80" t="s">
        <v>446</v>
      </c>
      <c r="G129" s="116" t="s">
        <v>787</v>
      </c>
      <c r="J129" s="114"/>
      <c r="M129" s="79" t="s">
        <v>447</v>
      </c>
      <c r="AG129" s="134" t="n">
        <f aca="false">AG128/AG127</f>
        <v>0.8125</v>
      </c>
      <c r="AH129" s="135" t="n">
        <f aca="false">AH128/AH127</f>
        <v>0.625</v>
      </c>
    </row>
    <row r="130" customFormat="false" ht="12.75" hidden="false" customHeight="true" outlineLevel="0" collapsed="false">
      <c r="G130" s="116"/>
      <c r="J130" s="114"/>
    </row>
    <row r="131" customFormat="false" ht="12.75" hidden="false" customHeight="true" outlineLevel="0" collapsed="false">
      <c r="G131" s="116"/>
      <c r="J131" s="114"/>
    </row>
    <row r="132" customFormat="false" ht="12.75" hidden="false" customHeight="true" outlineLevel="0" collapsed="false">
      <c r="G132" s="116"/>
      <c r="J132" s="114"/>
    </row>
    <row r="133" customFormat="false" ht="12.75" hidden="false" customHeight="true" outlineLevel="0" collapsed="false">
      <c r="D133" s="117" t="s">
        <v>448</v>
      </c>
      <c r="G133" s="116" t="s">
        <v>449</v>
      </c>
      <c r="J133" s="114"/>
      <c r="M133" s="79" t="s">
        <v>788</v>
      </c>
    </row>
    <row r="134" customFormat="false" ht="12.75" hidden="false" customHeight="true" outlineLevel="0" collapsed="false">
      <c r="D134" s="118" t="s">
        <v>451</v>
      </c>
      <c r="J134" s="114"/>
    </row>
    <row r="135" customFormat="false" ht="12.75" hidden="false" customHeight="true" outlineLevel="0" collapsed="false">
      <c r="A135" s="81" t="s">
        <v>0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</row>
    <row r="136" customFormat="false" ht="12.75" hidden="false" customHeight="true" outlineLevel="0" collapsed="false">
      <c r="A136" s="81" t="s">
        <v>1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</row>
    <row r="137" customFormat="false" ht="12.75" hidden="false" customHeight="true" outlineLevel="0" collapsed="false">
      <c r="A137" s="81" t="s">
        <v>2</v>
      </c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</row>
    <row r="138" customFormat="false" ht="16.5" hidden="false" customHeight="true" outlineLevel="0" collapsed="false">
      <c r="A138" s="82" t="s">
        <v>3</v>
      </c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</row>
    <row r="139" customFormat="false" ht="12.75" hidden="false" customHeight="true" outlineLevel="0" collapsed="false">
      <c r="A139" s="83" t="s">
        <v>4</v>
      </c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</row>
    <row r="141" customFormat="false" ht="12.75" hidden="false" customHeight="true" outlineLevel="0" collapsed="false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</row>
    <row r="142" customFormat="false" ht="12.75" hidden="false" customHeight="true" outlineLevel="0" collapsed="false">
      <c r="A142" s="84" t="s">
        <v>5</v>
      </c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</row>
    <row r="143" customFormat="false" ht="12.75" hidden="false" customHeight="true" outlineLevel="0" collapsed="false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</row>
    <row r="144" customFormat="false" ht="12.75" hidden="false" customHeight="true" outlineLevel="0" collapsed="false">
      <c r="A144" s="6"/>
      <c r="B144" s="85"/>
      <c r="D144" s="86" t="s">
        <v>899</v>
      </c>
      <c r="E144" s="87"/>
      <c r="G144" s="85" t="s">
        <v>7</v>
      </c>
      <c r="H144" s="88" t="s">
        <v>8</v>
      </c>
      <c r="M144" s="73" t="s">
        <v>900</v>
      </c>
    </row>
    <row r="145" customFormat="false" ht="24" hidden="false" customHeight="true" outlineLevel="0" collapsed="false">
      <c r="A145" s="90" t="s">
        <v>10</v>
      </c>
      <c r="B145" s="90" t="s">
        <v>11</v>
      </c>
      <c r="C145" s="91" t="s">
        <v>12</v>
      </c>
      <c r="D145" s="91" t="s">
        <v>13</v>
      </c>
      <c r="E145" s="91" t="s">
        <v>14</v>
      </c>
      <c r="F145" s="91" t="s">
        <v>17</v>
      </c>
      <c r="G145" s="91" t="s">
        <v>18</v>
      </c>
      <c r="H145" s="91" t="s">
        <v>19</v>
      </c>
      <c r="I145" s="91" t="s">
        <v>20</v>
      </c>
      <c r="J145" s="91" t="s">
        <v>21</v>
      </c>
      <c r="K145" s="90" t="s">
        <v>22</v>
      </c>
      <c r="L145" s="90" t="s">
        <v>23</v>
      </c>
      <c r="M145" s="92" t="s">
        <v>670</v>
      </c>
      <c r="N145" s="30" t="s">
        <v>671</v>
      </c>
      <c r="O145" s="99" t="s">
        <v>901</v>
      </c>
      <c r="P145" s="30" t="s">
        <v>671</v>
      </c>
      <c r="Q145" s="30"/>
      <c r="R145" s="93"/>
      <c r="S145" s="40"/>
      <c r="T145" s="93" t="s">
        <v>902</v>
      </c>
      <c r="U145" s="136" t="s">
        <v>903</v>
      </c>
      <c r="V145" s="136" t="s">
        <v>904</v>
      </c>
      <c r="W145" s="93"/>
      <c r="X145" s="93" t="s">
        <v>905</v>
      </c>
      <c r="Y145" s="79" t="s">
        <v>675</v>
      </c>
      <c r="AC145" s="27" t="s">
        <v>38</v>
      </c>
      <c r="AD145" s="28" t="s">
        <v>39</v>
      </c>
      <c r="AE145" s="25" t="s">
        <v>40</v>
      </c>
      <c r="AF145" s="29" t="s">
        <v>800</v>
      </c>
      <c r="AG145" s="93"/>
      <c r="AH145" s="93" t="s">
        <v>906</v>
      </c>
      <c r="AI145" s="136" t="s">
        <v>907</v>
      </c>
      <c r="AJ145" s="93" t="s">
        <v>908</v>
      </c>
    </row>
    <row r="146" customFormat="false" ht="12.75" hidden="false" customHeight="true" outlineLevel="0" collapsed="false">
      <c r="A146" s="99" t="n">
        <v>1</v>
      </c>
      <c r="B146" s="99" t="n">
        <v>1</v>
      </c>
      <c r="C146" s="122" t="s">
        <v>46</v>
      </c>
      <c r="D146" s="94" t="n">
        <v>252610097</v>
      </c>
      <c r="E146" s="123" t="s">
        <v>909</v>
      </c>
      <c r="F146" s="124" t="s">
        <v>910</v>
      </c>
      <c r="G146" s="36" t="s">
        <v>910</v>
      </c>
      <c r="H146" s="125" t="s">
        <v>66</v>
      </c>
      <c r="I146" s="122" t="s">
        <v>681</v>
      </c>
      <c r="J146" s="126" t="n">
        <v>39691</v>
      </c>
      <c r="K146" s="122" t="s">
        <v>53</v>
      </c>
      <c r="L146" s="99" t="s">
        <v>54</v>
      </c>
      <c r="M146" s="127" t="n">
        <v>100</v>
      </c>
      <c r="N146" s="93"/>
      <c r="O146" s="93"/>
      <c r="P146" s="93"/>
      <c r="Q146" s="93"/>
      <c r="R146" s="93"/>
      <c r="S146" s="40"/>
      <c r="T146" s="93"/>
      <c r="U146" s="93"/>
      <c r="V146" s="93" t="n">
        <v>100</v>
      </c>
      <c r="W146" s="93"/>
      <c r="X146" s="93"/>
      <c r="AA146" s="6" t="n">
        <v>1</v>
      </c>
      <c r="AC146" s="93" t="n">
        <f aca="false">M146+O146+U146+V146+Y146+Z146</f>
        <v>200</v>
      </c>
      <c r="AD146" s="99" t="n">
        <f aca="false">(AA146+X146+T146+P146+N146)*100</f>
        <v>100</v>
      </c>
      <c r="AE146" s="93" t="n">
        <f aca="false">(0.8*AC146)+(0.2*AD146)</f>
        <v>180</v>
      </c>
      <c r="AF146" s="137" t="n">
        <f aca="false">75+((AE146-$AE$195)/($AE$194-$AE$195)*(92-75))</f>
        <v>80.4642857142857</v>
      </c>
      <c r="AG146" s="93"/>
      <c r="AH146" s="93" t="n">
        <v>0</v>
      </c>
      <c r="AI146" s="40" t="n">
        <v>0</v>
      </c>
      <c r="AJ146" s="93"/>
    </row>
    <row r="147" customFormat="false" ht="12.75" hidden="false" customHeight="true" outlineLevel="0" collapsed="false">
      <c r="A147" s="99" t="n">
        <v>2</v>
      </c>
      <c r="B147" s="99" t="n">
        <v>2</v>
      </c>
      <c r="C147" s="122" t="s">
        <v>55</v>
      </c>
      <c r="D147" s="94" t="n">
        <v>252610098</v>
      </c>
      <c r="E147" s="123" t="s">
        <v>911</v>
      </c>
      <c r="F147" s="124" t="s">
        <v>912</v>
      </c>
      <c r="G147" s="36" t="s">
        <v>912</v>
      </c>
      <c r="H147" s="125" t="s">
        <v>52</v>
      </c>
      <c r="I147" s="122" t="s">
        <v>684</v>
      </c>
      <c r="J147" s="126" t="n">
        <v>39698</v>
      </c>
      <c r="K147" s="122" t="s">
        <v>60</v>
      </c>
      <c r="L147" s="99" t="s">
        <v>54</v>
      </c>
      <c r="M147" s="127" t="n">
        <v>100</v>
      </c>
      <c r="N147" s="93"/>
      <c r="O147" s="93" t="n">
        <v>100</v>
      </c>
      <c r="P147" s="93"/>
      <c r="Q147" s="93"/>
      <c r="R147" s="99"/>
      <c r="S147" s="99"/>
      <c r="T147" s="99"/>
      <c r="U147" s="99" t="n">
        <v>100</v>
      </c>
      <c r="V147" s="99" t="n">
        <v>100</v>
      </c>
      <c r="W147" s="99"/>
      <c r="X147" s="99"/>
      <c r="Y147" s="80" t="n">
        <v>100</v>
      </c>
      <c r="Z147" s="80"/>
      <c r="AA147" s="80" t="n">
        <v>1</v>
      </c>
      <c r="AB147" s="80"/>
      <c r="AC147" s="93" t="n">
        <f aca="false">M147+O147+U147+V147+Y147+Z147</f>
        <v>500</v>
      </c>
      <c r="AD147" s="99" t="n">
        <f aca="false">(AA147+X147+T147+P147+N147)*100</f>
        <v>100</v>
      </c>
      <c r="AE147" s="93" t="n">
        <f aca="false">(0.8*AC147)+(0.2*AD147)</f>
        <v>420</v>
      </c>
      <c r="AF147" s="137" t="n">
        <f aca="false">75+((AE147-$AE$195)/($AE$194-$AE$195)*(92-75))</f>
        <v>87.75</v>
      </c>
      <c r="AG147" s="93"/>
      <c r="AH147" s="93" t="n">
        <v>0</v>
      </c>
      <c r="AI147" s="40" t="n">
        <v>0</v>
      </c>
      <c r="AJ147" s="93"/>
    </row>
    <row r="148" customFormat="false" ht="12.75" hidden="false" customHeight="true" outlineLevel="0" collapsed="false">
      <c r="A148" s="99" t="n">
        <v>3</v>
      </c>
      <c r="B148" s="99" t="n">
        <v>4</v>
      </c>
      <c r="C148" s="122" t="s">
        <v>61</v>
      </c>
      <c r="D148" s="94" t="n">
        <v>252610099</v>
      </c>
      <c r="E148" s="123" t="s">
        <v>913</v>
      </c>
      <c r="F148" s="124" t="s">
        <v>914</v>
      </c>
      <c r="G148" s="36" t="s">
        <v>914</v>
      </c>
      <c r="H148" s="125" t="s">
        <v>52</v>
      </c>
      <c r="I148" s="122" t="s">
        <v>687</v>
      </c>
      <c r="J148" s="126" t="n">
        <v>39684</v>
      </c>
      <c r="K148" s="122" t="s">
        <v>67</v>
      </c>
      <c r="L148" s="99" t="s">
        <v>54</v>
      </c>
      <c r="M148" s="127" t="n">
        <v>100</v>
      </c>
      <c r="N148" s="93"/>
      <c r="O148" s="93"/>
      <c r="P148" s="93"/>
      <c r="Q148" s="93"/>
      <c r="R148" s="93"/>
      <c r="S148" s="40"/>
      <c r="T148" s="93"/>
      <c r="U148" s="93" t="n">
        <v>100</v>
      </c>
      <c r="V148" s="93"/>
      <c r="W148" s="93"/>
      <c r="X148" s="93"/>
      <c r="Y148" s="79" t="n">
        <v>100</v>
      </c>
      <c r="AC148" s="93" t="n">
        <f aca="false">M148+O148+U148+V148+Y148+Z148</f>
        <v>300</v>
      </c>
      <c r="AD148" s="99" t="n">
        <f aca="false">(AA148+X148+T148+P148+N148)*100</f>
        <v>0</v>
      </c>
      <c r="AE148" s="93" t="n">
        <f aca="false">(0.8*AC148)+(0.2*AD148)</f>
        <v>240</v>
      </c>
      <c r="AF148" s="137" t="n">
        <f aca="false">75+((AE148-$AE$195)/($AE$194-$AE$195)*(92-75))</f>
        <v>82.2857142857143</v>
      </c>
      <c r="AG148" s="93"/>
      <c r="AH148" s="93" t="n">
        <v>0</v>
      </c>
      <c r="AI148" s="40" t="n">
        <v>100</v>
      </c>
      <c r="AJ148" s="93"/>
    </row>
    <row r="149" customFormat="false" ht="12.75" hidden="false" customHeight="true" outlineLevel="0" collapsed="false">
      <c r="A149" s="99" t="n">
        <v>4</v>
      </c>
      <c r="B149" s="99" t="n">
        <v>5</v>
      </c>
      <c r="C149" s="122" t="s">
        <v>68</v>
      </c>
      <c r="D149" s="94" t="n">
        <v>252610100</v>
      </c>
      <c r="E149" s="123" t="s">
        <v>915</v>
      </c>
      <c r="F149" s="124" t="s">
        <v>916</v>
      </c>
      <c r="G149" s="36" t="s">
        <v>916</v>
      </c>
      <c r="H149" s="125" t="s">
        <v>66</v>
      </c>
      <c r="I149" s="122" t="s">
        <v>681</v>
      </c>
      <c r="J149" s="126" t="n">
        <v>39616</v>
      </c>
      <c r="K149" s="122" t="s">
        <v>60</v>
      </c>
      <c r="L149" s="99" t="s">
        <v>54</v>
      </c>
      <c r="M149" s="127" t="n">
        <v>100</v>
      </c>
      <c r="N149" s="93"/>
      <c r="O149" s="93"/>
      <c r="P149" s="93" t="n">
        <v>1</v>
      </c>
      <c r="Q149" s="93"/>
      <c r="R149" s="93"/>
      <c r="S149" s="40"/>
      <c r="T149" s="93"/>
      <c r="U149" s="93" t="n">
        <v>100</v>
      </c>
      <c r="V149" s="93" t="n">
        <v>100</v>
      </c>
      <c r="W149" s="93"/>
      <c r="X149" s="93" t="n">
        <v>1</v>
      </c>
      <c r="Y149" s="79" t="n">
        <v>100</v>
      </c>
      <c r="Z149" s="79" t="n">
        <v>100</v>
      </c>
      <c r="AA149" s="6" t="n">
        <v>1</v>
      </c>
      <c r="AC149" s="93" t="n">
        <f aca="false">M149+O149+U149+V149+Y149+Z149</f>
        <v>500</v>
      </c>
      <c r="AD149" s="99" t="n">
        <f aca="false">(AA149+X149+T149+P149+N149)*100</f>
        <v>300</v>
      </c>
      <c r="AE149" s="93" t="n">
        <f aca="false">(0.8*AC149)+(0.2*AD149)</f>
        <v>460</v>
      </c>
      <c r="AF149" s="137" t="n">
        <f aca="false">75+((AE149-$AE$195)/($AE$194-$AE$195)*(92-75))</f>
        <v>88.9642857142857</v>
      </c>
      <c r="AG149" s="93"/>
      <c r="AH149" s="93" t="n">
        <v>100</v>
      </c>
      <c r="AI149" s="40" t="n">
        <v>0</v>
      </c>
      <c r="AJ149" s="93"/>
    </row>
    <row r="150" customFormat="false" ht="12.75" hidden="false" customHeight="true" outlineLevel="0" collapsed="false">
      <c r="A150" s="99" t="n">
        <v>5</v>
      </c>
      <c r="B150" s="99" t="n">
        <v>6</v>
      </c>
      <c r="C150" s="122" t="s">
        <v>73</v>
      </c>
      <c r="D150" s="94" t="n">
        <v>252610101</v>
      </c>
      <c r="E150" s="123" t="s">
        <v>917</v>
      </c>
      <c r="F150" s="124" t="s">
        <v>918</v>
      </c>
      <c r="G150" s="36" t="s">
        <v>918</v>
      </c>
      <c r="H150" s="125" t="s">
        <v>52</v>
      </c>
      <c r="I150" s="122" t="s">
        <v>687</v>
      </c>
      <c r="J150" s="126" t="n">
        <v>39948</v>
      </c>
      <c r="K150" s="122" t="s">
        <v>78</v>
      </c>
      <c r="L150" s="99" t="s">
        <v>54</v>
      </c>
      <c r="M150" s="127" t="n">
        <v>100</v>
      </c>
      <c r="N150" s="93"/>
      <c r="O150" s="93"/>
      <c r="P150" s="93"/>
      <c r="Q150" s="93"/>
      <c r="R150" s="93"/>
      <c r="S150" s="40"/>
      <c r="T150" s="93"/>
      <c r="U150" s="93" t="n">
        <v>100</v>
      </c>
      <c r="V150" s="93" t="n">
        <v>100</v>
      </c>
      <c r="W150" s="93"/>
      <c r="X150" s="93"/>
      <c r="Y150" s="79" t="n">
        <v>100</v>
      </c>
      <c r="Z150" s="79" t="n">
        <v>100</v>
      </c>
      <c r="AC150" s="93" t="n">
        <f aca="false">M150+O150+U150+V150+Y150+Z150</f>
        <v>500</v>
      </c>
      <c r="AD150" s="99" t="n">
        <f aca="false">(AA150+X150+T150+P150+N150)*100</f>
        <v>0</v>
      </c>
      <c r="AE150" s="93" t="n">
        <f aca="false">(0.8*AC150)+(0.2*AD150)</f>
        <v>400</v>
      </c>
      <c r="AF150" s="137" t="n">
        <f aca="false">75+((AE150-$AE$195)/($AE$194-$AE$195)*(92-75))</f>
        <v>87.1428571428571</v>
      </c>
      <c r="AG150" s="93"/>
      <c r="AH150" s="93" t="n">
        <v>100</v>
      </c>
      <c r="AI150" s="40" t="n">
        <v>100</v>
      </c>
      <c r="AJ150" s="93"/>
    </row>
    <row r="151" customFormat="false" ht="12.75" hidden="false" customHeight="true" outlineLevel="0" collapsed="false">
      <c r="A151" s="99" t="n">
        <v>6</v>
      </c>
      <c r="B151" s="99" t="n">
        <v>7</v>
      </c>
      <c r="C151" s="122" t="s">
        <v>79</v>
      </c>
      <c r="D151" s="94" t="n">
        <v>252610102</v>
      </c>
      <c r="E151" s="33" t="s">
        <v>919</v>
      </c>
      <c r="F151" s="124" t="s">
        <v>920</v>
      </c>
      <c r="G151" s="36" t="s">
        <v>920</v>
      </c>
      <c r="H151" s="125" t="s">
        <v>52</v>
      </c>
      <c r="I151" s="122" t="s">
        <v>687</v>
      </c>
      <c r="J151" s="126" t="n">
        <v>39904</v>
      </c>
      <c r="K151" s="122" t="s">
        <v>78</v>
      </c>
      <c r="L151" s="99" t="s">
        <v>54</v>
      </c>
      <c r="M151" s="127" t="n">
        <v>100</v>
      </c>
      <c r="N151" s="93"/>
      <c r="O151" s="93"/>
      <c r="P151" s="93" t="n">
        <v>1</v>
      </c>
      <c r="Q151" s="93"/>
      <c r="R151" s="93"/>
      <c r="S151" s="40"/>
      <c r="T151" s="93"/>
      <c r="U151" s="93" t="n">
        <v>100</v>
      </c>
      <c r="V151" s="93" t="n">
        <v>100</v>
      </c>
      <c r="W151" s="93"/>
      <c r="X151" s="93"/>
      <c r="Y151" s="79" t="n">
        <v>100</v>
      </c>
      <c r="Z151" s="79" t="n">
        <v>100</v>
      </c>
      <c r="AA151" s="6" t="n">
        <v>1</v>
      </c>
      <c r="AC151" s="93" t="n">
        <f aca="false">M151+O151+U151+V151+Y151+Z151</f>
        <v>500</v>
      </c>
      <c r="AD151" s="99" t="n">
        <f aca="false">(AA151+X151+T151+P151+N151)*100</f>
        <v>200</v>
      </c>
      <c r="AE151" s="93" t="n">
        <f aca="false">(0.8*AC151)+(0.2*AD151)</f>
        <v>440</v>
      </c>
      <c r="AF151" s="137" t="n">
        <f aca="false">75+((AE151-$AE$195)/($AE$194-$AE$195)*(92-75))</f>
        <v>88.3571428571429</v>
      </c>
      <c r="AG151" s="93"/>
      <c r="AH151" s="93" t="n">
        <v>0</v>
      </c>
      <c r="AI151" s="40" t="n">
        <v>100</v>
      </c>
      <c r="AJ151" s="93"/>
    </row>
    <row r="152" customFormat="false" ht="12.75" hidden="false" customHeight="true" outlineLevel="0" collapsed="false">
      <c r="A152" s="99" t="n">
        <v>7</v>
      </c>
      <c r="B152" s="99" t="n">
        <v>8</v>
      </c>
      <c r="C152" s="122" t="s">
        <v>84</v>
      </c>
      <c r="D152" s="94" t="n">
        <v>252610103</v>
      </c>
      <c r="E152" s="33" t="s">
        <v>921</v>
      </c>
      <c r="F152" s="124" t="s">
        <v>922</v>
      </c>
      <c r="G152" s="36" t="s">
        <v>922</v>
      </c>
      <c r="H152" s="125" t="s">
        <v>66</v>
      </c>
      <c r="I152" s="122" t="s">
        <v>681</v>
      </c>
      <c r="J152" s="126" t="n">
        <v>39710</v>
      </c>
      <c r="K152" s="122" t="s">
        <v>60</v>
      </c>
      <c r="L152" s="99" t="s">
        <v>54</v>
      </c>
      <c r="M152" s="127" t="n">
        <v>100</v>
      </c>
      <c r="N152" s="93"/>
      <c r="O152" s="93"/>
      <c r="P152" s="93"/>
      <c r="Q152" s="93"/>
      <c r="R152" s="93"/>
      <c r="S152" s="40"/>
      <c r="T152" s="93" t="n">
        <v>1</v>
      </c>
      <c r="U152" s="93"/>
      <c r="V152" s="93" t="n">
        <v>100</v>
      </c>
      <c r="W152" s="93"/>
      <c r="X152" s="93"/>
      <c r="Y152" s="79" t="n">
        <v>100</v>
      </c>
      <c r="Z152" s="79" t="n">
        <v>100</v>
      </c>
      <c r="AC152" s="93" t="n">
        <f aca="false">M152+O152+U152+V152+Y152+Z152</f>
        <v>400</v>
      </c>
      <c r="AD152" s="99" t="n">
        <f aca="false">(AA152+X152+T152+P152+N152)*100</f>
        <v>100</v>
      </c>
      <c r="AE152" s="93" t="n">
        <f aca="false">(0.8*AC152)+(0.2*AD152)</f>
        <v>340</v>
      </c>
      <c r="AF152" s="137" t="n">
        <f aca="false">75+((AE152-$AE$195)/($AE$194-$AE$195)*(92-75))</f>
        <v>85.3214285714286</v>
      </c>
      <c r="AG152" s="93"/>
      <c r="AH152" s="93" t="n">
        <v>100</v>
      </c>
      <c r="AI152" s="40" t="n">
        <v>100</v>
      </c>
      <c r="AJ152" s="93" t="n">
        <v>1</v>
      </c>
    </row>
    <row r="153" customFormat="false" ht="12.75" hidden="false" customHeight="true" outlineLevel="0" collapsed="false">
      <c r="A153" s="99" t="n">
        <v>8</v>
      </c>
      <c r="B153" s="99" t="n">
        <v>9</v>
      </c>
      <c r="C153" s="122" t="s">
        <v>89</v>
      </c>
      <c r="D153" s="94" t="n">
        <v>252610104</v>
      </c>
      <c r="E153" s="123" t="s">
        <v>923</v>
      </c>
      <c r="F153" s="124" t="s">
        <v>924</v>
      </c>
      <c r="G153" s="36" t="s">
        <v>924</v>
      </c>
      <c r="H153" s="125" t="s">
        <v>66</v>
      </c>
      <c r="I153" s="122" t="s">
        <v>687</v>
      </c>
      <c r="J153" s="126" t="n">
        <v>39542</v>
      </c>
      <c r="K153" s="122" t="s">
        <v>67</v>
      </c>
      <c r="L153" s="99" t="s">
        <v>54</v>
      </c>
      <c r="M153" s="127" t="n">
        <v>100</v>
      </c>
      <c r="N153" s="93"/>
      <c r="O153" s="93"/>
      <c r="P153" s="93"/>
      <c r="Q153" s="93"/>
      <c r="R153" s="93"/>
      <c r="S153" s="40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99" t="n">
        <f aca="false">(AA153+X153+T153+P153+N153)*100</f>
        <v>0</v>
      </c>
      <c r="AE153" s="93" t="n">
        <f aca="false">(0.8*AC153)+(0.2*AD153)</f>
        <v>80</v>
      </c>
      <c r="AF153" s="137" t="n">
        <f aca="false">75+((AE153-$AE$195)/($AE$194-$AE$195)*(92-75))</f>
        <v>77.4285714285714</v>
      </c>
      <c r="AG153" s="93"/>
      <c r="AH153" s="93" t="n">
        <v>0</v>
      </c>
      <c r="AI153" s="40" t="n">
        <v>0</v>
      </c>
      <c r="AJ153" s="93"/>
    </row>
    <row r="154" customFormat="false" ht="12.75" hidden="false" customHeight="true" outlineLevel="0" collapsed="false">
      <c r="A154" s="99" t="n">
        <v>9</v>
      </c>
      <c r="B154" s="99" t="n">
        <v>10</v>
      </c>
      <c r="C154" s="122" t="s">
        <v>94</v>
      </c>
      <c r="D154" s="94" t="n">
        <v>252610105</v>
      </c>
      <c r="E154" s="123" t="s">
        <v>925</v>
      </c>
      <c r="F154" s="124" t="s">
        <v>926</v>
      </c>
      <c r="G154" s="36" t="s">
        <v>926</v>
      </c>
      <c r="H154" s="125" t="s">
        <v>66</v>
      </c>
      <c r="I154" s="122" t="s">
        <v>687</v>
      </c>
      <c r="J154" s="126" t="n">
        <v>39886</v>
      </c>
      <c r="K154" s="122" t="s">
        <v>78</v>
      </c>
      <c r="L154" s="99" t="s">
        <v>54</v>
      </c>
      <c r="M154" s="127" t="n">
        <v>100</v>
      </c>
      <c r="N154" s="93"/>
      <c r="O154" s="93"/>
      <c r="P154" s="93"/>
      <c r="Q154" s="93"/>
      <c r="R154" s="93"/>
      <c r="S154" s="40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99" t="n">
        <f aca="false">(AA154+X154+T154+P154+N154)*100</f>
        <v>0</v>
      </c>
      <c r="AE154" s="93" t="n">
        <f aca="false">(0.8*AC154)+(0.2*AD154)</f>
        <v>160</v>
      </c>
      <c r="AF154" s="137" t="n">
        <f aca="false">75+((AE154-$AE$195)/($AE$194-$AE$195)*(92-75))</f>
        <v>79.8571428571429</v>
      </c>
      <c r="AG154" s="93" t="s">
        <v>927</v>
      </c>
      <c r="AH154" s="93" t="n">
        <v>0</v>
      </c>
      <c r="AI154" s="40" t="n">
        <v>0</v>
      </c>
      <c r="AJ154" s="93"/>
    </row>
    <row r="155" customFormat="false" ht="12.75" hidden="false" customHeight="true" outlineLevel="0" collapsed="false">
      <c r="A155" s="99" t="n">
        <v>10</v>
      </c>
      <c r="B155" s="99" t="n">
        <v>11</v>
      </c>
      <c r="C155" s="122" t="s">
        <v>100</v>
      </c>
      <c r="D155" s="94" t="n">
        <v>252610106</v>
      </c>
      <c r="E155" s="123" t="s">
        <v>928</v>
      </c>
      <c r="F155" s="124" t="s">
        <v>929</v>
      </c>
      <c r="G155" s="36" t="s">
        <v>929</v>
      </c>
      <c r="H155" s="125" t="s">
        <v>52</v>
      </c>
      <c r="I155" s="122" t="s">
        <v>703</v>
      </c>
      <c r="J155" s="126" t="n">
        <v>39944</v>
      </c>
      <c r="K155" s="122" t="s">
        <v>67</v>
      </c>
      <c r="L155" s="99" t="s">
        <v>54</v>
      </c>
      <c r="M155" s="127" t="n">
        <v>100</v>
      </c>
      <c r="N155" s="93"/>
      <c r="O155" s="93"/>
      <c r="P155" s="93"/>
      <c r="Q155" s="93"/>
      <c r="R155" s="93"/>
      <c r="S155" s="40"/>
      <c r="T155" s="93"/>
      <c r="U155" s="93" t="n">
        <v>100</v>
      </c>
      <c r="V155" s="93" t="n">
        <v>100</v>
      </c>
      <c r="W155" s="93"/>
      <c r="X155" s="93"/>
      <c r="Y155" s="79" t="n">
        <v>100</v>
      </c>
      <c r="Z155" s="79" t="n">
        <v>100</v>
      </c>
      <c r="AA155" s="6" t="n">
        <v>1</v>
      </c>
      <c r="AC155" s="93" t="n">
        <f aca="false">M155+O155+U155+V155+Y155+Z155</f>
        <v>500</v>
      </c>
      <c r="AD155" s="99" t="n">
        <f aca="false">(AA155+X155+T155+P155+N155)*100</f>
        <v>100</v>
      </c>
      <c r="AE155" s="93" t="n">
        <f aca="false">(0.8*AC155)+(0.2*AD155)</f>
        <v>420</v>
      </c>
      <c r="AF155" s="137" t="n">
        <f aca="false">75+((AE155-$AE$195)/($AE$194-$AE$195)*(92-75))</f>
        <v>87.75</v>
      </c>
      <c r="AG155" s="93" t="s">
        <v>930</v>
      </c>
      <c r="AH155" s="93" t="n">
        <v>100</v>
      </c>
      <c r="AI155" s="40" t="n">
        <v>100</v>
      </c>
      <c r="AJ155" s="93"/>
    </row>
    <row r="156" customFormat="false" ht="12.75" hidden="false" customHeight="true" outlineLevel="0" collapsed="false">
      <c r="A156" s="99" t="n">
        <v>11</v>
      </c>
      <c r="B156" s="99" t="n">
        <v>12</v>
      </c>
      <c r="C156" s="122" t="s">
        <v>106</v>
      </c>
      <c r="D156" s="94" t="n">
        <v>252610107</v>
      </c>
      <c r="E156" s="123" t="s">
        <v>931</v>
      </c>
      <c r="F156" s="124" t="s">
        <v>932</v>
      </c>
      <c r="G156" s="36" t="s">
        <v>932</v>
      </c>
      <c r="H156" s="125" t="s">
        <v>52</v>
      </c>
      <c r="I156" s="122" t="s">
        <v>687</v>
      </c>
      <c r="J156" s="126" t="n">
        <v>39825</v>
      </c>
      <c r="K156" s="122" t="s">
        <v>112</v>
      </c>
      <c r="L156" s="99" t="s">
        <v>54</v>
      </c>
      <c r="M156" s="127" t="n">
        <v>100</v>
      </c>
      <c r="N156" s="93"/>
      <c r="O156" s="93"/>
      <c r="P156" s="93"/>
      <c r="Q156" s="93"/>
      <c r="R156" s="93"/>
      <c r="S156" s="40"/>
      <c r="T156" s="93"/>
      <c r="U156" s="93"/>
      <c r="V156" s="93"/>
      <c r="W156" s="93"/>
      <c r="X156" s="93"/>
      <c r="Z156" s="79" t="n">
        <v>100</v>
      </c>
      <c r="AC156" s="93" t="n">
        <f aca="false">M156+O156+U156+V156+Y156+Z156</f>
        <v>200</v>
      </c>
      <c r="AD156" s="99" t="n">
        <f aca="false">(AA156+X156+T156+P156+N156)*100</f>
        <v>0</v>
      </c>
      <c r="AE156" s="93" t="n">
        <f aca="false">(0.8*AC156)+(0.2*AD156)</f>
        <v>160</v>
      </c>
      <c r="AF156" s="137" t="n">
        <f aca="false">75+((AE156-$AE$195)/($AE$194-$AE$195)*(92-75))</f>
        <v>79.8571428571429</v>
      </c>
      <c r="AG156" s="93"/>
      <c r="AH156" s="93" t="n">
        <v>0</v>
      </c>
      <c r="AI156" s="40" t="n">
        <v>0</v>
      </c>
      <c r="AJ156" s="93"/>
    </row>
    <row r="157" customFormat="false" ht="12.75" hidden="false" customHeight="true" outlineLevel="0" collapsed="false">
      <c r="A157" s="99" t="n">
        <v>12</v>
      </c>
      <c r="B157" s="99" t="n">
        <v>13</v>
      </c>
      <c r="C157" s="122" t="s">
        <v>113</v>
      </c>
      <c r="D157" s="94" t="n">
        <v>252610108</v>
      </c>
      <c r="E157" s="123" t="s">
        <v>933</v>
      </c>
      <c r="F157" s="124" t="s">
        <v>934</v>
      </c>
      <c r="G157" s="36" t="s">
        <v>934</v>
      </c>
      <c r="H157" s="125" t="s">
        <v>52</v>
      </c>
      <c r="I157" s="122" t="s">
        <v>687</v>
      </c>
      <c r="J157" s="126" t="n">
        <v>39925</v>
      </c>
      <c r="K157" s="122" t="s">
        <v>78</v>
      </c>
      <c r="L157" s="99" t="s">
        <v>54</v>
      </c>
      <c r="M157" s="127" t="n">
        <v>100</v>
      </c>
      <c r="N157" s="93"/>
      <c r="O157" s="93"/>
      <c r="P157" s="93"/>
      <c r="Q157" s="93"/>
      <c r="R157" s="93"/>
      <c r="S157" s="40"/>
      <c r="T157" s="93"/>
      <c r="U157" s="93"/>
      <c r="V157" s="93"/>
      <c r="W157" s="93"/>
      <c r="X157" s="93"/>
      <c r="Y157" s="79" t="n">
        <v>100</v>
      </c>
      <c r="AC157" s="93" t="n">
        <f aca="false">M157+O157+U157+V157+Y157+Z157</f>
        <v>200</v>
      </c>
      <c r="AD157" s="99" t="n">
        <f aca="false">(AA157+X157+T157+P157+N157)*100</f>
        <v>0</v>
      </c>
      <c r="AE157" s="93" t="n">
        <f aca="false">(0.8*AC157)+(0.2*AD157)</f>
        <v>160</v>
      </c>
      <c r="AF157" s="137" t="n">
        <f aca="false">75+((AE157-$AE$195)/($AE$194-$AE$195)*(92-75))</f>
        <v>79.8571428571429</v>
      </c>
      <c r="AG157" s="93"/>
      <c r="AH157" s="93" t="n">
        <v>0</v>
      </c>
      <c r="AI157" s="40" t="n">
        <v>100</v>
      </c>
      <c r="AJ157" s="93"/>
    </row>
    <row r="158" customFormat="false" ht="12.75" hidden="false" customHeight="true" outlineLevel="0" collapsed="false">
      <c r="A158" s="99" t="n">
        <v>13</v>
      </c>
      <c r="B158" s="99" t="n">
        <v>14</v>
      </c>
      <c r="C158" s="122" t="s">
        <v>118</v>
      </c>
      <c r="D158" s="94" t="n">
        <v>252610109</v>
      </c>
      <c r="E158" s="123" t="s">
        <v>935</v>
      </c>
      <c r="F158" s="124" t="s">
        <v>936</v>
      </c>
      <c r="G158" s="36" t="s">
        <v>936</v>
      </c>
      <c r="H158" s="125" t="s">
        <v>66</v>
      </c>
      <c r="I158" s="130" t="s">
        <v>687</v>
      </c>
      <c r="J158" s="126" t="n">
        <v>39836</v>
      </c>
      <c r="K158" s="122" t="s">
        <v>124</v>
      </c>
      <c r="L158" s="99" t="s">
        <v>54</v>
      </c>
      <c r="M158" s="127" t="n">
        <v>100</v>
      </c>
      <c r="N158" s="93"/>
      <c r="O158" s="93" t="n">
        <v>100</v>
      </c>
      <c r="P158" s="93" t="n">
        <v>1</v>
      </c>
      <c r="Q158" s="93"/>
      <c r="R158" s="93"/>
      <c r="S158" s="40"/>
      <c r="T158" s="93"/>
      <c r="U158" s="93"/>
      <c r="V158" s="138" t="n">
        <v>100</v>
      </c>
      <c r="W158" s="93"/>
      <c r="X158" s="93"/>
      <c r="Y158" s="79" t="n">
        <v>100</v>
      </c>
      <c r="Z158" s="79" t="n">
        <v>100</v>
      </c>
      <c r="AC158" s="93" t="n">
        <f aca="false">M158+O158+U158+V158+Y158+Z158</f>
        <v>500</v>
      </c>
      <c r="AD158" s="99" t="n">
        <f aca="false">(AA158+X158+T158+P158+N158)*100</f>
        <v>100</v>
      </c>
      <c r="AE158" s="93" t="n">
        <f aca="false">(0.8*AC158)+(0.2*AD158)</f>
        <v>420</v>
      </c>
      <c r="AF158" s="137" t="n">
        <f aca="false">75+((AE158-$AE$195)/($AE$194-$AE$195)*(92-75))</f>
        <v>87.75</v>
      </c>
      <c r="AG158" s="93"/>
      <c r="AH158" s="93" t="n">
        <v>100</v>
      </c>
      <c r="AI158" s="40" t="n">
        <v>100</v>
      </c>
      <c r="AJ158" s="93"/>
    </row>
    <row r="159" customFormat="false" ht="12.75" hidden="false" customHeight="true" outlineLevel="0" collapsed="false">
      <c r="A159" s="99" t="n">
        <v>14</v>
      </c>
      <c r="B159" s="99" t="n">
        <v>15</v>
      </c>
      <c r="C159" s="122" t="s">
        <v>125</v>
      </c>
      <c r="D159" s="94" t="n">
        <v>252610110</v>
      </c>
      <c r="E159" s="33"/>
      <c r="F159" s="124" t="s">
        <v>937</v>
      </c>
      <c r="G159" s="36" t="s">
        <v>938</v>
      </c>
      <c r="H159" s="125" t="s">
        <v>52</v>
      </c>
      <c r="I159" s="122" t="s">
        <v>681</v>
      </c>
      <c r="J159" s="126" t="n">
        <v>39668</v>
      </c>
      <c r="K159" s="122" t="s">
        <v>78</v>
      </c>
      <c r="L159" s="99" t="s">
        <v>54</v>
      </c>
      <c r="M159" s="127" t="n">
        <v>100</v>
      </c>
      <c r="N159" s="93"/>
      <c r="O159" s="93" t="n">
        <v>100</v>
      </c>
      <c r="P159" s="93"/>
      <c r="Q159" s="93"/>
      <c r="R159" s="93"/>
      <c r="S159" s="40"/>
      <c r="T159" s="93"/>
      <c r="U159" s="93" t="n">
        <v>100</v>
      </c>
      <c r="V159" s="93"/>
      <c r="W159" s="93"/>
      <c r="X159" s="93"/>
      <c r="Y159" s="79" t="n">
        <v>100</v>
      </c>
      <c r="Z159" s="79" t="n">
        <v>100</v>
      </c>
      <c r="AA159" s="6" t="n">
        <v>1</v>
      </c>
      <c r="AC159" s="93" t="n">
        <f aca="false">M159+O159+U159+V159+Y159+Z159</f>
        <v>500</v>
      </c>
      <c r="AD159" s="99" t="n">
        <f aca="false">(AA159+X159+T159+P159+N159)*100</f>
        <v>100</v>
      </c>
      <c r="AE159" s="93" t="n">
        <f aca="false">(0.8*AC159)+(0.2*AD159)</f>
        <v>420</v>
      </c>
      <c r="AF159" s="137" t="n">
        <f aca="false">75+((AE159-$AE$195)/($AE$194-$AE$195)*(92-75))</f>
        <v>87.75</v>
      </c>
      <c r="AG159" s="93"/>
      <c r="AH159" s="93" t="n">
        <v>100</v>
      </c>
      <c r="AI159" s="40" t="n">
        <v>100</v>
      </c>
      <c r="AJ159" s="93"/>
    </row>
    <row r="160" customFormat="false" ht="12.75" hidden="false" customHeight="true" outlineLevel="0" collapsed="false">
      <c r="A160" s="99" t="n">
        <v>15</v>
      </c>
      <c r="B160" s="99" t="n">
        <v>16</v>
      </c>
      <c r="C160" s="122" t="s">
        <v>136</v>
      </c>
      <c r="D160" s="94" t="n">
        <v>252610111</v>
      </c>
      <c r="E160" s="123" t="s">
        <v>939</v>
      </c>
      <c r="F160" s="124" t="s">
        <v>940</v>
      </c>
      <c r="G160" s="36" t="s">
        <v>940</v>
      </c>
      <c r="H160" s="125" t="s">
        <v>52</v>
      </c>
      <c r="I160" s="122" t="s">
        <v>687</v>
      </c>
      <c r="J160" s="126" t="n">
        <v>39654</v>
      </c>
      <c r="K160" s="122" t="s">
        <v>112</v>
      </c>
      <c r="L160" s="99" t="s">
        <v>54</v>
      </c>
      <c r="M160" s="127" t="n">
        <v>100</v>
      </c>
      <c r="N160" s="93"/>
      <c r="O160" s="93" t="n">
        <v>100</v>
      </c>
      <c r="P160" s="93"/>
      <c r="Q160" s="93"/>
      <c r="R160" s="93"/>
      <c r="S160" s="40"/>
      <c r="T160" s="93"/>
      <c r="U160" s="93" t="n">
        <v>100</v>
      </c>
      <c r="V160" s="93" t="n">
        <v>100</v>
      </c>
      <c r="W160" s="93"/>
      <c r="X160" s="93"/>
      <c r="Y160" s="79" t="n">
        <v>100</v>
      </c>
      <c r="Z160" s="79" t="n">
        <v>100</v>
      </c>
      <c r="AA160" s="6" t="n">
        <v>1</v>
      </c>
      <c r="AC160" s="93" t="n">
        <f aca="false">M160+O160+U160+V160+Y160+Z160</f>
        <v>600</v>
      </c>
      <c r="AD160" s="99" t="n">
        <f aca="false">(AA160+X160+T160+P160+N160)*100</f>
        <v>100</v>
      </c>
      <c r="AE160" s="93" t="n">
        <f aca="false">(0.8*AC160)+(0.2*AD160)</f>
        <v>500</v>
      </c>
      <c r="AF160" s="137" t="n">
        <f aca="false">75+((AE160-$AE$195)/($AE$194-$AE$195)*(92-75))</f>
        <v>90.1785714285714</v>
      </c>
      <c r="AG160" s="93"/>
      <c r="AH160" s="93" t="n">
        <v>100</v>
      </c>
      <c r="AI160" s="40" t="n">
        <v>100</v>
      </c>
      <c r="AJ160" s="93" t="n">
        <v>1</v>
      </c>
    </row>
    <row r="161" customFormat="false" ht="12.75" hidden="false" customHeight="true" outlineLevel="0" collapsed="false">
      <c r="A161" s="99" t="n">
        <v>16</v>
      </c>
      <c r="B161" s="99" t="n">
        <v>17</v>
      </c>
      <c r="C161" s="122" t="s">
        <v>715</v>
      </c>
      <c r="D161" s="94" t="n">
        <v>252610112</v>
      </c>
      <c r="E161" s="123" t="s">
        <v>941</v>
      </c>
      <c r="F161" s="124" t="s">
        <v>942</v>
      </c>
      <c r="G161" s="36" t="s">
        <v>942</v>
      </c>
      <c r="H161" s="125" t="s">
        <v>52</v>
      </c>
      <c r="I161" s="122" t="s">
        <v>681</v>
      </c>
      <c r="J161" s="126" t="n">
        <v>39732</v>
      </c>
      <c r="K161" s="122" t="s">
        <v>78</v>
      </c>
      <c r="L161" s="99" t="s">
        <v>54</v>
      </c>
      <c r="M161" s="127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40"/>
      <c r="T161" s="93"/>
      <c r="U161" s="93" t="n">
        <v>100</v>
      </c>
      <c r="V161" s="93" t="n">
        <v>100</v>
      </c>
      <c r="W161" s="93"/>
      <c r="X161" s="93"/>
      <c r="Y161" s="79" t="n">
        <v>100</v>
      </c>
      <c r="Z161" s="79" t="n">
        <v>100</v>
      </c>
      <c r="AA161" s="6" t="n">
        <v>1</v>
      </c>
      <c r="AC161" s="93" t="n">
        <f aca="false">M161+O161+U161+V161+Y161+Z161</f>
        <v>600</v>
      </c>
      <c r="AD161" s="99" t="n">
        <f aca="false">(AA161+X161+T161+P161+N161)*100</f>
        <v>400</v>
      </c>
      <c r="AE161" s="93" t="n">
        <f aca="false">(0.8*AC161)+(0.2*AD161)</f>
        <v>560</v>
      </c>
      <c r="AF161" s="137" t="n">
        <f aca="false">75+((AE161-$AE$195)/($AE$194-$AE$195)*(92-75))</f>
        <v>92</v>
      </c>
      <c r="AG161" s="93"/>
      <c r="AH161" s="93" t="n">
        <v>100</v>
      </c>
      <c r="AI161" s="40" t="n">
        <v>100</v>
      </c>
      <c r="AJ161" s="93" t="n">
        <v>2</v>
      </c>
    </row>
    <row r="162" customFormat="false" ht="12.75" hidden="false" customHeight="true" outlineLevel="0" collapsed="false">
      <c r="A162" s="99" t="n">
        <v>17</v>
      </c>
      <c r="B162" s="99" t="n">
        <v>18</v>
      </c>
      <c r="C162" s="122" t="s">
        <v>141</v>
      </c>
      <c r="D162" s="94" t="n">
        <v>252610113</v>
      </c>
      <c r="E162" s="123" t="s">
        <v>943</v>
      </c>
      <c r="F162" s="124" t="s">
        <v>944</v>
      </c>
      <c r="G162" s="36" t="s">
        <v>944</v>
      </c>
      <c r="H162" s="125" t="s">
        <v>66</v>
      </c>
      <c r="I162" s="122" t="s">
        <v>687</v>
      </c>
      <c r="J162" s="126" t="n">
        <v>39765</v>
      </c>
      <c r="K162" s="122" t="s">
        <v>147</v>
      </c>
      <c r="L162" s="99" t="s">
        <v>54</v>
      </c>
      <c r="M162" s="127" t="n">
        <v>100</v>
      </c>
      <c r="N162" s="93"/>
      <c r="O162" s="93"/>
      <c r="P162" s="93"/>
      <c r="Q162" s="93"/>
      <c r="R162" s="93"/>
      <c r="S162" s="40"/>
      <c r="T162" s="93"/>
      <c r="U162" s="93"/>
      <c r="V162" s="93"/>
      <c r="W162" s="93"/>
      <c r="X162" s="93"/>
      <c r="Z162" s="79" t="n">
        <v>100</v>
      </c>
      <c r="AC162" s="93" t="n">
        <f aca="false">M162+O162+U162+V162+Y162+Z162</f>
        <v>200</v>
      </c>
      <c r="AD162" s="99" t="n">
        <f aca="false">(AA162+X162+T162+P162+N162)*100</f>
        <v>0</v>
      </c>
      <c r="AE162" s="93" t="n">
        <f aca="false">(0.8*AC162)+(0.2*AD162)</f>
        <v>160</v>
      </c>
      <c r="AF162" s="137" t="n">
        <f aca="false">75+((AE162-$AE$195)/($AE$194-$AE$195)*(92-75))</f>
        <v>79.8571428571429</v>
      </c>
      <c r="AG162" s="93"/>
      <c r="AH162" s="93" t="n">
        <v>0</v>
      </c>
      <c r="AI162" s="40" t="n">
        <v>0</v>
      </c>
      <c r="AJ162" s="93"/>
    </row>
    <row r="163" customFormat="false" ht="12.75" hidden="false" customHeight="true" outlineLevel="0" collapsed="false">
      <c r="A163" s="99" t="n">
        <v>18</v>
      </c>
      <c r="B163" s="99" t="n">
        <v>19</v>
      </c>
      <c r="C163" s="122" t="s">
        <v>148</v>
      </c>
      <c r="D163" s="94" t="n">
        <v>252610114</v>
      </c>
      <c r="E163" s="33" t="s">
        <v>945</v>
      </c>
      <c r="F163" s="124" t="s">
        <v>946</v>
      </c>
      <c r="G163" s="36" t="s">
        <v>947</v>
      </c>
      <c r="H163" s="125" t="s">
        <v>52</v>
      </c>
      <c r="I163" s="130" t="s">
        <v>687</v>
      </c>
      <c r="J163" s="126" t="n">
        <v>39736</v>
      </c>
      <c r="K163" s="122" t="s">
        <v>124</v>
      </c>
      <c r="L163" s="99" t="s">
        <v>54</v>
      </c>
      <c r="M163" s="127" t="n">
        <v>100</v>
      </c>
      <c r="N163" s="93"/>
      <c r="O163" s="93" t="n">
        <v>100</v>
      </c>
      <c r="P163" s="93"/>
      <c r="Q163" s="93"/>
      <c r="R163" s="93"/>
      <c r="S163" s="40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9" t="n">
        <v>100</v>
      </c>
      <c r="Z163" s="79" t="n">
        <v>100</v>
      </c>
      <c r="AA163" s="6" t="n">
        <v>1</v>
      </c>
      <c r="AC163" s="93" t="n">
        <f aca="false">M163+O163+U163+V163+Y163+Z163</f>
        <v>600</v>
      </c>
      <c r="AD163" s="99" t="n">
        <f aca="false">(AA163+X163+T163+P163+N163)*100</f>
        <v>400</v>
      </c>
      <c r="AE163" s="93" t="n">
        <f aca="false">(0.8*AC163)+(0.2*AD163)</f>
        <v>560</v>
      </c>
      <c r="AF163" s="137" t="n">
        <f aca="false">75+((AE163-$AE$195)/($AE$194-$AE$195)*(92-75))</f>
        <v>92</v>
      </c>
      <c r="AG163" s="93"/>
      <c r="AH163" s="93" t="n">
        <v>100</v>
      </c>
      <c r="AI163" s="40" t="n">
        <v>100</v>
      </c>
      <c r="AJ163" s="93" t="n">
        <v>1</v>
      </c>
    </row>
    <row r="164" customFormat="false" ht="12.75" hidden="false" customHeight="true" outlineLevel="0" collapsed="false">
      <c r="A164" s="99" t="n">
        <v>19</v>
      </c>
      <c r="B164" s="99" t="n">
        <v>20</v>
      </c>
      <c r="C164" s="122" t="s">
        <v>154</v>
      </c>
      <c r="D164" s="94" t="n">
        <v>252610115</v>
      </c>
      <c r="E164" s="123" t="s">
        <v>948</v>
      </c>
      <c r="F164" s="124" t="s">
        <v>949</v>
      </c>
      <c r="G164" s="36" t="s">
        <v>949</v>
      </c>
      <c r="H164" s="125" t="s">
        <v>66</v>
      </c>
      <c r="I164" s="122" t="s">
        <v>681</v>
      </c>
      <c r="J164" s="126" t="n">
        <v>39768</v>
      </c>
      <c r="K164" s="122" t="s">
        <v>67</v>
      </c>
      <c r="L164" s="99" t="s">
        <v>54</v>
      </c>
      <c r="M164" s="127" t="n">
        <v>100</v>
      </c>
      <c r="N164" s="93" t="n">
        <v>1</v>
      </c>
      <c r="O164" s="93"/>
      <c r="P164" s="93"/>
      <c r="Q164" s="93"/>
      <c r="R164" s="93"/>
      <c r="S164" s="40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99" t="n">
        <f aca="false">(AA164+X164+T164+P164+N164)*100</f>
        <v>100</v>
      </c>
      <c r="AE164" s="93" t="n">
        <f aca="false">(0.8*AC164)+(0.2*AD164)</f>
        <v>100</v>
      </c>
      <c r="AF164" s="137" t="n">
        <f aca="false">75+((AE164-$AE$195)/($AE$194-$AE$195)*(92-75))</f>
        <v>78.0357142857143</v>
      </c>
      <c r="AG164" s="93"/>
      <c r="AH164" s="93" t="n">
        <v>100</v>
      </c>
      <c r="AI164" s="40" t="n">
        <v>0</v>
      </c>
      <c r="AJ164" s="93" t="n">
        <v>1</v>
      </c>
    </row>
    <row r="165" customFormat="false" ht="12.75" hidden="false" customHeight="true" outlineLevel="0" collapsed="false">
      <c r="A165" s="99" t="n">
        <v>20</v>
      </c>
      <c r="B165" s="99" t="n">
        <v>21</v>
      </c>
      <c r="C165" s="122" t="s">
        <v>159</v>
      </c>
      <c r="D165" s="94" t="n">
        <v>252610116</v>
      </c>
      <c r="E165" s="123" t="s">
        <v>950</v>
      </c>
      <c r="F165" s="124" t="s">
        <v>951</v>
      </c>
      <c r="G165" s="36" t="s">
        <v>951</v>
      </c>
      <c r="H165" s="125" t="s">
        <v>52</v>
      </c>
      <c r="I165" s="122" t="s">
        <v>687</v>
      </c>
      <c r="J165" s="126" t="n">
        <v>39896</v>
      </c>
      <c r="K165" s="122" t="s">
        <v>78</v>
      </c>
      <c r="L165" s="99" t="s">
        <v>54</v>
      </c>
      <c r="M165" s="127" t="n">
        <v>100</v>
      </c>
      <c r="N165" s="93"/>
      <c r="O165" s="93" t="n">
        <v>100</v>
      </c>
      <c r="P165" s="93"/>
      <c r="Q165" s="93"/>
      <c r="R165" s="93"/>
      <c r="S165" s="40"/>
      <c r="T165" s="93" t="n">
        <v>2</v>
      </c>
      <c r="U165" s="93" t="n">
        <v>100</v>
      </c>
      <c r="V165" s="93" t="n">
        <v>100</v>
      </c>
      <c r="W165" s="93"/>
      <c r="X165" s="93"/>
      <c r="Y165" s="79" t="n">
        <v>100</v>
      </c>
      <c r="Z165" s="79" t="n">
        <v>100</v>
      </c>
      <c r="AA165" s="6" t="n">
        <v>1</v>
      </c>
      <c r="AC165" s="93" t="n">
        <f aca="false">M165+O165+U165+V165+Y165+Z165</f>
        <v>600</v>
      </c>
      <c r="AD165" s="99" t="n">
        <f aca="false">(AA165+X165+T165+P165+N165)*100</f>
        <v>300</v>
      </c>
      <c r="AE165" s="93" t="n">
        <f aca="false">(0.8*AC165)+(0.2*AD165)</f>
        <v>540</v>
      </c>
      <c r="AF165" s="137" t="n">
        <f aca="false">75+((AE165-$AE$195)/($AE$194-$AE$195)*(92-75))</f>
        <v>91.3928571428571</v>
      </c>
      <c r="AG165" s="93"/>
      <c r="AH165" s="93" t="n">
        <v>100</v>
      </c>
      <c r="AI165" s="40" t="n">
        <v>100</v>
      </c>
      <c r="AJ165" s="93"/>
    </row>
    <row r="166" customFormat="false" ht="12.75" hidden="false" customHeight="true" outlineLevel="0" collapsed="false">
      <c r="A166" s="99" t="n">
        <v>21</v>
      </c>
      <c r="B166" s="99" t="n">
        <v>22</v>
      </c>
      <c r="C166" s="122" t="s">
        <v>164</v>
      </c>
      <c r="D166" s="94" t="n">
        <v>252610117</v>
      </c>
      <c r="E166" s="123" t="s">
        <v>952</v>
      </c>
      <c r="F166" s="124" t="s">
        <v>953</v>
      </c>
      <c r="G166" s="36" t="s">
        <v>953</v>
      </c>
      <c r="H166" s="125" t="s">
        <v>52</v>
      </c>
      <c r="I166" s="122" t="s">
        <v>687</v>
      </c>
      <c r="J166" s="126" t="n">
        <v>40031</v>
      </c>
      <c r="K166" s="122" t="s">
        <v>78</v>
      </c>
      <c r="L166" s="99" t="s">
        <v>54</v>
      </c>
      <c r="M166" s="127" t="n">
        <v>100</v>
      </c>
      <c r="N166" s="93"/>
      <c r="O166" s="93" t="n">
        <v>100</v>
      </c>
      <c r="P166" s="93"/>
      <c r="Q166" s="93"/>
      <c r="R166" s="93"/>
      <c r="S166" s="40"/>
      <c r="T166" s="93"/>
      <c r="U166" s="93" t="n">
        <v>100</v>
      </c>
      <c r="V166" s="93" t="n">
        <v>100</v>
      </c>
      <c r="W166" s="93"/>
      <c r="X166" s="93"/>
      <c r="Y166" s="79" t="n">
        <v>100</v>
      </c>
      <c r="Z166" s="79" t="n">
        <v>100</v>
      </c>
      <c r="AC166" s="93" t="n">
        <f aca="false">M166+O166+U166+V166+Y166+Z166</f>
        <v>600</v>
      </c>
      <c r="AD166" s="99" t="n">
        <f aca="false">(AA166+X166+T166+P166+N166)*100</f>
        <v>0</v>
      </c>
      <c r="AE166" s="93" t="n">
        <f aca="false">(0.8*AC166)+(0.2*AD166)</f>
        <v>480</v>
      </c>
      <c r="AF166" s="137" t="n">
        <f aca="false">75+((AE166-$AE$195)/($AE$194-$AE$195)*(92-75))</f>
        <v>89.5714285714286</v>
      </c>
      <c r="AG166" s="93"/>
      <c r="AH166" s="93" t="n">
        <v>100</v>
      </c>
      <c r="AI166" s="40" t="n">
        <v>100</v>
      </c>
      <c r="AJ166" s="93"/>
    </row>
    <row r="167" customFormat="false" ht="12.75" hidden="false" customHeight="true" outlineLevel="0" collapsed="false">
      <c r="A167" s="99" t="n">
        <v>22</v>
      </c>
      <c r="B167" s="99" t="n">
        <v>296</v>
      </c>
      <c r="C167" s="122" t="s">
        <v>170</v>
      </c>
      <c r="D167" s="94" t="n">
        <v>252610118</v>
      </c>
      <c r="E167" s="33" t="s">
        <v>954</v>
      </c>
      <c r="F167" s="124" t="s">
        <v>955</v>
      </c>
      <c r="G167" s="36" t="s">
        <v>955</v>
      </c>
      <c r="H167" s="125" t="s">
        <v>52</v>
      </c>
      <c r="I167" s="122" t="s">
        <v>687</v>
      </c>
      <c r="J167" s="126" t="n">
        <v>39926</v>
      </c>
      <c r="K167" s="122" t="s">
        <v>147</v>
      </c>
      <c r="L167" s="99" t="s">
        <v>54</v>
      </c>
      <c r="M167" s="127" t="n">
        <v>100</v>
      </c>
      <c r="N167" s="93"/>
      <c r="O167" s="93" t="n">
        <v>100</v>
      </c>
      <c r="P167" s="93"/>
      <c r="Q167" s="93"/>
      <c r="R167" s="93"/>
      <c r="S167" s="40"/>
      <c r="T167" s="93"/>
      <c r="U167" s="93" t="n">
        <v>100</v>
      </c>
      <c r="V167" s="93" t="n">
        <v>100</v>
      </c>
      <c r="W167" s="93"/>
      <c r="X167" s="93"/>
      <c r="Y167" s="79" t="n">
        <v>100</v>
      </c>
      <c r="AC167" s="93" t="n">
        <f aca="false">M167+O167+U167+V167+Y167+Z167</f>
        <v>500</v>
      </c>
      <c r="AD167" s="99" t="n">
        <f aca="false">(AA167+X167+T167+P167+N167)*100</f>
        <v>0</v>
      </c>
      <c r="AE167" s="93" t="n">
        <f aca="false">(0.8*AC167)+(0.2*AD167)</f>
        <v>400</v>
      </c>
      <c r="AF167" s="137" t="n">
        <f aca="false">75+((AE167-$AE$195)/($AE$194-$AE$195)*(92-75))</f>
        <v>87.1428571428571</v>
      </c>
      <c r="AG167" s="93"/>
      <c r="AH167" s="93" t="n">
        <v>100</v>
      </c>
      <c r="AI167" s="40" t="n">
        <v>100</v>
      </c>
      <c r="AJ167" s="93"/>
    </row>
    <row r="168" customFormat="false" ht="12.75" hidden="false" customHeight="true" outlineLevel="0" collapsed="false">
      <c r="A168" s="99" t="n">
        <v>23</v>
      </c>
      <c r="B168" s="99" t="n">
        <v>23</v>
      </c>
      <c r="C168" s="122" t="s">
        <v>175</v>
      </c>
      <c r="D168" s="94" t="n">
        <v>252610119</v>
      </c>
      <c r="E168" s="123" t="s">
        <v>956</v>
      </c>
      <c r="F168" s="124" t="s">
        <v>957</v>
      </c>
      <c r="G168" s="36" t="s">
        <v>957</v>
      </c>
      <c r="H168" s="125" t="s">
        <v>66</v>
      </c>
      <c r="I168" s="122" t="s">
        <v>687</v>
      </c>
      <c r="J168" s="126" t="n">
        <v>39669</v>
      </c>
      <c r="K168" s="122" t="s">
        <v>112</v>
      </c>
      <c r="L168" s="99" t="s">
        <v>54</v>
      </c>
      <c r="M168" s="127" t="n">
        <v>100</v>
      </c>
      <c r="N168" s="93" t="n">
        <v>2</v>
      </c>
      <c r="O168" s="93"/>
      <c r="P168" s="93"/>
      <c r="Q168" s="93"/>
      <c r="R168" s="93"/>
      <c r="S168" s="40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99" t="n">
        <f aca="false">(AA168+X168+T168+P168+N168)*100</f>
        <v>500</v>
      </c>
      <c r="AE168" s="93" t="n">
        <f aca="false">(0.8*AC168)+(0.2*AD168)</f>
        <v>340</v>
      </c>
      <c r="AF168" s="137" t="n">
        <f aca="false">75+((AE168-$AE$195)/($AE$194-$AE$195)*(92-75))</f>
        <v>85.3214285714286</v>
      </c>
      <c r="AG168" s="93" t="s">
        <v>927</v>
      </c>
      <c r="AH168" s="93" t="n">
        <v>0</v>
      </c>
      <c r="AI168" s="40" t="n">
        <v>100</v>
      </c>
      <c r="AJ168" s="93"/>
    </row>
    <row r="169" customFormat="false" ht="12.75" hidden="false" customHeight="true" outlineLevel="0" collapsed="false">
      <c r="A169" s="99" t="n">
        <v>24</v>
      </c>
      <c r="B169" s="99" t="n">
        <v>24</v>
      </c>
      <c r="C169" s="122" t="s">
        <v>181</v>
      </c>
      <c r="D169" s="94" t="n">
        <v>252610120</v>
      </c>
      <c r="E169" s="123" t="s">
        <v>958</v>
      </c>
      <c r="F169" s="124" t="s">
        <v>959</v>
      </c>
      <c r="G169" s="36" t="s">
        <v>959</v>
      </c>
      <c r="H169" s="125" t="s">
        <v>66</v>
      </c>
      <c r="I169" s="122" t="s">
        <v>687</v>
      </c>
      <c r="J169" s="126" t="n">
        <v>39911</v>
      </c>
      <c r="K169" s="122" t="s">
        <v>60</v>
      </c>
      <c r="L169" s="99" t="s">
        <v>54</v>
      </c>
      <c r="M169" s="127" t="n">
        <v>100</v>
      </c>
      <c r="N169" s="93"/>
      <c r="O169" s="93"/>
      <c r="P169" s="93"/>
      <c r="Q169" s="93"/>
      <c r="R169" s="93"/>
      <c r="S169" s="40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99" t="n">
        <f aca="false">(AA169+X169+T169+P169+N169)*100</f>
        <v>0</v>
      </c>
      <c r="AE169" s="93" t="n">
        <f aca="false">(0.8*AC169)+(0.2*AD169)</f>
        <v>160</v>
      </c>
      <c r="AF169" s="137" t="n">
        <f aca="false">75+((AE169-$AE$195)/($AE$194-$AE$195)*(92-75))</f>
        <v>79.8571428571429</v>
      </c>
      <c r="AG169" s="93" t="s">
        <v>927</v>
      </c>
      <c r="AH169" s="93" t="n">
        <v>100</v>
      </c>
      <c r="AI169" s="40" t="n">
        <v>100</v>
      </c>
      <c r="AJ169" s="93"/>
    </row>
    <row r="170" customFormat="false" ht="12.75" hidden="false" customHeight="true" outlineLevel="0" collapsed="false">
      <c r="A170" s="99" t="n">
        <v>25</v>
      </c>
      <c r="B170" s="99" t="n">
        <v>25</v>
      </c>
      <c r="C170" s="122" t="s">
        <v>187</v>
      </c>
      <c r="D170" s="94" t="n">
        <v>252610121</v>
      </c>
      <c r="E170" s="123" t="s">
        <v>960</v>
      </c>
      <c r="F170" s="124" t="s">
        <v>961</v>
      </c>
      <c r="G170" s="36" t="s">
        <v>961</v>
      </c>
      <c r="H170" s="125" t="s">
        <v>66</v>
      </c>
      <c r="I170" s="122" t="s">
        <v>684</v>
      </c>
      <c r="J170" s="126" t="n">
        <v>39728</v>
      </c>
      <c r="K170" s="122" t="s">
        <v>78</v>
      </c>
      <c r="L170" s="99" t="s">
        <v>54</v>
      </c>
      <c r="M170" s="127" t="n">
        <v>100</v>
      </c>
      <c r="N170" s="93"/>
      <c r="O170" s="93"/>
      <c r="P170" s="93"/>
      <c r="Q170" s="93"/>
      <c r="R170" s="93"/>
      <c r="S170" s="40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99" t="n">
        <f aca="false">(AA170+X170+T170+P170+N170)*100</f>
        <v>0</v>
      </c>
      <c r="AE170" s="93" t="n">
        <f aca="false">(0.8*AC170)+(0.2*AD170)</f>
        <v>240</v>
      </c>
      <c r="AF170" s="137" t="n">
        <f aca="false">75+((AE170-$AE$195)/($AE$194-$AE$195)*(92-75))</f>
        <v>82.2857142857143</v>
      </c>
      <c r="AG170" s="93"/>
      <c r="AH170" s="93" t="n">
        <v>0</v>
      </c>
      <c r="AI170" s="40" t="n">
        <v>0</v>
      </c>
      <c r="AJ170" s="93"/>
    </row>
    <row r="171" customFormat="false" ht="12.75" hidden="false" customHeight="true" outlineLevel="0" collapsed="false">
      <c r="A171" s="99" t="n">
        <v>26</v>
      </c>
      <c r="B171" s="99" t="n">
        <v>26</v>
      </c>
      <c r="C171" s="122" t="s">
        <v>193</v>
      </c>
      <c r="D171" s="94" t="n">
        <v>252610122</v>
      </c>
      <c r="E171" s="123" t="s">
        <v>962</v>
      </c>
      <c r="F171" s="124" t="s">
        <v>963</v>
      </c>
      <c r="G171" s="36" t="s">
        <v>963</v>
      </c>
      <c r="H171" s="125" t="s">
        <v>66</v>
      </c>
      <c r="I171" s="122" t="s">
        <v>681</v>
      </c>
      <c r="J171" s="126" t="n">
        <v>39846</v>
      </c>
      <c r="K171" s="122" t="s">
        <v>67</v>
      </c>
      <c r="L171" s="99" t="s">
        <v>54</v>
      </c>
      <c r="M171" s="127" t="n">
        <v>100</v>
      </c>
      <c r="N171" s="93"/>
      <c r="O171" s="93"/>
      <c r="P171" s="93"/>
      <c r="Q171" s="93"/>
      <c r="R171" s="93"/>
      <c r="S171" s="40"/>
      <c r="T171" s="93"/>
      <c r="U171" s="93"/>
      <c r="V171" s="93" t="n">
        <v>100</v>
      </c>
      <c r="W171" s="93"/>
      <c r="X171" s="93"/>
      <c r="AA171" s="6" t="n">
        <v>1</v>
      </c>
      <c r="AC171" s="93" t="n">
        <f aca="false">M171+O171+U171+V171+Y171+Z171</f>
        <v>200</v>
      </c>
      <c r="AD171" s="99" t="n">
        <f aca="false">(AA171+X171+T171+P171+N171)*100</f>
        <v>100</v>
      </c>
      <c r="AE171" s="93" t="n">
        <f aca="false">(0.8*AC171)+(0.2*AD171)</f>
        <v>180</v>
      </c>
      <c r="AF171" s="137" t="n">
        <f aca="false">75+((AE171-$AE$195)/($AE$194-$AE$195)*(92-75))</f>
        <v>80.4642857142857</v>
      </c>
      <c r="AG171" s="93"/>
      <c r="AH171" s="93" t="n">
        <v>0</v>
      </c>
      <c r="AI171" s="40" t="n">
        <v>100</v>
      </c>
      <c r="AJ171" s="93"/>
    </row>
    <row r="172" customFormat="false" ht="12.75" hidden="false" customHeight="true" outlineLevel="0" collapsed="false">
      <c r="A172" s="99" t="n">
        <v>27</v>
      </c>
      <c r="B172" s="99" t="n">
        <v>27</v>
      </c>
      <c r="C172" s="122" t="s">
        <v>199</v>
      </c>
      <c r="D172" s="94" t="n">
        <v>252610123</v>
      </c>
      <c r="E172" s="123" t="s">
        <v>964</v>
      </c>
      <c r="F172" s="139" t="s">
        <v>965</v>
      </c>
      <c r="G172" s="36" t="s">
        <v>965</v>
      </c>
      <c r="H172" s="125" t="s">
        <v>66</v>
      </c>
      <c r="I172" s="122" t="s">
        <v>687</v>
      </c>
      <c r="J172" s="126" t="n">
        <v>39769</v>
      </c>
      <c r="K172" s="122" t="s">
        <v>78</v>
      </c>
      <c r="L172" s="99" t="s">
        <v>54</v>
      </c>
      <c r="M172" s="127" t="n">
        <v>100</v>
      </c>
      <c r="N172" s="93"/>
      <c r="O172" s="93"/>
      <c r="P172" s="93"/>
      <c r="Q172" s="93"/>
      <c r="R172" s="93"/>
      <c r="S172" s="40"/>
      <c r="T172" s="93"/>
      <c r="U172" s="93"/>
      <c r="V172" s="93"/>
      <c r="W172" s="93"/>
      <c r="X172" s="93"/>
      <c r="Y172" s="79" t="n">
        <v>100</v>
      </c>
      <c r="Z172" s="79" t="n">
        <v>100</v>
      </c>
      <c r="AC172" s="93" t="n">
        <f aca="false">M172+O172+U172+V172+Y172+Z172</f>
        <v>300</v>
      </c>
      <c r="AD172" s="99" t="n">
        <f aca="false">(AA172+X172+T172+P172+N172)*100</f>
        <v>0</v>
      </c>
      <c r="AE172" s="93" t="n">
        <f aca="false">(0.8*AC172)+(0.2*AD172)</f>
        <v>240</v>
      </c>
      <c r="AF172" s="137" t="n">
        <f aca="false">75+((AE172-$AE$195)/($AE$194-$AE$195)*(92-75))</f>
        <v>82.2857142857143</v>
      </c>
      <c r="AG172" s="93"/>
      <c r="AH172" s="93" t="n">
        <v>100</v>
      </c>
      <c r="AI172" s="40" t="n">
        <v>100</v>
      </c>
      <c r="AJ172" s="93"/>
    </row>
    <row r="173" customFormat="false" ht="12.75" hidden="false" customHeight="true" outlineLevel="0" collapsed="false">
      <c r="A173" s="99" t="n">
        <v>28</v>
      </c>
      <c r="B173" s="99" t="n">
        <v>28</v>
      </c>
      <c r="C173" s="122" t="s">
        <v>204</v>
      </c>
      <c r="D173" s="94" t="n">
        <v>252610124</v>
      </c>
      <c r="E173" s="123" t="s">
        <v>966</v>
      </c>
      <c r="F173" s="124" t="s">
        <v>967</v>
      </c>
      <c r="G173" s="36" t="s">
        <v>967</v>
      </c>
      <c r="H173" s="131" t="s">
        <v>52</v>
      </c>
      <c r="I173" s="122" t="s">
        <v>687</v>
      </c>
      <c r="J173" s="126" t="n">
        <v>39862</v>
      </c>
      <c r="K173" s="122" t="s">
        <v>60</v>
      </c>
      <c r="L173" s="99" t="s">
        <v>54</v>
      </c>
      <c r="M173" s="127" t="n">
        <v>100</v>
      </c>
      <c r="N173" s="93"/>
      <c r="O173" s="93"/>
      <c r="P173" s="93"/>
      <c r="Q173" s="93"/>
      <c r="R173" s="93"/>
      <c r="S173" s="40"/>
      <c r="T173" s="93"/>
      <c r="U173" s="93" t="n">
        <v>100</v>
      </c>
      <c r="V173" s="93" t="n">
        <v>100</v>
      </c>
      <c r="W173" s="93"/>
      <c r="X173" s="93"/>
      <c r="Y173" s="79" t="n">
        <v>100</v>
      </c>
      <c r="Z173" s="79" t="n">
        <v>100</v>
      </c>
      <c r="AC173" s="93" t="n">
        <f aca="false">M173+O173+U173+V173+Y173+Z173</f>
        <v>500</v>
      </c>
      <c r="AD173" s="99" t="n">
        <f aca="false">(AA173+X173+T173+P173+N173)*100</f>
        <v>0</v>
      </c>
      <c r="AE173" s="93" t="n">
        <f aca="false">(0.8*AC173)+(0.2*AD173)</f>
        <v>400</v>
      </c>
      <c r="AF173" s="137" t="n">
        <f aca="false">75+((AE173-$AE$195)/($AE$194-$AE$195)*(92-75))</f>
        <v>87.1428571428571</v>
      </c>
      <c r="AG173" s="93"/>
      <c r="AH173" s="93" t="n">
        <v>100</v>
      </c>
      <c r="AI173" s="40" t="n">
        <v>100</v>
      </c>
      <c r="AJ173" s="93"/>
    </row>
    <row r="174" customFormat="false" ht="12.75" hidden="false" customHeight="true" outlineLevel="0" collapsed="false">
      <c r="A174" s="99" t="n">
        <v>29</v>
      </c>
      <c r="B174" s="99" t="n">
        <v>30</v>
      </c>
      <c r="C174" s="122" t="s">
        <v>215</v>
      </c>
      <c r="D174" s="94" t="n">
        <v>252610125</v>
      </c>
      <c r="E174" s="123" t="s">
        <v>968</v>
      </c>
      <c r="F174" s="124" t="s">
        <v>969</v>
      </c>
      <c r="G174" s="36" t="s">
        <v>969</v>
      </c>
      <c r="H174" s="125" t="s">
        <v>52</v>
      </c>
      <c r="I174" s="122" t="s">
        <v>687</v>
      </c>
      <c r="J174" s="126" t="n">
        <v>39566</v>
      </c>
      <c r="K174" s="122" t="s">
        <v>78</v>
      </c>
      <c r="L174" s="99" t="s">
        <v>54</v>
      </c>
      <c r="M174" s="127" t="n">
        <v>100</v>
      </c>
      <c r="N174" s="93"/>
      <c r="O174" s="93"/>
      <c r="P174" s="93"/>
      <c r="Q174" s="93"/>
      <c r="R174" s="93"/>
      <c r="S174" s="40"/>
      <c r="T174" s="93"/>
      <c r="U174" s="93" t="n">
        <v>100</v>
      </c>
      <c r="V174" s="93" t="n">
        <v>100</v>
      </c>
      <c r="W174" s="93"/>
      <c r="X174" s="93"/>
      <c r="Y174" s="79" t="n">
        <v>100</v>
      </c>
      <c r="AA174" s="6" t="n">
        <v>1</v>
      </c>
      <c r="AC174" s="93" t="n">
        <f aca="false">M174+O174+U174+V174+Y174+Z174</f>
        <v>400</v>
      </c>
      <c r="AD174" s="99" t="n">
        <f aca="false">(AA174+X174+T174+P174+N174)*100</f>
        <v>100</v>
      </c>
      <c r="AE174" s="93" t="n">
        <f aca="false">(0.8*AC174)+(0.2*AD174)</f>
        <v>340</v>
      </c>
      <c r="AF174" s="137" t="n">
        <f aca="false">75+((AE174-$AE$195)/($AE$194-$AE$195)*(92-75))</f>
        <v>85.3214285714286</v>
      </c>
      <c r="AG174" s="93"/>
      <c r="AH174" s="93" t="n">
        <v>100</v>
      </c>
      <c r="AI174" s="40" t="n">
        <v>0</v>
      </c>
      <c r="AJ174" s="93"/>
    </row>
    <row r="175" customFormat="false" ht="12.75" hidden="false" customHeight="true" outlineLevel="0" collapsed="false">
      <c r="A175" s="99" t="n">
        <v>30</v>
      </c>
      <c r="B175" s="99" t="n">
        <v>31</v>
      </c>
      <c r="C175" s="122" t="s">
        <v>218</v>
      </c>
      <c r="D175" s="94" t="n">
        <v>252610126</v>
      </c>
      <c r="E175" s="123" t="s">
        <v>970</v>
      </c>
      <c r="F175" s="124" t="s">
        <v>971</v>
      </c>
      <c r="G175" s="36" t="s">
        <v>971</v>
      </c>
      <c r="H175" s="125" t="s">
        <v>52</v>
      </c>
      <c r="I175" s="122" t="s">
        <v>681</v>
      </c>
      <c r="J175" s="126" t="n">
        <v>39851</v>
      </c>
      <c r="K175" s="122" t="s">
        <v>78</v>
      </c>
      <c r="L175" s="99" t="s">
        <v>54</v>
      </c>
      <c r="M175" s="127" t="n">
        <v>100</v>
      </c>
      <c r="N175" s="93"/>
      <c r="O175" s="93"/>
      <c r="P175" s="93"/>
      <c r="Q175" s="93"/>
      <c r="R175" s="93"/>
      <c r="S175" s="40"/>
      <c r="T175" s="93"/>
      <c r="U175" s="93" t="n">
        <v>100</v>
      </c>
      <c r="V175" s="93" t="n">
        <v>100</v>
      </c>
      <c r="W175" s="93"/>
      <c r="X175" s="93"/>
      <c r="Y175" s="79" t="n">
        <v>100</v>
      </c>
      <c r="Z175" s="79" t="n">
        <v>100</v>
      </c>
      <c r="AA175" s="6" t="n">
        <v>1</v>
      </c>
      <c r="AC175" s="93" t="n">
        <f aca="false">M175+O175+U175+V175+Y175+Z175</f>
        <v>500</v>
      </c>
      <c r="AD175" s="99" t="n">
        <f aca="false">(AA175+X175+T175+P175+N175)*100</f>
        <v>100</v>
      </c>
      <c r="AE175" s="93" t="n">
        <f aca="false">(0.8*AC175)+(0.2*AD175)</f>
        <v>420</v>
      </c>
      <c r="AF175" s="137" t="n">
        <f aca="false">75+((AE175-$AE$195)/($AE$194-$AE$195)*(92-75))</f>
        <v>87.75</v>
      </c>
      <c r="AG175" s="93"/>
      <c r="AH175" s="93" t="n">
        <v>100</v>
      </c>
      <c r="AI175" s="40" t="n">
        <v>100</v>
      </c>
      <c r="AJ175" s="93"/>
    </row>
    <row r="176" customFormat="false" ht="12.75" hidden="false" customHeight="true" outlineLevel="0" collapsed="false">
      <c r="A176" s="99" t="n">
        <v>31</v>
      </c>
      <c r="B176" s="99" t="n">
        <v>32</v>
      </c>
      <c r="C176" s="122" t="s">
        <v>223</v>
      </c>
      <c r="D176" s="94" t="n">
        <v>252610127</v>
      </c>
      <c r="E176" s="123" t="s">
        <v>972</v>
      </c>
      <c r="F176" s="124" t="s">
        <v>973</v>
      </c>
      <c r="G176" s="36" t="s">
        <v>973</v>
      </c>
      <c r="H176" s="125" t="s">
        <v>52</v>
      </c>
      <c r="I176" s="122" t="s">
        <v>687</v>
      </c>
      <c r="J176" s="126" t="n">
        <v>39889</v>
      </c>
      <c r="K176" s="122" t="s">
        <v>60</v>
      </c>
      <c r="L176" s="99" t="s">
        <v>54</v>
      </c>
      <c r="M176" s="127" t="n">
        <v>100</v>
      </c>
      <c r="N176" s="93"/>
      <c r="O176" s="93" t="n">
        <v>100</v>
      </c>
      <c r="P176" s="93"/>
      <c r="Q176" s="93"/>
      <c r="R176" s="93"/>
      <c r="S176" s="40"/>
      <c r="T176" s="93"/>
      <c r="U176" s="93" t="n">
        <v>100</v>
      </c>
      <c r="V176" s="93" t="n">
        <v>100</v>
      </c>
      <c r="W176" s="93"/>
      <c r="X176" s="93"/>
      <c r="Y176" s="79" t="n">
        <v>100</v>
      </c>
      <c r="AC176" s="93" t="n">
        <f aca="false">M176+O176+U176+V176+Y176+Z176</f>
        <v>500</v>
      </c>
      <c r="AD176" s="99" t="n">
        <f aca="false">(AA176+X176+T176+P176+N176)*100</f>
        <v>0</v>
      </c>
      <c r="AE176" s="93" t="n">
        <f aca="false">(0.8*AC176)+(0.2*AD176)</f>
        <v>400</v>
      </c>
      <c r="AF176" s="137" t="n">
        <f aca="false">75+((AE176-$AE$195)/($AE$194-$AE$195)*(92-75))</f>
        <v>87.1428571428571</v>
      </c>
      <c r="AG176" s="93"/>
      <c r="AH176" s="93" t="n">
        <v>100</v>
      </c>
      <c r="AI176" s="40" t="n">
        <v>100</v>
      </c>
      <c r="AJ176" s="93"/>
    </row>
    <row r="177" customFormat="false" ht="12.75" hidden="false" customHeight="true" outlineLevel="0" collapsed="false">
      <c r="A177" s="99" t="n">
        <v>32</v>
      </c>
      <c r="B177" s="99" t="n">
        <v>33</v>
      </c>
      <c r="C177" s="122" t="s">
        <v>229</v>
      </c>
      <c r="D177" s="94" t="n">
        <v>252610128</v>
      </c>
      <c r="E177" s="123" t="s">
        <v>974</v>
      </c>
      <c r="F177" s="124" t="s">
        <v>975</v>
      </c>
      <c r="G177" s="36" t="s">
        <v>975</v>
      </c>
      <c r="H177" s="125" t="s">
        <v>52</v>
      </c>
      <c r="I177" s="122" t="s">
        <v>750</v>
      </c>
      <c r="J177" s="126" t="n">
        <v>39654</v>
      </c>
      <c r="K177" s="122" t="s">
        <v>60</v>
      </c>
      <c r="L177" s="99" t="s">
        <v>54</v>
      </c>
      <c r="M177" s="127" t="n">
        <v>100</v>
      </c>
      <c r="N177" s="93"/>
      <c r="O177" s="93"/>
      <c r="P177" s="93"/>
      <c r="Q177" s="93"/>
      <c r="R177" s="93"/>
      <c r="S177" s="40"/>
      <c r="T177" s="93"/>
      <c r="U177" s="93" t="n">
        <v>100</v>
      </c>
      <c r="V177" s="93" t="n">
        <v>100</v>
      </c>
      <c r="W177" s="93"/>
      <c r="X177" s="93"/>
      <c r="Y177" s="79" t="n">
        <v>100</v>
      </c>
      <c r="Z177" s="79" t="n">
        <v>100</v>
      </c>
      <c r="AA177" s="6" t="n">
        <v>1</v>
      </c>
      <c r="AC177" s="93" t="n">
        <f aca="false">M177+O177+U177+V177+Y177+Z177</f>
        <v>500</v>
      </c>
      <c r="AD177" s="99" t="n">
        <f aca="false">(AA177+X177+T177+P177+N177)*100</f>
        <v>100</v>
      </c>
      <c r="AE177" s="93" t="n">
        <f aca="false">(0.8*AC177)+(0.2*AD177)</f>
        <v>420</v>
      </c>
      <c r="AF177" s="137" t="n">
        <f aca="false">75+((AE177-$AE$195)/($AE$194-$AE$195)*(92-75))</f>
        <v>87.75</v>
      </c>
      <c r="AG177" s="93"/>
      <c r="AH177" s="93" t="n">
        <v>100</v>
      </c>
      <c r="AI177" s="40" t="n">
        <v>0</v>
      </c>
      <c r="AJ177" s="93"/>
    </row>
    <row r="178" customFormat="false" ht="12.75" hidden="false" customHeight="true" outlineLevel="0" collapsed="false">
      <c r="A178" s="99" t="n">
        <v>33</v>
      </c>
      <c r="B178" s="99" t="n">
        <v>34</v>
      </c>
      <c r="C178" s="122" t="s">
        <v>234</v>
      </c>
      <c r="D178" s="94" t="n">
        <v>252610129</v>
      </c>
      <c r="E178" s="123" t="s">
        <v>976</v>
      </c>
      <c r="F178" s="124" t="s">
        <v>977</v>
      </c>
      <c r="G178" s="36" t="s">
        <v>977</v>
      </c>
      <c r="H178" s="125" t="s">
        <v>66</v>
      </c>
      <c r="I178" s="122" t="s">
        <v>687</v>
      </c>
      <c r="J178" s="126" t="n">
        <v>39675</v>
      </c>
      <c r="K178" s="122" t="s">
        <v>78</v>
      </c>
      <c r="L178" s="99" t="s">
        <v>54</v>
      </c>
      <c r="M178" s="127" t="n">
        <v>100</v>
      </c>
      <c r="N178" s="93"/>
      <c r="O178" s="93" t="n">
        <v>100</v>
      </c>
      <c r="P178" s="93"/>
      <c r="Q178" s="93"/>
      <c r="R178" s="93"/>
      <c r="S178" s="40"/>
      <c r="T178" s="93"/>
      <c r="U178" s="93" t="n">
        <v>100</v>
      </c>
      <c r="V178" s="93" t="n">
        <v>100</v>
      </c>
      <c r="W178" s="93"/>
      <c r="X178" s="93"/>
      <c r="Y178" s="79" t="n">
        <v>100</v>
      </c>
      <c r="Z178" s="79" t="n">
        <v>100</v>
      </c>
      <c r="AC178" s="93" t="n">
        <f aca="false">M178+O178+U178+V178+Y178+Z178</f>
        <v>600</v>
      </c>
      <c r="AD178" s="99" t="n">
        <f aca="false">(AA178+X178+T178+P178+N178)*100</f>
        <v>0</v>
      </c>
      <c r="AE178" s="93" t="n">
        <f aca="false">(0.8*AC178)+(0.2*AD178)</f>
        <v>480</v>
      </c>
      <c r="AF178" s="137" t="n">
        <f aca="false">75+((AE178-$AE$195)/($AE$194-$AE$195)*(92-75))</f>
        <v>89.5714285714286</v>
      </c>
      <c r="AG178" s="93"/>
      <c r="AH178" s="93" t="n">
        <v>100</v>
      </c>
      <c r="AI178" s="40" t="n">
        <v>100</v>
      </c>
      <c r="AJ178" s="93"/>
    </row>
    <row r="179" customFormat="false" ht="12.75" hidden="false" customHeight="true" outlineLevel="0" collapsed="false">
      <c r="A179" s="99" t="n">
        <v>34</v>
      </c>
      <c r="B179" s="99" t="n">
        <v>35</v>
      </c>
      <c r="C179" s="122" t="s">
        <v>753</v>
      </c>
      <c r="D179" s="94" t="n">
        <v>252610130</v>
      </c>
      <c r="E179" s="123" t="s">
        <v>978</v>
      </c>
      <c r="F179" s="124" t="s">
        <v>979</v>
      </c>
      <c r="G179" s="36" t="s">
        <v>979</v>
      </c>
      <c r="H179" s="125" t="s">
        <v>52</v>
      </c>
      <c r="I179" s="122" t="s">
        <v>687</v>
      </c>
      <c r="J179" s="126" t="n">
        <v>39930</v>
      </c>
      <c r="K179" s="122" t="s">
        <v>78</v>
      </c>
      <c r="L179" s="99" t="s">
        <v>54</v>
      </c>
      <c r="M179" s="127" t="n">
        <v>100</v>
      </c>
      <c r="N179" s="93"/>
      <c r="O179" s="93" t="n">
        <v>100</v>
      </c>
      <c r="P179" s="93"/>
      <c r="Q179" s="93"/>
      <c r="R179" s="93"/>
      <c r="S179" s="40"/>
      <c r="T179" s="93"/>
      <c r="U179" s="93" t="n">
        <v>100</v>
      </c>
      <c r="V179" s="93" t="n">
        <v>100</v>
      </c>
      <c r="W179" s="93"/>
      <c r="X179" s="93"/>
      <c r="AA179" s="6" t="n">
        <v>1</v>
      </c>
      <c r="AC179" s="93" t="n">
        <f aca="false">M179+O179+U179+V179+Y179+Z179</f>
        <v>400</v>
      </c>
      <c r="AD179" s="99" t="n">
        <f aca="false">(AA179+X179+T179+P179+N179)*100</f>
        <v>100</v>
      </c>
      <c r="AE179" s="93" t="n">
        <f aca="false">(0.8*AC179)+(0.2*AD179)</f>
        <v>340</v>
      </c>
      <c r="AF179" s="137" t="n">
        <f aca="false">75+((AE179-$AE$195)/($AE$194-$AE$195)*(92-75))</f>
        <v>85.3214285714286</v>
      </c>
      <c r="AG179" s="93"/>
      <c r="AH179" s="93" t="n">
        <v>100</v>
      </c>
      <c r="AI179" s="40" t="n">
        <v>100</v>
      </c>
      <c r="AJ179" s="93"/>
    </row>
    <row r="180" customFormat="false" ht="12.75" hidden="false" customHeight="true" outlineLevel="0" collapsed="false">
      <c r="A180" s="99" t="n">
        <v>35</v>
      </c>
      <c r="B180" s="99" t="n">
        <v>36</v>
      </c>
      <c r="C180" s="122" t="s">
        <v>756</v>
      </c>
      <c r="D180" s="94" t="n">
        <v>252610131</v>
      </c>
      <c r="E180" s="123" t="s">
        <v>980</v>
      </c>
      <c r="F180" s="124" t="s">
        <v>981</v>
      </c>
      <c r="G180" s="68" t="s">
        <v>981</v>
      </c>
      <c r="H180" s="125" t="s">
        <v>66</v>
      </c>
      <c r="I180" s="122" t="s">
        <v>681</v>
      </c>
      <c r="J180" s="126" t="n">
        <v>39600</v>
      </c>
      <c r="K180" s="122" t="s">
        <v>67</v>
      </c>
      <c r="L180" s="99" t="s">
        <v>54</v>
      </c>
      <c r="M180" s="127" t="n">
        <v>100</v>
      </c>
      <c r="N180" s="93"/>
      <c r="O180" s="93"/>
      <c r="P180" s="93"/>
      <c r="Q180" s="93"/>
      <c r="R180" s="93"/>
      <c r="S180" s="40"/>
      <c r="T180" s="93"/>
      <c r="U180" s="93"/>
      <c r="V180" s="93" t="n">
        <v>100</v>
      </c>
      <c r="W180" s="93"/>
      <c r="X180" s="93"/>
      <c r="Y180" s="79" t="n">
        <v>100</v>
      </c>
      <c r="Z180" s="79" t="n">
        <v>100</v>
      </c>
      <c r="AA180" s="6" t="n">
        <v>1</v>
      </c>
      <c r="AC180" s="93" t="n">
        <f aca="false">M180+O180+U180+V180+Y180+Z180</f>
        <v>400</v>
      </c>
      <c r="AD180" s="99" t="n">
        <f aca="false">(AA180+X180+T180+P180+N180)*100</f>
        <v>100</v>
      </c>
      <c r="AE180" s="93" t="n">
        <f aca="false">(0.8*AC180)+(0.2*AD180)</f>
        <v>340</v>
      </c>
      <c r="AF180" s="137" t="n">
        <f aca="false">75+((AE180-$AE$195)/($AE$194-$AE$195)*(92-75))</f>
        <v>85.3214285714286</v>
      </c>
      <c r="AG180" s="93"/>
      <c r="AH180" s="93" t="n">
        <v>0</v>
      </c>
      <c r="AI180" s="40" t="n">
        <v>100</v>
      </c>
      <c r="AJ180" s="93"/>
    </row>
    <row r="181" customFormat="false" ht="12.75" hidden="false" customHeight="true" outlineLevel="0" collapsed="false">
      <c r="A181" s="99" t="n">
        <v>36</v>
      </c>
      <c r="B181" s="99"/>
      <c r="C181" s="122"/>
      <c r="D181" s="94" t="n">
        <v>252610132</v>
      </c>
      <c r="E181" s="123" t="s">
        <v>982</v>
      </c>
      <c r="F181" s="124" t="s">
        <v>983</v>
      </c>
      <c r="G181" s="36" t="s">
        <v>983</v>
      </c>
      <c r="H181" s="125" t="s">
        <v>66</v>
      </c>
      <c r="I181" s="122"/>
      <c r="J181" s="126"/>
      <c r="K181" s="122"/>
      <c r="L181" s="99"/>
      <c r="M181" s="99" t="n">
        <v>100</v>
      </c>
      <c r="N181" s="93"/>
      <c r="O181" s="93"/>
      <c r="P181" s="93"/>
      <c r="Q181" s="93"/>
      <c r="R181" s="93"/>
      <c r="S181" s="40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99" t="n">
        <f aca="false">(AA181+X181+T181+P181+N181)*100</f>
        <v>0</v>
      </c>
      <c r="AE181" s="93" t="n">
        <f aca="false">(0.8*AC181)+(0.2*AD181)</f>
        <v>240</v>
      </c>
      <c r="AF181" s="137" t="n">
        <f aca="false">75+((AE181-$AE$195)/($AE$194-$AE$195)*(92-75))</f>
        <v>82.2857142857143</v>
      </c>
      <c r="AG181" s="93"/>
      <c r="AH181" s="93" t="n">
        <v>100</v>
      </c>
      <c r="AI181" s="40" t="n">
        <v>0</v>
      </c>
      <c r="AJ181" s="93"/>
    </row>
    <row r="182" customFormat="false" ht="12.75" hidden="false" customHeight="true" outlineLevel="0" collapsed="false">
      <c r="A182" s="99" t="n">
        <v>37</v>
      </c>
      <c r="B182" s="99"/>
      <c r="C182" s="122"/>
      <c r="D182" s="94" t="n">
        <v>252610133</v>
      </c>
      <c r="E182" s="123" t="s">
        <v>984</v>
      </c>
      <c r="F182" s="124" t="s">
        <v>985</v>
      </c>
      <c r="G182" s="36" t="s">
        <v>985</v>
      </c>
      <c r="H182" s="125" t="s">
        <v>66</v>
      </c>
      <c r="I182" s="122"/>
      <c r="J182" s="126"/>
      <c r="K182" s="122"/>
      <c r="L182" s="99"/>
      <c r="M182" s="99" t="n">
        <v>100</v>
      </c>
      <c r="N182" s="93"/>
      <c r="O182" s="93" t="n">
        <v>100</v>
      </c>
      <c r="P182" s="93"/>
      <c r="Q182" s="93"/>
      <c r="R182" s="93"/>
      <c r="S182" s="40"/>
      <c r="T182" s="93"/>
      <c r="U182" s="93" t="n">
        <v>100</v>
      </c>
      <c r="V182" s="93" t="n">
        <v>100</v>
      </c>
      <c r="W182" s="93"/>
      <c r="X182" s="93"/>
      <c r="Y182" s="79" t="n">
        <v>100</v>
      </c>
      <c r="Z182" s="79" t="n">
        <v>100</v>
      </c>
      <c r="AA182" s="6" t="n">
        <v>1</v>
      </c>
      <c r="AC182" s="93" t="n">
        <f aca="false">M182+O182+U182+V182+Y182+Z182</f>
        <v>600</v>
      </c>
      <c r="AD182" s="99" t="n">
        <f aca="false">(AA182+X182+T182+P182+N182)*100</f>
        <v>100</v>
      </c>
      <c r="AE182" s="93" t="n">
        <f aca="false">(0.8*AC182)+(0.2*AD182)</f>
        <v>500</v>
      </c>
      <c r="AF182" s="137" t="n">
        <f aca="false">75+((AE182-$AE$195)/($AE$194-$AE$195)*(92-75))</f>
        <v>90.1785714285714</v>
      </c>
      <c r="AG182" s="93"/>
      <c r="AH182" s="93" t="n">
        <v>100</v>
      </c>
      <c r="AI182" s="40" t="n">
        <v>100</v>
      </c>
      <c r="AJ182" s="93"/>
    </row>
    <row r="183" customFormat="false" ht="12.75" hidden="false" customHeight="true" outlineLevel="0" collapsed="false">
      <c r="A183" s="99" t="n">
        <v>38</v>
      </c>
      <c r="B183" s="99"/>
      <c r="C183" s="122"/>
      <c r="D183" s="94" t="n">
        <v>252610134</v>
      </c>
      <c r="E183" s="123" t="s">
        <v>986</v>
      </c>
      <c r="F183" s="124" t="s">
        <v>987</v>
      </c>
      <c r="G183" s="36" t="s">
        <v>987</v>
      </c>
      <c r="H183" s="125" t="s">
        <v>52</v>
      </c>
      <c r="I183" s="122"/>
      <c r="J183" s="126"/>
      <c r="K183" s="122"/>
      <c r="L183" s="99"/>
      <c r="M183" s="99" t="n">
        <v>100</v>
      </c>
      <c r="N183" s="93"/>
      <c r="O183" s="93" t="n">
        <v>100</v>
      </c>
      <c r="P183" s="93"/>
      <c r="Q183" s="93"/>
      <c r="R183" s="93"/>
      <c r="S183" s="40"/>
      <c r="T183" s="93"/>
      <c r="U183" s="93" t="n">
        <v>100</v>
      </c>
      <c r="V183" s="93" t="n">
        <v>100</v>
      </c>
      <c r="W183" s="93"/>
      <c r="X183" s="93"/>
      <c r="Y183" s="79" t="n">
        <v>100</v>
      </c>
      <c r="Z183" s="79" t="n">
        <v>100</v>
      </c>
      <c r="AA183" s="6" t="n">
        <v>1</v>
      </c>
      <c r="AC183" s="93" t="n">
        <f aca="false">M183+O183+U183+V183+Y183+Z183</f>
        <v>600</v>
      </c>
      <c r="AD183" s="99" t="n">
        <f aca="false">(AA183+X183+T183+P183+N183)*100</f>
        <v>100</v>
      </c>
      <c r="AE183" s="93" t="n">
        <f aca="false">(0.8*AC183)+(0.2*AD183)</f>
        <v>500</v>
      </c>
      <c r="AF183" s="137" t="n">
        <f aca="false">75+((AE183-$AE$195)/($AE$194-$AE$195)*(92-75))</f>
        <v>90.1785714285714</v>
      </c>
      <c r="AG183" s="93"/>
      <c r="AH183" s="93" t="n">
        <v>100</v>
      </c>
      <c r="AI183" s="40" t="n">
        <v>100</v>
      </c>
      <c r="AJ183" s="93"/>
    </row>
    <row r="184" customFormat="false" ht="12.75" hidden="false" customHeight="true" outlineLevel="0" collapsed="false">
      <c r="A184" s="99" t="n">
        <v>39</v>
      </c>
      <c r="B184" s="99"/>
      <c r="C184" s="122"/>
      <c r="D184" s="94" t="n">
        <v>252610135</v>
      </c>
      <c r="E184" s="123" t="s">
        <v>988</v>
      </c>
      <c r="F184" s="124" t="s">
        <v>989</v>
      </c>
      <c r="G184" s="36" t="s">
        <v>989</v>
      </c>
      <c r="H184" s="125" t="s">
        <v>66</v>
      </c>
      <c r="I184" s="122"/>
      <c r="J184" s="126"/>
      <c r="K184" s="122"/>
      <c r="L184" s="99"/>
      <c r="M184" s="99" t="n">
        <v>100</v>
      </c>
      <c r="N184" s="93"/>
      <c r="O184" s="93"/>
      <c r="P184" s="93"/>
      <c r="Q184" s="93"/>
      <c r="R184" s="93"/>
      <c r="S184" s="40"/>
      <c r="T184" s="93"/>
      <c r="U184" s="93"/>
      <c r="V184" s="93" t="n">
        <v>100</v>
      </c>
      <c r="W184" s="93"/>
      <c r="X184" s="93"/>
      <c r="Z184" s="79" t="n">
        <v>100</v>
      </c>
      <c r="AA184" s="6" t="n">
        <v>1</v>
      </c>
      <c r="AC184" s="93" t="n">
        <f aca="false">M184+O184+U184+V184+Y184+Z184</f>
        <v>300</v>
      </c>
      <c r="AD184" s="99" t="n">
        <f aca="false">(AA184+X184+T184+P184+N184)*100</f>
        <v>100</v>
      </c>
      <c r="AE184" s="93" t="n">
        <f aca="false">(0.8*AC184)+(0.2*AD184)</f>
        <v>260</v>
      </c>
      <c r="AF184" s="137" t="n">
        <f aca="false">75+((AE184-$AE$195)/($AE$194-$AE$195)*(92-75))</f>
        <v>82.8928571428571</v>
      </c>
      <c r="AG184" s="93"/>
      <c r="AH184" s="93" t="n">
        <v>100</v>
      </c>
      <c r="AI184" s="40" t="n">
        <v>0</v>
      </c>
      <c r="AJ184" s="93"/>
    </row>
    <row r="185" customFormat="false" ht="12.75" hidden="false" customHeight="true" outlineLevel="0" collapsed="false">
      <c r="A185" s="99" t="n">
        <v>40</v>
      </c>
      <c r="B185" s="99"/>
      <c r="C185" s="122"/>
      <c r="D185" s="94" t="n">
        <v>252610136</v>
      </c>
      <c r="E185" s="123" t="s">
        <v>990</v>
      </c>
      <c r="F185" s="124" t="s">
        <v>991</v>
      </c>
      <c r="G185" s="36" t="s">
        <v>991</v>
      </c>
      <c r="H185" s="125" t="s">
        <v>66</v>
      </c>
      <c r="I185" s="122"/>
      <c r="J185" s="126"/>
      <c r="K185" s="122"/>
      <c r="L185" s="99"/>
      <c r="M185" s="99" t="n">
        <v>100</v>
      </c>
      <c r="N185" s="93"/>
      <c r="O185" s="93" t="n">
        <v>100</v>
      </c>
      <c r="P185" s="93"/>
      <c r="Q185" s="93"/>
      <c r="R185" s="93"/>
      <c r="S185" s="40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99" t="n">
        <f aca="false">(AA185+X185+T185+P185+N185)*100</f>
        <v>0</v>
      </c>
      <c r="AE185" s="93" t="n">
        <f aca="false">(0.8*AC185)+(0.2*AD185)</f>
        <v>320</v>
      </c>
      <c r="AF185" s="137" t="n">
        <f aca="false">75+((AE185-$AE$195)/($AE$194-$AE$195)*(92-75))</f>
        <v>84.7142857142857</v>
      </c>
      <c r="AG185" s="93"/>
      <c r="AH185" s="93" t="n">
        <v>100</v>
      </c>
      <c r="AI185" s="40" t="n">
        <v>100</v>
      </c>
      <c r="AJ185" s="93"/>
    </row>
    <row r="186" customFormat="false" ht="12.75" hidden="false" customHeight="true" outlineLevel="0" collapsed="false">
      <c r="A186" s="99" t="n">
        <v>41</v>
      </c>
      <c r="B186" s="99"/>
      <c r="C186" s="122"/>
      <c r="D186" s="94" t="n">
        <v>252610137</v>
      </c>
      <c r="E186" s="123" t="s">
        <v>992</v>
      </c>
      <c r="F186" s="124" t="s">
        <v>993</v>
      </c>
      <c r="G186" s="36" t="s">
        <v>993</v>
      </c>
      <c r="H186" s="125" t="s">
        <v>52</v>
      </c>
      <c r="I186" s="122"/>
      <c r="J186" s="126"/>
      <c r="K186" s="122"/>
      <c r="L186" s="99"/>
      <c r="M186" s="99" t="n">
        <v>100</v>
      </c>
      <c r="N186" s="93"/>
      <c r="O186" s="93"/>
      <c r="P186" s="93"/>
      <c r="Q186" s="93"/>
      <c r="R186" s="93"/>
      <c r="S186" s="40"/>
      <c r="T186" s="93"/>
      <c r="U186" s="93" t="n">
        <v>100</v>
      </c>
      <c r="V186" s="93"/>
      <c r="W186" s="93"/>
      <c r="X186" s="93"/>
      <c r="Y186" s="79" t="n">
        <v>100</v>
      </c>
      <c r="Z186" s="79" t="n">
        <v>100</v>
      </c>
      <c r="AC186" s="93" t="n">
        <f aca="false">M186+O186+U186+V186+Y186+Z186</f>
        <v>400</v>
      </c>
      <c r="AD186" s="99" t="n">
        <f aca="false">(AA186+X186+T186+P186+N186)*100</f>
        <v>0</v>
      </c>
      <c r="AE186" s="93" t="n">
        <f aca="false">(0.8*AC186)+(0.2*AD186)</f>
        <v>320</v>
      </c>
      <c r="AF186" s="137" t="n">
        <f aca="false">75+((AE186-$AE$195)/($AE$194-$AE$195)*(92-75))</f>
        <v>84.7142857142857</v>
      </c>
      <c r="AG186" s="93"/>
      <c r="AH186" s="93" t="n">
        <v>100</v>
      </c>
      <c r="AI186" s="40" t="n">
        <v>100</v>
      </c>
      <c r="AJ186" s="93"/>
    </row>
    <row r="187" customFormat="false" ht="12.75" hidden="false" customHeight="true" outlineLevel="0" collapsed="false">
      <c r="A187" s="99" t="n">
        <v>42</v>
      </c>
      <c r="B187" s="99"/>
      <c r="C187" s="122"/>
      <c r="D187" s="94" t="n">
        <v>252610138</v>
      </c>
      <c r="E187" s="123" t="s">
        <v>994</v>
      </c>
      <c r="F187" s="124" t="s">
        <v>995</v>
      </c>
      <c r="G187" s="36" t="s">
        <v>995</v>
      </c>
      <c r="H187" s="125" t="s">
        <v>52</v>
      </c>
      <c r="I187" s="122"/>
      <c r="J187" s="126"/>
      <c r="K187" s="122"/>
      <c r="L187" s="99"/>
      <c r="M187" s="99" t="n">
        <v>100</v>
      </c>
      <c r="N187" s="93"/>
      <c r="O187" s="93"/>
      <c r="P187" s="93"/>
      <c r="Q187" s="93"/>
      <c r="R187" s="93"/>
      <c r="S187" s="40"/>
      <c r="T187" s="93"/>
      <c r="U187" s="93" t="n">
        <v>100</v>
      </c>
      <c r="V187" s="93"/>
      <c r="W187" s="93"/>
      <c r="X187" s="93"/>
      <c r="AA187" s="6" t="n">
        <v>1</v>
      </c>
      <c r="AC187" s="93" t="n">
        <f aca="false">M187+O187+U187+V187+Y187+Z187</f>
        <v>200</v>
      </c>
      <c r="AD187" s="99" t="n">
        <f aca="false">(AA187+X187+T187+P187+N187)*100</f>
        <v>100</v>
      </c>
      <c r="AE187" s="93" t="n">
        <f aca="false">(0.8*AC187)+(0.2*AD187)</f>
        <v>180</v>
      </c>
      <c r="AF187" s="137" t="n">
        <f aca="false">75+((AE187-$AE$195)/($AE$194-$AE$195)*(92-75))</f>
        <v>80.4642857142857</v>
      </c>
      <c r="AG187" s="93"/>
      <c r="AH187" s="93" t="n">
        <v>100</v>
      </c>
      <c r="AI187" s="40" t="n">
        <v>100</v>
      </c>
      <c r="AJ187" s="93"/>
    </row>
    <row r="188" customFormat="false" ht="12.75" hidden="false" customHeight="true" outlineLevel="0" collapsed="false">
      <c r="A188" s="99" t="n">
        <v>43</v>
      </c>
      <c r="B188" s="99"/>
      <c r="C188" s="122"/>
      <c r="D188" s="94" t="n">
        <v>252610139</v>
      </c>
      <c r="E188" s="123" t="s">
        <v>996</v>
      </c>
      <c r="F188" s="124" t="s">
        <v>997</v>
      </c>
      <c r="G188" s="36" t="s">
        <v>997</v>
      </c>
      <c r="H188" s="125" t="s">
        <v>52</v>
      </c>
      <c r="I188" s="122"/>
      <c r="J188" s="126"/>
      <c r="K188" s="122"/>
      <c r="L188" s="99"/>
      <c r="M188" s="99" t="n">
        <v>100</v>
      </c>
      <c r="N188" s="93"/>
      <c r="O188" s="93"/>
      <c r="P188" s="93"/>
      <c r="Q188" s="93"/>
      <c r="R188" s="93"/>
      <c r="S188" s="40"/>
      <c r="T188" s="93"/>
      <c r="U188" s="93" t="n">
        <v>100</v>
      </c>
      <c r="V188" s="93" t="n">
        <v>100</v>
      </c>
      <c r="W188" s="93"/>
      <c r="X188" s="93"/>
      <c r="Y188" s="79" t="n">
        <v>100</v>
      </c>
      <c r="Z188" s="79" t="n">
        <v>100</v>
      </c>
      <c r="AC188" s="93" t="n">
        <f aca="false">M188+O188+U188+V188+Y188+Z188</f>
        <v>500</v>
      </c>
      <c r="AD188" s="99" t="n">
        <f aca="false">(AA188+X188+T188+P188+N188)*100</f>
        <v>0</v>
      </c>
      <c r="AE188" s="93" t="n">
        <f aca="false">(0.8*AC188)+(0.2*AD188)</f>
        <v>400</v>
      </c>
      <c r="AF188" s="137" t="n">
        <f aca="false">75+((AE188-$AE$195)/($AE$194-$AE$195)*(92-75))</f>
        <v>87.1428571428571</v>
      </c>
      <c r="AG188" s="93"/>
      <c r="AH188" s="93" t="n">
        <v>100</v>
      </c>
      <c r="AI188" s="40" t="n">
        <v>100</v>
      </c>
      <c r="AJ188" s="93"/>
    </row>
    <row r="189" customFormat="false" ht="12.75" hidden="false" customHeight="true" outlineLevel="0" collapsed="false">
      <c r="A189" s="99" t="n">
        <v>44</v>
      </c>
      <c r="B189" s="99"/>
      <c r="C189" s="122"/>
      <c r="D189" s="94" t="n">
        <v>252610140</v>
      </c>
      <c r="E189" s="123" t="s">
        <v>998</v>
      </c>
      <c r="F189" s="124" t="s">
        <v>999</v>
      </c>
      <c r="G189" s="36" t="s">
        <v>999</v>
      </c>
      <c r="H189" s="125" t="s">
        <v>52</v>
      </c>
      <c r="I189" s="122"/>
      <c r="J189" s="126"/>
      <c r="K189" s="122"/>
      <c r="L189" s="99"/>
      <c r="M189" s="99" t="n">
        <v>100</v>
      </c>
      <c r="N189" s="93"/>
      <c r="O189" s="93"/>
      <c r="P189" s="93"/>
      <c r="Q189" s="93"/>
      <c r="R189" s="93"/>
      <c r="S189" s="40"/>
      <c r="T189" s="93"/>
      <c r="U189" s="93" t="n">
        <v>100</v>
      </c>
      <c r="V189" s="93" t="n">
        <v>100</v>
      </c>
      <c r="W189" s="93"/>
      <c r="X189" s="93"/>
      <c r="Y189" s="79" t="n">
        <v>100</v>
      </c>
      <c r="AA189" s="6" t="n">
        <v>1</v>
      </c>
      <c r="AC189" s="93" t="n">
        <f aca="false">M189+O189+U189+V189+Y189+Z189</f>
        <v>400</v>
      </c>
      <c r="AD189" s="99" t="n">
        <f aca="false">(AA189+X189+T189+P189+N189)*100</f>
        <v>100</v>
      </c>
      <c r="AE189" s="93" t="n">
        <f aca="false">(0.8*AC189)+(0.2*AD189)</f>
        <v>340</v>
      </c>
      <c r="AF189" s="137" t="n">
        <f aca="false">75+((AE189-$AE$195)/($AE$194-$AE$195)*(92-75))</f>
        <v>85.3214285714286</v>
      </c>
      <c r="AG189" s="93"/>
      <c r="AH189" s="93" t="n">
        <v>100</v>
      </c>
      <c r="AI189" s="40" t="n">
        <v>0</v>
      </c>
      <c r="AJ189" s="93"/>
    </row>
    <row r="190" customFormat="false" ht="12.75" hidden="false" customHeight="true" outlineLevel="0" collapsed="false">
      <c r="A190" s="99" t="n">
        <v>45</v>
      </c>
      <c r="B190" s="99"/>
      <c r="C190" s="122"/>
      <c r="D190" s="94" t="n">
        <v>252610141</v>
      </c>
      <c r="E190" s="123" t="s">
        <v>1000</v>
      </c>
      <c r="F190" s="124" t="s">
        <v>1001</v>
      </c>
      <c r="G190" s="36" t="s">
        <v>1001</v>
      </c>
      <c r="H190" s="125" t="s">
        <v>52</v>
      </c>
      <c r="I190" s="122"/>
      <c r="J190" s="126"/>
      <c r="K190" s="122"/>
      <c r="L190" s="99"/>
      <c r="M190" s="99" t="n">
        <v>100</v>
      </c>
      <c r="N190" s="93"/>
      <c r="O190" s="93"/>
      <c r="P190" s="93"/>
      <c r="Q190" s="93"/>
      <c r="R190" s="93"/>
      <c r="S190" s="40"/>
      <c r="T190" s="93"/>
      <c r="U190" s="93" t="n">
        <v>100</v>
      </c>
      <c r="V190" s="93"/>
      <c r="W190" s="93"/>
      <c r="X190" s="93"/>
      <c r="Y190" s="79" t="n">
        <v>100</v>
      </c>
      <c r="AC190" s="93" t="n">
        <f aca="false">M190+O190+U190+V190+Y190+Z190</f>
        <v>300</v>
      </c>
      <c r="AD190" s="99" t="n">
        <f aca="false">(AA190+X190+T190+P190+N190)*100</f>
        <v>0</v>
      </c>
      <c r="AE190" s="93" t="n">
        <f aca="false">(0.8*AC190)+(0.2*AD190)</f>
        <v>240</v>
      </c>
      <c r="AF190" s="137" t="n">
        <f aca="false">75+((AE190-$AE$195)/($AE$194-$AE$195)*(92-75))</f>
        <v>82.2857142857143</v>
      </c>
      <c r="AG190" s="93"/>
      <c r="AH190" s="93" t="n">
        <v>100</v>
      </c>
      <c r="AI190" s="40" t="n">
        <v>100</v>
      </c>
      <c r="AJ190" s="93"/>
    </row>
    <row r="191" customFormat="false" ht="12.75" hidden="false" customHeight="true" outlineLevel="0" collapsed="false">
      <c r="A191" s="99" t="n">
        <v>46</v>
      </c>
      <c r="B191" s="99"/>
      <c r="C191" s="122"/>
      <c r="D191" s="94" t="n">
        <v>252610142</v>
      </c>
      <c r="E191" s="123" t="s">
        <v>1002</v>
      </c>
      <c r="F191" s="124" t="s">
        <v>1003</v>
      </c>
      <c r="G191" s="36" t="s">
        <v>1003</v>
      </c>
      <c r="H191" s="125" t="s">
        <v>66</v>
      </c>
      <c r="I191" s="122"/>
      <c r="J191" s="126"/>
      <c r="K191" s="122"/>
      <c r="L191" s="99"/>
      <c r="M191" s="99"/>
      <c r="N191" s="93"/>
      <c r="O191" s="93"/>
      <c r="P191" s="93"/>
      <c r="Q191" s="93"/>
      <c r="R191" s="93"/>
      <c r="S191" s="40"/>
      <c r="T191" s="93"/>
      <c r="U191" s="93"/>
      <c r="V191" s="93"/>
      <c r="W191" s="93"/>
      <c r="X191" s="93"/>
      <c r="AC191" s="93" t="n">
        <f aca="false">M191+O191+U191+V191+Y191+Z191</f>
        <v>0</v>
      </c>
      <c r="AD191" s="99" t="n">
        <f aca="false">(AA191+X191+T191+P191+N191)*100</f>
        <v>0</v>
      </c>
      <c r="AE191" s="93" t="n">
        <f aca="false">(0.8*AC191)+(0.2*AD191)</f>
        <v>0</v>
      </c>
      <c r="AF191" s="137" t="n">
        <v>0</v>
      </c>
      <c r="AG191" s="93"/>
      <c r="AH191" s="93" t="n">
        <v>100</v>
      </c>
      <c r="AI191" s="40" t="n">
        <v>0</v>
      </c>
      <c r="AJ191" s="93"/>
    </row>
    <row r="192" customFormat="false" ht="12.75" hidden="false" customHeight="true" outlineLevel="0" collapsed="false">
      <c r="A192" s="99" t="n">
        <v>47</v>
      </c>
      <c r="B192" s="99"/>
      <c r="C192" s="122"/>
      <c r="D192" s="94" t="n">
        <v>252610143</v>
      </c>
      <c r="E192" s="33" t="s">
        <v>1004</v>
      </c>
      <c r="F192" s="139" t="s">
        <v>1005</v>
      </c>
      <c r="G192" s="36" t="s">
        <v>1005</v>
      </c>
      <c r="H192" s="125" t="s">
        <v>52</v>
      </c>
      <c r="I192" s="122"/>
      <c r="J192" s="126"/>
      <c r="K192" s="122"/>
      <c r="L192" s="99"/>
      <c r="M192" s="99" t="n">
        <v>100</v>
      </c>
      <c r="N192" s="93"/>
      <c r="O192" s="93"/>
      <c r="P192" s="93"/>
      <c r="Q192" s="93"/>
      <c r="R192" s="93"/>
      <c r="S192" s="40"/>
      <c r="T192" s="93"/>
      <c r="U192" s="93" t="n">
        <v>100</v>
      </c>
      <c r="V192" s="93" t="n">
        <v>100</v>
      </c>
      <c r="W192" s="93"/>
      <c r="X192" s="93"/>
      <c r="Y192" s="79" t="n">
        <v>100</v>
      </c>
      <c r="AA192" s="6" t="n">
        <v>1</v>
      </c>
      <c r="AC192" s="93" t="n">
        <f aca="false">M192+O192+U192+V192+Y192+Z192</f>
        <v>400</v>
      </c>
      <c r="AD192" s="99" t="n">
        <f aca="false">(AA192+X192+T192+P192+N192)*100</f>
        <v>100</v>
      </c>
      <c r="AE192" s="93" t="n">
        <f aca="false">(0.8*AC192)+(0.2*AD192)</f>
        <v>340</v>
      </c>
      <c r="AF192" s="137" t="n">
        <f aca="false">75+((AE192-$AE$195)/($AE$194-$AE$195)*(92-75))</f>
        <v>85.3214285714286</v>
      </c>
      <c r="AG192" s="93"/>
      <c r="AH192" s="93" t="n">
        <v>100</v>
      </c>
      <c r="AI192" s="40" t="n">
        <v>100</v>
      </c>
      <c r="AJ192" s="93"/>
    </row>
    <row r="193" customFormat="false" ht="12.75" hidden="false" customHeight="true" outlineLevel="0" collapsed="false">
      <c r="A193" s="99" t="n">
        <v>48</v>
      </c>
      <c r="B193" s="99"/>
      <c r="C193" s="122"/>
      <c r="D193" s="94" t="n">
        <v>252610144</v>
      </c>
      <c r="E193" s="123" t="s">
        <v>1006</v>
      </c>
      <c r="F193" s="124" t="s">
        <v>1007</v>
      </c>
      <c r="G193" s="36" t="s">
        <v>1007</v>
      </c>
      <c r="H193" s="125" t="s">
        <v>52</v>
      </c>
      <c r="I193" s="122"/>
      <c r="J193" s="126"/>
      <c r="K193" s="122"/>
      <c r="L193" s="99"/>
      <c r="M193" s="99" t="n">
        <v>100</v>
      </c>
      <c r="N193" s="93"/>
      <c r="O193" s="93" t="n">
        <v>100</v>
      </c>
      <c r="P193" s="93"/>
      <c r="Q193" s="93"/>
      <c r="R193" s="93"/>
      <c r="S193" s="40"/>
      <c r="T193" s="93"/>
      <c r="U193" s="93" t="n">
        <v>100</v>
      </c>
      <c r="V193" s="93" t="n">
        <v>100</v>
      </c>
      <c r="W193" s="93"/>
      <c r="X193" s="93"/>
      <c r="Y193" s="79" t="n">
        <v>100</v>
      </c>
      <c r="AC193" s="93" t="n">
        <f aca="false">M193+O193+U193+V193+Y193+Z193</f>
        <v>500</v>
      </c>
      <c r="AD193" s="99" t="n">
        <f aca="false">(AA193+X193+T193+P193+N193)*100</f>
        <v>0</v>
      </c>
      <c r="AE193" s="93" t="n">
        <f aca="false">(0.8*AC193)+(0.2*AD193)</f>
        <v>400</v>
      </c>
      <c r="AF193" s="137" t="n">
        <f aca="false">75+((AE193-$AE$195)/($AE$194-$AE$195)*(92-75))</f>
        <v>87.1428571428571</v>
      </c>
      <c r="AG193" s="93"/>
      <c r="AH193" s="93" t="n">
        <v>100</v>
      </c>
      <c r="AI193" s="40" t="n">
        <v>100</v>
      </c>
      <c r="AJ193" s="93"/>
    </row>
    <row r="194" customFormat="false" ht="12.75" hidden="false" customHeight="true" outlineLevel="0" collapsed="false">
      <c r="D194" s="112"/>
      <c r="E194" s="140"/>
      <c r="F194" s="132" t="s">
        <v>786</v>
      </c>
      <c r="G194" s="2"/>
      <c r="H194" s="1" t="n">
        <f aca="false">COUNTIF(H146:H193,"L")</f>
        <v>20</v>
      </c>
      <c r="J194" s="114"/>
      <c r="AE194" s="6" t="n">
        <f aca="false">MAX(AE146:AE193)</f>
        <v>560</v>
      </c>
      <c r="AF194" s="141" t="n">
        <f aca="false">75+((AE194-$AE$195)/($AE$194-$AE$195)*(92-75))</f>
        <v>92</v>
      </c>
      <c r="AH194" s="79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5"/>
      <c r="E195" s="140"/>
      <c r="F195" s="132" t="s">
        <v>242</v>
      </c>
      <c r="G195" s="2"/>
      <c r="H195" s="1" t="n">
        <f aca="false">COUNTIF(H146:H193,"P")</f>
        <v>28</v>
      </c>
      <c r="J195" s="114"/>
      <c r="AE195" s="6" t="n">
        <f aca="false">MIN(AE146:AE193)</f>
        <v>0</v>
      </c>
      <c r="AF195" s="141" t="n">
        <f aca="false">75+((AE195-$AE$195)/($AE$194-$AE$195)*(92-75))</f>
        <v>75</v>
      </c>
      <c r="AH195" s="79" t="n">
        <f aca="false">COUNTIF(AH146:AH193,100)</f>
        <v>35</v>
      </c>
      <c r="AI195" s="6" t="n">
        <f aca="false">COUNTIF(AI146:AI193,100)</f>
        <v>33</v>
      </c>
    </row>
    <row r="196" customFormat="false" ht="12.75" hidden="false" customHeight="true" outlineLevel="0" collapsed="false">
      <c r="D196" s="80" t="s">
        <v>446</v>
      </c>
      <c r="G196" s="116" t="s">
        <v>787</v>
      </c>
      <c r="J196" s="114"/>
      <c r="M196" s="79" t="s">
        <v>447</v>
      </c>
      <c r="AH196" s="134" t="n">
        <f aca="false">AH195/AH194</f>
        <v>0.729166666666667</v>
      </c>
      <c r="AI196" s="135" t="n">
        <f aca="false">AI195/AI194</f>
        <v>0.6875</v>
      </c>
    </row>
    <row r="197" customFormat="false" ht="12.75" hidden="false" customHeight="true" outlineLevel="0" collapsed="false">
      <c r="G197" s="116"/>
      <c r="J197" s="114"/>
    </row>
    <row r="198" customFormat="false" ht="12.75" hidden="false" customHeight="true" outlineLevel="0" collapsed="false">
      <c r="G198" s="116"/>
      <c r="J198" s="114"/>
    </row>
    <row r="199" customFormat="false" ht="12.75" hidden="false" customHeight="true" outlineLevel="0" collapsed="false">
      <c r="G199" s="116"/>
      <c r="J199" s="114"/>
    </row>
    <row r="200" customFormat="false" ht="12.75" hidden="false" customHeight="true" outlineLevel="0" collapsed="false">
      <c r="D200" s="117" t="s">
        <v>448</v>
      </c>
      <c r="G200" s="116" t="s">
        <v>449</v>
      </c>
      <c r="J200" s="114"/>
      <c r="M200" s="79" t="s">
        <v>788</v>
      </c>
    </row>
    <row r="201" customFormat="false" ht="12.75" hidden="false" customHeight="true" outlineLevel="0" collapsed="false">
      <c r="D201" s="118" t="s">
        <v>451</v>
      </c>
      <c r="J201" s="114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42" width="4.29"/>
    <col collapsed="false" customWidth="true" hidden="false" outlineLevel="0" max="3" min="2" style="142" width="11.44"/>
    <col collapsed="false" customWidth="true" hidden="true" outlineLevel="0" max="4" min="4" style="142" width="5.42"/>
    <col collapsed="false" customWidth="true" hidden="false" outlineLevel="0" max="5" min="5" style="142" width="31.44"/>
    <col collapsed="false" customWidth="true" hidden="false" outlineLevel="0" max="11" min="6" style="143" width="5.58"/>
    <col collapsed="false" customWidth="true" hidden="true" outlineLevel="0" max="12" min="12" style="143" width="23.28"/>
    <col collapsed="false" customWidth="true" hidden="true" outlineLevel="0" max="13" min="13" style="143" width="11.72"/>
    <col collapsed="false" customWidth="true" hidden="false" outlineLevel="0" max="14" min="14" style="142" width="7.17"/>
    <col collapsed="false" customWidth="true" hidden="true" outlineLevel="0" max="15" min="15" style="142" width="9"/>
    <col collapsed="false" customWidth="true" hidden="true" outlineLevel="0" max="16" min="16" style="142" width="14.28"/>
    <col collapsed="false" customWidth="true" hidden="true" outlineLevel="0" max="17" min="17" style="142" width="4.42"/>
    <col collapsed="false" customWidth="true" hidden="true" outlineLevel="0" max="18" min="18" style="142" width="10.14"/>
    <col collapsed="false" customWidth="true" hidden="true" outlineLevel="0" max="19" min="19" style="142" width="8.29"/>
    <col collapsed="false" customWidth="true" hidden="true" outlineLevel="0" max="23" min="20" style="142" width="9"/>
    <col collapsed="false" customWidth="false" hidden="false" outlineLevel="0" max="16384" min="24" style="142" width="9.14"/>
  </cols>
  <sheetData>
    <row r="1" customFormat="false" ht="15" hidden="false" customHeight="false" outlineLevel="0" collapsed="false">
      <c r="A1" s="14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</row>
    <row r="2" customFormat="false" ht="15" hidden="false" customHeight="false" outlineLevel="0" collapsed="false">
      <c r="A2" s="144" t="s">
        <v>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</row>
    <row r="3" customFormat="false" ht="15" hidden="false" customHeight="false" outlineLevel="0" collapsed="false">
      <c r="A3" s="144" t="s">
        <v>2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</row>
    <row r="4" customFormat="false" ht="19.5" hidden="false" customHeight="false" outlineLevel="0" collapsed="false">
      <c r="A4" s="145" t="s">
        <v>3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</row>
    <row r="5" customFormat="false" ht="15" hidden="false" customHeight="false" outlineLevel="0" collapsed="false">
      <c r="A5" s="146" t="s">
        <v>1008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7"/>
      <c r="O5" s="147"/>
      <c r="P5" s="147"/>
      <c r="Q5" s="147"/>
      <c r="R5" s="147"/>
    </row>
    <row r="6" customFormat="false" ht="15" hidden="false" customHeight="false" outlineLevel="0" collapsed="false">
      <c r="A6" s="146" t="s">
        <v>1009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7"/>
      <c r="O6" s="147"/>
      <c r="P6" s="147"/>
      <c r="Q6" s="147"/>
      <c r="R6" s="147"/>
    </row>
    <row r="7" customFormat="false" ht="15" hidden="false" customHeight="false" outlineLevel="0" collapsed="false">
      <c r="A7" s="148" t="s">
        <v>1010</v>
      </c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7"/>
      <c r="O7" s="147"/>
      <c r="P7" s="147"/>
      <c r="Q7" s="147"/>
      <c r="R7" s="147"/>
    </row>
    <row r="8" customFormat="false" ht="15" hidden="false" customHeight="false" outlineLevel="0" collapsed="false">
      <c r="A8" s="149" t="s">
        <v>1011</v>
      </c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50"/>
      <c r="O8" s="150"/>
      <c r="P8" s="150"/>
      <c r="Q8" s="150"/>
      <c r="R8" s="150"/>
    </row>
    <row r="9" customFormat="false" ht="15" hidden="false" customHeight="false" outlineLevel="0" collapsed="false">
      <c r="A9" s="149" t="s">
        <v>1012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  <c r="O9" s="150"/>
      <c r="P9" s="150"/>
      <c r="Q9" s="150"/>
      <c r="R9" s="150"/>
    </row>
    <row r="10" customFormat="false" ht="10.5" hidden="false" customHeight="true" outlineLevel="0" collapsed="false"/>
    <row r="11" customFormat="false" ht="12.75" hidden="false" customHeight="true" outlineLevel="0" collapsed="false">
      <c r="A11" s="151" t="s">
        <v>1013</v>
      </c>
      <c r="F11" s="152" t="s">
        <v>1014</v>
      </c>
      <c r="G11" s="153"/>
      <c r="H11" s="153"/>
      <c r="I11" s="153"/>
      <c r="J11" s="153"/>
      <c r="K11" s="153"/>
    </row>
    <row r="12" customFormat="false" ht="34.5" hidden="false" customHeight="true" outlineLevel="0" collapsed="false">
      <c r="A12" s="154" t="s">
        <v>1015</v>
      </c>
      <c r="B12" s="155" t="s">
        <v>13</v>
      </c>
      <c r="C12" s="156" t="s">
        <v>14</v>
      </c>
      <c r="D12" s="157" t="s">
        <v>1016</v>
      </c>
      <c r="E12" s="158" t="s">
        <v>17</v>
      </c>
      <c r="F12" s="158" t="s">
        <v>19</v>
      </c>
      <c r="G12" s="158"/>
      <c r="H12" s="158"/>
      <c r="I12" s="158"/>
      <c r="J12" s="158"/>
      <c r="K12" s="158"/>
      <c r="L12" s="159" t="s">
        <v>1017</v>
      </c>
      <c r="M12" s="159" t="s">
        <v>1018</v>
      </c>
      <c r="Q12" s="160" t="s">
        <v>1015</v>
      </c>
      <c r="R12" s="160" t="s">
        <v>1019</v>
      </c>
      <c r="S12" s="160" t="s">
        <v>66</v>
      </c>
      <c r="T12" s="160" t="s">
        <v>52</v>
      </c>
      <c r="U12" s="160" t="s">
        <v>19</v>
      </c>
    </row>
    <row r="13" customFormat="false" ht="16.5" hidden="false" customHeight="true" outlineLevel="0" collapsed="false">
      <c r="A13" s="161" t="n">
        <v>1</v>
      </c>
      <c r="B13" s="161" t="n">
        <v>171810323</v>
      </c>
      <c r="C13" s="162" t="s">
        <v>1020</v>
      </c>
      <c r="D13" s="163" t="s">
        <v>1021</v>
      </c>
      <c r="E13" s="164" t="s">
        <v>1022</v>
      </c>
      <c r="F13" s="165" t="s">
        <v>66</v>
      </c>
      <c r="G13" s="165"/>
      <c r="H13" s="165"/>
      <c r="I13" s="165"/>
      <c r="J13" s="165"/>
      <c r="K13" s="165"/>
      <c r="L13" s="166" t="s">
        <v>1023</v>
      </c>
      <c r="M13" s="167"/>
      <c r="O13" s="142" t="n">
        <v>1</v>
      </c>
      <c r="Q13" s="167" t="n">
        <v>1</v>
      </c>
      <c r="R13" s="167" t="s">
        <v>1024</v>
      </c>
      <c r="S13" s="167" t="n">
        <f aca="false">F49</f>
        <v>14</v>
      </c>
      <c r="T13" s="167" t="n">
        <f aca="false">F50</f>
        <v>22</v>
      </c>
      <c r="U13" s="167" t="n">
        <f aca="false">SUM(S13:T13)</f>
        <v>36</v>
      </c>
    </row>
    <row r="14" customFormat="false" ht="16.5" hidden="false" customHeight="true" outlineLevel="0" collapsed="false">
      <c r="A14" s="161" t="n">
        <v>2</v>
      </c>
      <c r="B14" s="161" t="n">
        <v>171810180</v>
      </c>
      <c r="C14" s="162" t="s">
        <v>1025</v>
      </c>
      <c r="D14" s="163" t="s">
        <v>1026</v>
      </c>
      <c r="E14" s="164" t="s">
        <v>1027</v>
      </c>
      <c r="F14" s="165" t="s">
        <v>52</v>
      </c>
      <c r="G14" s="165"/>
      <c r="H14" s="165"/>
      <c r="I14" s="165"/>
      <c r="J14" s="165"/>
      <c r="K14" s="165"/>
      <c r="L14" s="168" t="s">
        <v>135</v>
      </c>
      <c r="M14" s="167"/>
      <c r="O14" s="142" t="n">
        <v>2</v>
      </c>
      <c r="Q14" s="167" t="n">
        <v>2</v>
      </c>
      <c r="R14" s="167" t="s">
        <v>1028</v>
      </c>
      <c r="S14" s="167" t="n">
        <f aca="false">F94</f>
        <v>14</v>
      </c>
      <c r="T14" s="167" t="n">
        <f aca="false">F95</f>
        <v>22</v>
      </c>
      <c r="U14" s="167" t="n">
        <f aca="false">SUM(S14:T14)</f>
        <v>36</v>
      </c>
    </row>
    <row r="15" customFormat="false" ht="16.5" hidden="false" customHeight="true" outlineLevel="0" collapsed="false">
      <c r="A15" s="161" t="n">
        <v>3</v>
      </c>
      <c r="B15" s="161" t="n">
        <v>171810289</v>
      </c>
      <c r="C15" s="162" t="s">
        <v>1029</v>
      </c>
      <c r="D15" s="163" t="s">
        <v>1030</v>
      </c>
      <c r="E15" s="169" t="s">
        <v>1031</v>
      </c>
      <c r="F15" s="170" t="s">
        <v>52</v>
      </c>
      <c r="G15" s="170"/>
      <c r="H15" s="170"/>
      <c r="I15" s="170"/>
      <c r="J15" s="170"/>
      <c r="K15" s="170"/>
      <c r="L15" s="171" t="s">
        <v>1023</v>
      </c>
      <c r="M15" s="167"/>
      <c r="O15" s="142" t="n">
        <v>3</v>
      </c>
      <c r="Q15" s="167" t="n">
        <v>3</v>
      </c>
      <c r="R15" s="167" t="s">
        <v>1032</v>
      </c>
      <c r="S15" s="167" t="n">
        <f aca="false">F139</f>
        <v>16</v>
      </c>
      <c r="T15" s="167" t="n">
        <f aca="false">F140</f>
        <v>20</v>
      </c>
      <c r="U15" s="167" t="n">
        <f aca="false">SUM(S15:T15)</f>
        <v>36</v>
      </c>
    </row>
    <row r="16" customFormat="false" ht="16.5" hidden="false" customHeight="true" outlineLevel="0" collapsed="false">
      <c r="A16" s="161" t="n">
        <v>4</v>
      </c>
      <c r="B16" s="161" t="n">
        <v>171810220</v>
      </c>
      <c r="C16" s="162" t="s">
        <v>1033</v>
      </c>
      <c r="D16" s="163" t="s">
        <v>1034</v>
      </c>
      <c r="E16" s="169" t="s">
        <v>1035</v>
      </c>
      <c r="F16" s="170" t="s">
        <v>52</v>
      </c>
      <c r="G16" s="170"/>
      <c r="H16" s="170"/>
      <c r="I16" s="170"/>
      <c r="J16" s="170"/>
      <c r="K16" s="170"/>
      <c r="L16" s="171" t="s">
        <v>135</v>
      </c>
      <c r="M16" s="167"/>
      <c r="O16" s="142" t="n">
        <v>4</v>
      </c>
      <c r="Q16" s="167" t="n">
        <v>4</v>
      </c>
      <c r="R16" s="167" t="s">
        <v>1036</v>
      </c>
      <c r="S16" s="167" t="n">
        <f aca="false">F184</f>
        <v>14</v>
      </c>
      <c r="T16" s="167" t="n">
        <f aca="false">F185</f>
        <v>18</v>
      </c>
      <c r="U16" s="167" t="n">
        <f aca="false">SUM(S16:T16)</f>
        <v>32</v>
      </c>
    </row>
    <row r="17" customFormat="false" ht="16.5" hidden="false" customHeight="true" outlineLevel="0" collapsed="false">
      <c r="A17" s="161" t="n">
        <v>5</v>
      </c>
      <c r="B17" s="161" t="n">
        <v>171810254</v>
      </c>
      <c r="C17" s="162" t="s">
        <v>1037</v>
      </c>
      <c r="D17" s="163" t="s">
        <v>1038</v>
      </c>
      <c r="E17" s="169" t="s">
        <v>1039</v>
      </c>
      <c r="F17" s="170" t="s">
        <v>66</v>
      </c>
      <c r="G17" s="170"/>
      <c r="H17" s="170"/>
      <c r="I17" s="170"/>
      <c r="J17" s="170"/>
      <c r="K17" s="170"/>
      <c r="L17" s="171" t="s">
        <v>1040</v>
      </c>
      <c r="M17" s="167"/>
      <c r="O17" s="142" t="n">
        <v>5</v>
      </c>
      <c r="Q17" s="167" t="n">
        <v>5</v>
      </c>
      <c r="R17" s="167" t="s">
        <v>1041</v>
      </c>
      <c r="S17" s="167" t="n">
        <f aca="false">F229</f>
        <v>15</v>
      </c>
      <c r="T17" s="167" t="n">
        <f aca="false">F230</f>
        <v>20</v>
      </c>
      <c r="U17" s="167" t="n">
        <f aca="false">SUM(S17:T17)</f>
        <v>35</v>
      </c>
    </row>
    <row r="18" customFormat="false" ht="16.5" hidden="false" customHeight="true" outlineLevel="0" collapsed="false">
      <c r="A18" s="161" t="n">
        <v>6</v>
      </c>
      <c r="B18" s="161" t="n">
        <v>171810222</v>
      </c>
      <c r="C18" s="162" t="s">
        <v>1042</v>
      </c>
      <c r="D18" s="163" t="s">
        <v>1034</v>
      </c>
      <c r="E18" s="164" t="s">
        <v>1043</v>
      </c>
      <c r="F18" s="165" t="s">
        <v>66</v>
      </c>
      <c r="G18" s="165"/>
      <c r="H18" s="165"/>
      <c r="I18" s="165"/>
      <c r="J18" s="165"/>
      <c r="K18" s="165"/>
      <c r="L18" s="166" t="s">
        <v>1044</v>
      </c>
      <c r="M18" s="167"/>
      <c r="O18" s="142" t="n">
        <v>6</v>
      </c>
    </row>
    <row r="19" customFormat="false" ht="16.5" hidden="false" customHeight="true" outlineLevel="0" collapsed="false">
      <c r="A19" s="161" t="n">
        <v>7</v>
      </c>
      <c r="B19" s="161" t="n">
        <v>171810293</v>
      </c>
      <c r="C19" s="162" t="s">
        <v>1045</v>
      </c>
      <c r="D19" s="163" t="s">
        <v>1030</v>
      </c>
      <c r="E19" s="169" t="s">
        <v>1046</v>
      </c>
      <c r="F19" s="170" t="s">
        <v>52</v>
      </c>
      <c r="G19" s="170"/>
      <c r="H19" s="170"/>
      <c r="I19" s="170"/>
      <c r="J19" s="170"/>
      <c r="K19" s="170"/>
      <c r="L19" s="171" t="s">
        <v>51</v>
      </c>
      <c r="M19" s="167"/>
      <c r="O19" s="142" t="n">
        <v>7</v>
      </c>
      <c r="U19" s="143" t="n">
        <f aca="false">SUM(U13:U17)</f>
        <v>175</v>
      </c>
    </row>
    <row r="20" customFormat="false" ht="16.5" hidden="false" customHeight="true" outlineLevel="0" collapsed="false">
      <c r="A20" s="161" t="n">
        <v>8</v>
      </c>
      <c r="B20" s="161" t="n">
        <v>171810330</v>
      </c>
      <c r="C20" s="162" t="s">
        <v>1047</v>
      </c>
      <c r="D20" s="163" t="s">
        <v>1021</v>
      </c>
      <c r="E20" s="164" t="s">
        <v>1048</v>
      </c>
      <c r="F20" s="165" t="s">
        <v>52</v>
      </c>
      <c r="G20" s="165"/>
      <c r="H20" s="165"/>
      <c r="I20" s="165"/>
      <c r="J20" s="165"/>
      <c r="K20" s="165"/>
      <c r="L20" s="166" t="s">
        <v>1049</v>
      </c>
      <c r="M20" s="167"/>
      <c r="O20" s="142" t="n">
        <v>8</v>
      </c>
      <c r="Q20" s="142" t="s">
        <v>1015</v>
      </c>
      <c r="R20" s="172" t="s">
        <v>1050</v>
      </c>
    </row>
    <row r="21" customFormat="false" ht="16.5" hidden="false" customHeight="true" outlineLevel="0" collapsed="false">
      <c r="A21" s="161" t="n">
        <v>9</v>
      </c>
      <c r="B21" s="161" t="n">
        <v>171810226</v>
      </c>
      <c r="C21" s="162" t="s">
        <v>1051</v>
      </c>
      <c r="D21" s="163" t="s">
        <v>1034</v>
      </c>
      <c r="E21" s="169" t="s">
        <v>1052</v>
      </c>
      <c r="F21" s="170" t="s">
        <v>52</v>
      </c>
      <c r="G21" s="170"/>
      <c r="H21" s="170"/>
      <c r="I21" s="170"/>
      <c r="J21" s="170"/>
      <c r="K21" s="170"/>
      <c r="L21" s="171" t="s">
        <v>1053</v>
      </c>
      <c r="M21" s="167"/>
      <c r="O21" s="142" t="n">
        <v>9</v>
      </c>
      <c r="Q21" s="142" t="n">
        <v>1</v>
      </c>
      <c r="R21" s="152" t="s">
        <v>1054</v>
      </c>
      <c r="V21" s="142" t="s">
        <v>52</v>
      </c>
    </row>
    <row r="22" customFormat="false" ht="16.5" hidden="false" customHeight="true" outlineLevel="0" collapsed="false">
      <c r="A22" s="161" t="n">
        <v>10</v>
      </c>
      <c r="B22" s="161" t="n">
        <v>171810260</v>
      </c>
      <c r="C22" s="162" t="s">
        <v>1055</v>
      </c>
      <c r="D22" s="163" t="s">
        <v>1038</v>
      </c>
      <c r="E22" s="169" t="s">
        <v>1056</v>
      </c>
      <c r="F22" s="170" t="s">
        <v>66</v>
      </c>
      <c r="G22" s="170"/>
      <c r="H22" s="170"/>
      <c r="I22" s="170"/>
      <c r="J22" s="170"/>
      <c r="K22" s="170"/>
      <c r="L22" s="171" t="s">
        <v>1040</v>
      </c>
      <c r="M22" s="167"/>
      <c r="O22" s="142" t="n">
        <v>10</v>
      </c>
      <c r="Q22" s="142" t="n">
        <v>2</v>
      </c>
      <c r="R22" s="152" t="s">
        <v>1057</v>
      </c>
      <c r="V22" s="142" t="s">
        <v>66</v>
      </c>
    </row>
    <row r="23" customFormat="false" ht="16.5" hidden="false" customHeight="true" outlineLevel="0" collapsed="false">
      <c r="A23" s="161" t="n">
        <v>11</v>
      </c>
      <c r="B23" s="161" t="n">
        <v>171810297</v>
      </c>
      <c r="C23" s="162" t="s">
        <v>1058</v>
      </c>
      <c r="D23" s="163" t="s">
        <v>1030</v>
      </c>
      <c r="E23" s="169" t="s">
        <v>1059</v>
      </c>
      <c r="F23" s="170" t="s">
        <v>52</v>
      </c>
      <c r="G23" s="170"/>
      <c r="H23" s="170"/>
      <c r="I23" s="170"/>
      <c r="J23" s="170"/>
      <c r="K23" s="170"/>
      <c r="L23" s="171" t="s">
        <v>169</v>
      </c>
      <c r="M23" s="167"/>
      <c r="O23" s="142" t="n">
        <v>11</v>
      </c>
      <c r="Q23" s="142" t="n">
        <v>3</v>
      </c>
      <c r="R23" s="152" t="s">
        <v>1060</v>
      </c>
      <c r="U23" s="142" t="s">
        <v>1061</v>
      </c>
      <c r="V23" s="142" t="s">
        <v>66</v>
      </c>
    </row>
    <row r="24" customFormat="false" ht="16.5" hidden="false" customHeight="true" outlineLevel="0" collapsed="false">
      <c r="A24" s="161" t="n">
        <v>12</v>
      </c>
      <c r="B24" s="161" t="n">
        <v>171810188</v>
      </c>
      <c r="C24" s="162" t="s">
        <v>1062</v>
      </c>
      <c r="D24" s="163" t="s">
        <v>1026</v>
      </c>
      <c r="E24" s="164" t="s">
        <v>1063</v>
      </c>
      <c r="F24" s="165" t="s">
        <v>52</v>
      </c>
      <c r="G24" s="165"/>
      <c r="H24" s="165"/>
      <c r="I24" s="165"/>
      <c r="J24" s="165"/>
      <c r="K24" s="165"/>
      <c r="L24" s="168" t="s">
        <v>1064</v>
      </c>
      <c r="M24" s="167"/>
      <c r="O24" s="142" t="n">
        <v>12</v>
      </c>
      <c r="Q24" s="142" t="n">
        <v>4</v>
      </c>
      <c r="R24" s="152" t="s">
        <v>1065</v>
      </c>
      <c r="V24" s="142" t="s">
        <v>66</v>
      </c>
    </row>
    <row r="25" customFormat="false" ht="16.5" hidden="false" customHeight="true" outlineLevel="0" collapsed="false">
      <c r="A25" s="161" t="n">
        <v>13</v>
      </c>
      <c r="B25" s="161" t="n">
        <v>171810230</v>
      </c>
      <c r="C25" s="162" t="s">
        <v>1066</v>
      </c>
      <c r="D25" s="163" t="s">
        <v>1034</v>
      </c>
      <c r="E25" s="164" t="s">
        <v>1067</v>
      </c>
      <c r="F25" s="165" t="s">
        <v>66</v>
      </c>
      <c r="G25" s="165"/>
      <c r="H25" s="165"/>
      <c r="I25" s="165"/>
      <c r="J25" s="165"/>
      <c r="K25" s="165"/>
      <c r="L25" s="166" t="s">
        <v>1068</v>
      </c>
      <c r="M25" s="167"/>
      <c r="O25" s="142" t="n">
        <v>13</v>
      </c>
      <c r="Q25" s="142" t="n">
        <v>5</v>
      </c>
      <c r="R25" s="152" t="s">
        <v>1069</v>
      </c>
      <c r="V25" s="142" t="s">
        <v>66</v>
      </c>
    </row>
    <row r="26" customFormat="false" ht="16.5" hidden="false" customHeight="true" outlineLevel="0" collapsed="false">
      <c r="A26" s="161" t="n">
        <v>14</v>
      </c>
      <c r="B26" s="161" t="n">
        <v>171810339</v>
      </c>
      <c r="C26" s="162" t="s">
        <v>1070</v>
      </c>
      <c r="D26" s="163" t="s">
        <v>1021</v>
      </c>
      <c r="E26" s="164" t="s">
        <v>1071</v>
      </c>
      <c r="F26" s="165" t="s">
        <v>52</v>
      </c>
      <c r="G26" s="165"/>
      <c r="H26" s="165"/>
      <c r="I26" s="165"/>
      <c r="J26" s="165"/>
      <c r="K26" s="165"/>
      <c r="L26" s="166" t="s">
        <v>1072</v>
      </c>
      <c r="M26" s="167"/>
      <c r="O26" s="142" t="n">
        <v>14</v>
      </c>
      <c r="Q26" s="142" t="n">
        <v>6</v>
      </c>
      <c r="R26" s="164" t="s">
        <v>1073</v>
      </c>
      <c r="V26" s="142" t="s">
        <v>66</v>
      </c>
    </row>
    <row r="27" customFormat="false" ht="16.5" hidden="false" customHeight="true" outlineLevel="0" collapsed="false">
      <c r="A27" s="161" t="n">
        <v>15</v>
      </c>
      <c r="B27" s="161" t="n">
        <v>171810340</v>
      </c>
      <c r="C27" s="162" t="s">
        <v>1074</v>
      </c>
      <c r="D27" s="163" t="s">
        <v>1021</v>
      </c>
      <c r="E27" s="164" t="s">
        <v>1075</v>
      </c>
      <c r="F27" s="165" t="s">
        <v>52</v>
      </c>
      <c r="G27" s="165"/>
      <c r="H27" s="165"/>
      <c r="I27" s="165"/>
      <c r="J27" s="165"/>
      <c r="K27" s="165"/>
      <c r="L27" s="166" t="s">
        <v>1076</v>
      </c>
      <c r="M27" s="173"/>
    </row>
    <row r="28" customFormat="false" ht="16.5" hidden="false" customHeight="true" outlineLevel="0" collapsed="false">
      <c r="A28" s="161" t="n">
        <v>16</v>
      </c>
      <c r="B28" s="174" t="n">
        <v>171810194</v>
      </c>
      <c r="C28" s="162" t="s">
        <v>1077</v>
      </c>
      <c r="D28" s="163" t="s">
        <v>1026</v>
      </c>
      <c r="E28" s="164" t="s">
        <v>1078</v>
      </c>
      <c r="F28" s="165" t="s">
        <v>52</v>
      </c>
      <c r="G28" s="165"/>
      <c r="H28" s="165"/>
      <c r="I28" s="165"/>
      <c r="J28" s="165"/>
      <c r="K28" s="165"/>
      <c r="L28" s="168" t="s">
        <v>135</v>
      </c>
      <c r="M28" s="173"/>
    </row>
    <row r="29" customFormat="false" ht="16.5" hidden="false" customHeight="true" outlineLevel="0" collapsed="false">
      <c r="A29" s="161" t="n">
        <v>17</v>
      </c>
      <c r="B29" s="161" t="n">
        <v>171810303</v>
      </c>
      <c r="C29" s="162" t="s">
        <v>1079</v>
      </c>
      <c r="D29" s="163" t="s">
        <v>1030</v>
      </c>
      <c r="E29" s="164" t="s">
        <v>1080</v>
      </c>
      <c r="F29" s="165" t="s">
        <v>66</v>
      </c>
      <c r="G29" s="165"/>
      <c r="H29" s="165"/>
      <c r="I29" s="165"/>
      <c r="J29" s="165"/>
      <c r="K29" s="165"/>
      <c r="L29" s="166" t="s">
        <v>1081</v>
      </c>
      <c r="M29" s="173"/>
    </row>
    <row r="30" customFormat="false" ht="16.5" hidden="false" customHeight="true" outlineLevel="0" collapsed="false">
      <c r="A30" s="161" t="n">
        <v>18</v>
      </c>
      <c r="B30" s="161" t="n">
        <v>171810266</v>
      </c>
      <c r="C30" s="162" t="s">
        <v>1082</v>
      </c>
      <c r="D30" s="163" t="s">
        <v>1038</v>
      </c>
      <c r="E30" s="164" t="s">
        <v>1083</v>
      </c>
      <c r="F30" s="165" t="s">
        <v>66</v>
      </c>
      <c r="G30" s="165"/>
      <c r="H30" s="165"/>
      <c r="I30" s="165"/>
      <c r="J30" s="165"/>
      <c r="K30" s="165"/>
      <c r="L30" s="166" t="s">
        <v>228</v>
      </c>
      <c r="M30" s="167"/>
    </row>
    <row r="31" customFormat="false" ht="16.5" hidden="false" customHeight="true" outlineLevel="0" collapsed="false">
      <c r="A31" s="161" t="n">
        <v>19</v>
      </c>
      <c r="B31" s="161" t="n">
        <v>171810235</v>
      </c>
      <c r="C31" s="162" t="s">
        <v>1084</v>
      </c>
      <c r="D31" s="163" t="s">
        <v>1034</v>
      </c>
      <c r="E31" s="169" t="s">
        <v>1085</v>
      </c>
      <c r="F31" s="170" t="s">
        <v>52</v>
      </c>
      <c r="G31" s="170"/>
      <c r="H31" s="170"/>
      <c r="I31" s="170"/>
      <c r="J31" s="170"/>
      <c r="K31" s="170"/>
      <c r="L31" s="171" t="s">
        <v>1086</v>
      </c>
      <c r="M31" s="167"/>
    </row>
    <row r="32" customFormat="false" ht="16.5" hidden="false" customHeight="true" outlineLevel="0" collapsed="false">
      <c r="A32" s="161" t="n">
        <v>20</v>
      </c>
      <c r="B32" s="161" t="n">
        <v>171810237</v>
      </c>
      <c r="C32" s="162" t="s">
        <v>1087</v>
      </c>
      <c r="D32" s="163" t="s">
        <v>1034</v>
      </c>
      <c r="E32" s="169" t="s">
        <v>1088</v>
      </c>
      <c r="F32" s="170" t="s">
        <v>66</v>
      </c>
      <c r="G32" s="170"/>
      <c r="H32" s="170"/>
      <c r="I32" s="170"/>
      <c r="J32" s="170"/>
      <c r="K32" s="170"/>
      <c r="L32" s="171" t="s">
        <v>1053</v>
      </c>
      <c r="M32" s="167"/>
    </row>
    <row r="33" customFormat="false" ht="16.5" hidden="false" customHeight="true" outlineLevel="0" collapsed="false">
      <c r="A33" s="161" t="n">
        <v>21</v>
      </c>
      <c r="B33" s="161" t="n">
        <v>171810197</v>
      </c>
      <c r="C33" s="162" t="s">
        <v>1089</v>
      </c>
      <c r="D33" s="163" t="s">
        <v>1026</v>
      </c>
      <c r="E33" s="169" t="s">
        <v>1090</v>
      </c>
      <c r="F33" s="170" t="s">
        <v>66</v>
      </c>
      <c r="G33" s="170"/>
      <c r="H33" s="170"/>
      <c r="I33" s="170"/>
      <c r="J33" s="170"/>
      <c r="K33" s="170"/>
      <c r="L33" s="171" t="s">
        <v>51</v>
      </c>
      <c r="M33" s="167"/>
    </row>
    <row r="34" customFormat="false" ht="16.5" hidden="false" customHeight="true" outlineLevel="0" collapsed="false">
      <c r="A34" s="161" t="n">
        <v>22</v>
      </c>
      <c r="B34" s="161" t="n">
        <v>171810271</v>
      </c>
      <c r="C34" s="162" t="s">
        <v>1091</v>
      </c>
      <c r="D34" s="163" t="s">
        <v>1038</v>
      </c>
      <c r="E34" s="164" t="s">
        <v>1092</v>
      </c>
      <c r="F34" s="165" t="s">
        <v>66</v>
      </c>
      <c r="G34" s="165"/>
      <c r="H34" s="165"/>
      <c r="I34" s="165"/>
      <c r="J34" s="165"/>
      <c r="K34" s="165"/>
      <c r="L34" s="166" t="s">
        <v>1086</v>
      </c>
      <c r="M34" s="167"/>
    </row>
    <row r="35" customFormat="false" ht="16.5" hidden="false" customHeight="true" outlineLevel="0" collapsed="false">
      <c r="A35" s="161" t="n">
        <v>23</v>
      </c>
      <c r="B35" s="174" t="n">
        <v>171810344</v>
      </c>
      <c r="C35" s="162" t="s">
        <v>1093</v>
      </c>
      <c r="D35" s="163" t="s">
        <v>1021</v>
      </c>
      <c r="E35" s="169" t="s">
        <v>1094</v>
      </c>
      <c r="F35" s="170" t="s">
        <v>66</v>
      </c>
      <c r="G35" s="170"/>
      <c r="H35" s="170"/>
      <c r="I35" s="170"/>
      <c r="J35" s="170"/>
      <c r="K35" s="170"/>
      <c r="L35" s="171" t="s">
        <v>51</v>
      </c>
      <c r="M35" s="167"/>
    </row>
    <row r="36" customFormat="false" ht="16.5" hidden="false" customHeight="true" outlineLevel="0" collapsed="false">
      <c r="A36" s="161" t="n">
        <v>24</v>
      </c>
      <c r="B36" s="174" t="n">
        <v>171810201</v>
      </c>
      <c r="C36" s="162" t="s">
        <v>1095</v>
      </c>
      <c r="D36" s="163" t="s">
        <v>1026</v>
      </c>
      <c r="E36" s="169" t="s">
        <v>1096</v>
      </c>
      <c r="F36" s="170" t="s">
        <v>66</v>
      </c>
      <c r="G36" s="170"/>
      <c r="H36" s="170"/>
      <c r="I36" s="170"/>
      <c r="J36" s="170"/>
      <c r="K36" s="170"/>
      <c r="L36" s="171" t="s">
        <v>51</v>
      </c>
      <c r="M36" s="167"/>
    </row>
    <row r="37" customFormat="false" ht="16.5" hidden="false" customHeight="true" outlineLevel="0" collapsed="false">
      <c r="A37" s="161" t="n">
        <v>25</v>
      </c>
      <c r="B37" s="161" t="n">
        <v>171810346</v>
      </c>
      <c r="C37" s="162" t="s">
        <v>1097</v>
      </c>
      <c r="D37" s="163" t="s">
        <v>1021</v>
      </c>
      <c r="E37" s="169" t="s">
        <v>1098</v>
      </c>
      <c r="F37" s="170" t="s">
        <v>52</v>
      </c>
      <c r="G37" s="170"/>
      <c r="H37" s="170"/>
      <c r="I37" s="170"/>
      <c r="J37" s="170"/>
      <c r="K37" s="170"/>
      <c r="L37" s="171" t="s">
        <v>1053</v>
      </c>
      <c r="M37" s="167"/>
    </row>
    <row r="38" customFormat="false" ht="16.5" hidden="false" customHeight="true" outlineLevel="0" collapsed="false">
      <c r="A38" s="161" t="n">
        <v>26</v>
      </c>
      <c r="B38" s="161" t="n">
        <v>171810309</v>
      </c>
      <c r="C38" s="162" t="s">
        <v>1099</v>
      </c>
      <c r="D38" s="163" t="s">
        <v>1030</v>
      </c>
      <c r="E38" s="164" t="s">
        <v>1100</v>
      </c>
      <c r="F38" s="165" t="s">
        <v>52</v>
      </c>
      <c r="G38" s="165"/>
      <c r="H38" s="165"/>
      <c r="I38" s="165"/>
      <c r="J38" s="165"/>
      <c r="K38" s="165"/>
      <c r="L38" s="166" t="s">
        <v>51</v>
      </c>
      <c r="M38" s="167"/>
    </row>
    <row r="39" customFormat="false" ht="16.5" hidden="false" customHeight="true" outlineLevel="0" collapsed="false">
      <c r="A39" s="161" t="n">
        <v>27</v>
      </c>
      <c r="B39" s="161" t="n">
        <v>171810310</v>
      </c>
      <c r="C39" s="162" t="s">
        <v>1101</v>
      </c>
      <c r="D39" s="163" t="s">
        <v>1030</v>
      </c>
      <c r="E39" s="169" t="s">
        <v>1102</v>
      </c>
      <c r="F39" s="170" t="s">
        <v>52</v>
      </c>
      <c r="G39" s="170"/>
      <c r="H39" s="170"/>
      <c r="I39" s="170"/>
      <c r="J39" s="170"/>
      <c r="K39" s="170"/>
      <c r="L39" s="171" t="s">
        <v>1040</v>
      </c>
      <c r="M39" s="167"/>
    </row>
    <row r="40" customFormat="false" ht="16.5" hidden="false" customHeight="true" outlineLevel="0" collapsed="false">
      <c r="A40" s="161" t="n">
        <v>28</v>
      </c>
      <c r="B40" s="161" t="n">
        <v>171810276</v>
      </c>
      <c r="C40" s="162" t="s">
        <v>1103</v>
      </c>
      <c r="D40" s="163" t="s">
        <v>1038</v>
      </c>
      <c r="E40" s="164" t="s">
        <v>1104</v>
      </c>
      <c r="F40" s="165" t="s">
        <v>66</v>
      </c>
      <c r="G40" s="165"/>
      <c r="H40" s="165"/>
      <c r="I40" s="165"/>
      <c r="J40" s="165"/>
      <c r="K40" s="165"/>
      <c r="L40" s="166" t="s">
        <v>1105</v>
      </c>
      <c r="M40" s="167"/>
    </row>
    <row r="41" customFormat="false" ht="16.5" hidden="false" customHeight="true" outlineLevel="0" collapsed="false">
      <c r="A41" s="161" t="n">
        <v>29</v>
      </c>
      <c r="B41" s="161" t="n">
        <v>171810245</v>
      </c>
      <c r="C41" s="162" t="s">
        <v>1106</v>
      </c>
      <c r="D41" s="163" t="s">
        <v>1034</v>
      </c>
      <c r="E41" s="164" t="s">
        <v>1107</v>
      </c>
      <c r="F41" s="165" t="s">
        <v>52</v>
      </c>
      <c r="G41" s="165"/>
      <c r="H41" s="165"/>
      <c r="I41" s="165"/>
      <c r="J41" s="165"/>
      <c r="K41" s="165"/>
      <c r="L41" s="166" t="s">
        <v>1108</v>
      </c>
      <c r="M41" s="167"/>
    </row>
    <row r="42" customFormat="false" ht="16.5" hidden="false" customHeight="true" outlineLevel="0" collapsed="false">
      <c r="A42" s="161" t="n">
        <v>30</v>
      </c>
      <c r="B42" s="161" t="n">
        <v>171810277</v>
      </c>
      <c r="C42" s="162" t="s">
        <v>1109</v>
      </c>
      <c r="D42" s="163" t="s">
        <v>1038</v>
      </c>
      <c r="E42" s="164" t="s">
        <v>1110</v>
      </c>
      <c r="F42" s="165" t="s">
        <v>52</v>
      </c>
      <c r="G42" s="165"/>
      <c r="H42" s="165"/>
      <c r="I42" s="165"/>
      <c r="J42" s="165"/>
      <c r="K42" s="165"/>
      <c r="L42" s="166" t="s">
        <v>1111</v>
      </c>
      <c r="M42" s="167"/>
    </row>
    <row r="43" customFormat="false" ht="16.5" hidden="false" customHeight="true" outlineLevel="0" collapsed="false">
      <c r="A43" s="161" t="n">
        <v>31</v>
      </c>
      <c r="B43" s="161" t="n">
        <v>171810279</v>
      </c>
      <c r="C43" s="162" t="s">
        <v>1112</v>
      </c>
      <c r="D43" s="163" t="s">
        <v>1038</v>
      </c>
      <c r="E43" s="164" t="s">
        <v>1113</v>
      </c>
      <c r="F43" s="165" t="s">
        <v>52</v>
      </c>
      <c r="G43" s="165"/>
      <c r="H43" s="165"/>
      <c r="I43" s="165"/>
      <c r="J43" s="165"/>
      <c r="K43" s="165"/>
      <c r="L43" s="166" t="s">
        <v>135</v>
      </c>
      <c r="M43" s="167"/>
    </row>
    <row r="44" customFormat="false" ht="16.5" hidden="false" customHeight="true" outlineLevel="0" collapsed="false">
      <c r="A44" s="161" t="n">
        <v>32</v>
      </c>
      <c r="B44" s="161" t="n">
        <v>171810209</v>
      </c>
      <c r="C44" s="162" t="s">
        <v>1114</v>
      </c>
      <c r="D44" s="163" t="s">
        <v>1026</v>
      </c>
      <c r="E44" s="164" t="s">
        <v>1115</v>
      </c>
      <c r="F44" s="165" t="s">
        <v>52</v>
      </c>
      <c r="G44" s="165"/>
      <c r="H44" s="165"/>
      <c r="I44" s="165"/>
      <c r="J44" s="165"/>
      <c r="K44" s="165"/>
      <c r="L44" s="168" t="s">
        <v>1116</v>
      </c>
      <c r="M44" s="167"/>
    </row>
    <row r="45" customFormat="false" ht="16.5" hidden="false" customHeight="true" outlineLevel="0" collapsed="false">
      <c r="A45" s="161" t="n">
        <v>33</v>
      </c>
      <c r="B45" s="161" t="n">
        <v>171810211</v>
      </c>
      <c r="C45" s="162" t="s">
        <v>1117</v>
      </c>
      <c r="D45" s="163" t="s">
        <v>1026</v>
      </c>
      <c r="E45" s="169" t="s">
        <v>1118</v>
      </c>
      <c r="F45" s="170" t="s">
        <v>66</v>
      </c>
      <c r="G45" s="170"/>
      <c r="H45" s="170"/>
      <c r="I45" s="170"/>
      <c r="J45" s="170"/>
      <c r="K45" s="170"/>
      <c r="L45" s="171" t="s">
        <v>1119</v>
      </c>
      <c r="M45" s="167"/>
    </row>
    <row r="46" customFormat="false" ht="16.5" hidden="false" customHeight="true" outlineLevel="0" collapsed="false">
      <c r="A46" s="161" t="n">
        <v>34</v>
      </c>
      <c r="B46" s="161" t="n">
        <v>171810212</v>
      </c>
      <c r="C46" s="162" t="s">
        <v>1120</v>
      </c>
      <c r="D46" s="163" t="s">
        <v>1026</v>
      </c>
      <c r="E46" s="169" t="s">
        <v>1121</v>
      </c>
      <c r="F46" s="170" t="s">
        <v>52</v>
      </c>
      <c r="G46" s="170"/>
      <c r="H46" s="170"/>
      <c r="I46" s="170"/>
      <c r="J46" s="170"/>
      <c r="K46" s="170"/>
      <c r="L46" s="171" t="s">
        <v>1122</v>
      </c>
      <c r="M46" s="167"/>
    </row>
    <row r="47" customFormat="false" ht="16.5" hidden="false" customHeight="true" outlineLevel="0" collapsed="false">
      <c r="A47" s="161" t="n">
        <v>35</v>
      </c>
      <c r="B47" s="161" t="n">
        <v>171810355</v>
      </c>
      <c r="C47" s="162" t="s">
        <v>1123</v>
      </c>
      <c r="D47" s="163" t="s">
        <v>1021</v>
      </c>
      <c r="E47" s="169" t="s">
        <v>1124</v>
      </c>
      <c r="F47" s="170" t="s">
        <v>52</v>
      </c>
      <c r="G47" s="170"/>
      <c r="H47" s="170"/>
      <c r="I47" s="170"/>
      <c r="J47" s="170"/>
      <c r="K47" s="170"/>
      <c r="L47" s="166" t="s">
        <v>135</v>
      </c>
      <c r="M47" s="167"/>
    </row>
    <row r="48" customFormat="false" ht="16.5" hidden="false" customHeight="true" outlineLevel="0" collapsed="false">
      <c r="A48" s="161" t="n">
        <v>36</v>
      </c>
      <c r="B48" s="174" t="n">
        <v>171810357</v>
      </c>
      <c r="C48" s="162" t="s">
        <v>1125</v>
      </c>
      <c r="D48" s="163" t="s">
        <v>1021</v>
      </c>
      <c r="E48" s="169" t="s">
        <v>1126</v>
      </c>
      <c r="F48" s="170" t="s">
        <v>52</v>
      </c>
      <c r="G48" s="170"/>
      <c r="H48" s="170"/>
      <c r="I48" s="170"/>
      <c r="J48" s="170"/>
      <c r="K48" s="170"/>
      <c r="L48" s="166" t="s">
        <v>51</v>
      </c>
      <c r="M48" s="167"/>
    </row>
    <row r="49" customFormat="false" ht="15" hidden="false" customHeight="true" outlineLevel="0" collapsed="false">
      <c r="A49" s="147"/>
      <c r="B49" s="175"/>
      <c r="C49" s="175"/>
      <c r="D49" s="175"/>
      <c r="E49" s="176" t="s">
        <v>1127</v>
      </c>
      <c r="F49" s="175" t="n">
        <f aca="false">COUNTIF(F13:F48,"L")</f>
        <v>14</v>
      </c>
      <c r="G49" s="175"/>
      <c r="H49" s="175"/>
      <c r="I49" s="175"/>
      <c r="J49" s="175"/>
      <c r="K49" s="175"/>
    </row>
    <row r="50" customFormat="false" ht="15" hidden="false" customHeight="true" outlineLevel="0" collapsed="false">
      <c r="A50" s="147"/>
      <c r="B50" s="175"/>
      <c r="C50" s="175"/>
      <c r="D50" s="175"/>
      <c r="E50" s="176" t="s">
        <v>1128</v>
      </c>
      <c r="F50" s="175" t="n">
        <f aca="false">COUNTIF(F13:F48,"P")</f>
        <v>22</v>
      </c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47"/>
      <c r="B51" s="147" t="s">
        <v>1129</v>
      </c>
      <c r="C51" s="175"/>
      <c r="D51" s="175"/>
      <c r="E51" s="147"/>
      <c r="F51" s="152" t="s">
        <v>1130</v>
      </c>
      <c r="G51" s="175"/>
      <c r="H51" s="175"/>
      <c r="I51" s="175"/>
      <c r="J51" s="175"/>
      <c r="K51" s="175"/>
    </row>
    <row r="52" customFormat="false" ht="15" hidden="false" customHeight="true" outlineLevel="0" collapsed="false">
      <c r="A52" s="147"/>
      <c r="B52" s="175"/>
      <c r="C52" s="175"/>
      <c r="D52" s="175"/>
      <c r="E52" s="147"/>
      <c r="F52" s="175"/>
      <c r="G52" s="175"/>
      <c r="H52" s="175"/>
      <c r="I52" s="175"/>
      <c r="J52" s="175"/>
      <c r="K52" s="175"/>
    </row>
    <row r="53" customFormat="false" ht="15" hidden="false" customHeight="true" outlineLevel="0" collapsed="false">
      <c r="A53" s="147"/>
      <c r="B53" s="175"/>
      <c r="C53" s="175"/>
      <c r="D53" s="175"/>
      <c r="E53" s="147"/>
      <c r="F53" s="175"/>
      <c r="G53" s="175"/>
      <c r="H53" s="175"/>
      <c r="I53" s="175"/>
      <c r="J53" s="175"/>
      <c r="K53" s="175"/>
    </row>
    <row r="54" customFormat="false" ht="15" hidden="false" customHeight="true" outlineLevel="0" collapsed="false">
      <c r="A54" s="147"/>
      <c r="B54" s="177" t="s">
        <v>1131</v>
      </c>
      <c r="C54" s="175"/>
      <c r="D54" s="175"/>
      <c r="E54" s="147"/>
      <c r="F54" s="178"/>
      <c r="G54" s="178"/>
      <c r="H54" s="178"/>
      <c r="I54" s="178"/>
      <c r="J54" s="178"/>
      <c r="K54" s="175"/>
      <c r="L54" s="179"/>
      <c r="M54" s="179"/>
    </row>
    <row r="55" customFormat="false" ht="15" hidden="false" customHeight="true" outlineLevel="0" collapsed="false">
      <c r="A55" s="147"/>
      <c r="B55" s="147" t="s">
        <v>1132</v>
      </c>
      <c r="C55" s="175"/>
      <c r="D55" s="175"/>
      <c r="E55" s="147"/>
      <c r="F55" s="175"/>
      <c r="G55" s="175"/>
      <c r="H55" s="175"/>
      <c r="I55" s="175"/>
      <c r="J55" s="175"/>
      <c r="K55" s="175"/>
    </row>
    <row r="56" customFormat="false" ht="15" hidden="false" customHeight="true" outlineLevel="0" collapsed="false">
      <c r="A56" s="151" t="s">
        <v>1133</v>
      </c>
      <c r="B56" s="147"/>
      <c r="C56" s="147"/>
      <c r="D56" s="147"/>
      <c r="E56" s="147"/>
      <c r="F56" s="152" t="s">
        <v>1014</v>
      </c>
      <c r="G56" s="180"/>
      <c r="H56" s="180"/>
      <c r="I56" s="180"/>
      <c r="J56" s="180"/>
      <c r="K56" s="180"/>
    </row>
    <row r="57" customFormat="false" ht="36" hidden="false" customHeight="true" outlineLevel="0" collapsed="false">
      <c r="A57" s="158" t="s">
        <v>1015</v>
      </c>
      <c r="B57" s="155" t="s">
        <v>13</v>
      </c>
      <c r="C57" s="156" t="s">
        <v>14</v>
      </c>
      <c r="D57" s="181" t="s">
        <v>1016</v>
      </c>
      <c r="E57" s="158" t="s">
        <v>17</v>
      </c>
      <c r="F57" s="158" t="s">
        <v>19</v>
      </c>
      <c r="G57" s="158"/>
      <c r="H57" s="158"/>
      <c r="I57" s="158"/>
      <c r="J57" s="158"/>
      <c r="K57" s="158"/>
      <c r="L57" s="159" t="s">
        <v>1017</v>
      </c>
      <c r="M57" s="182" t="s">
        <v>1018</v>
      </c>
    </row>
    <row r="58" customFormat="false" ht="16.5" hidden="false" customHeight="true" outlineLevel="0" collapsed="false">
      <c r="A58" s="161" t="n">
        <v>1</v>
      </c>
      <c r="B58" s="164" t="n">
        <v>171810218</v>
      </c>
      <c r="C58" s="163" t="s">
        <v>1134</v>
      </c>
      <c r="D58" s="163" t="s">
        <v>1034</v>
      </c>
      <c r="E58" s="164" t="s">
        <v>1135</v>
      </c>
      <c r="F58" s="161" t="s">
        <v>66</v>
      </c>
      <c r="G58" s="161"/>
      <c r="H58" s="161"/>
      <c r="I58" s="161"/>
      <c r="J58" s="161"/>
      <c r="K58" s="161"/>
      <c r="L58" s="171" t="s">
        <v>1086</v>
      </c>
      <c r="M58" s="183"/>
      <c r="O58" s="142" t="n">
        <v>1</v>
      </c>
    </row>
    <row r="59" customFormat="false" ht="16.5" hidden="false" customHeight="true" outlineLevel="0" collapsed="false">
      <c r="A59" s="170" t="n">
        <v>2</v>
      </c>
      <c r="B59" s="164" t="n">
        <v>171810325</v>
      </c>
      <c r="C59" s="163" t="s">
        <v>1136</v>
      </c>
      <c r="D59" s="163" t="s">
        <v>1021</v>
      </c>
      <c r="E59" s="164" t="s">
        <v>1137</v>
      </c>
      <c r="F59" s="165" t="s">
        <v>52</v>
      </c>
      <c r="G59" s="165"/>
      <c r="H59" s="165"/>
      <c r="I59" s="165"/>
      <c r="J59" s="165"/>
      <c r="K59" s="165"/>
      <c r="L59" s="166" t="s">
        <v>1116</v>
      </c>
      <c r="M59" s="183"/>
      <c r="O59" s="142" t="n">
        <v>2</v>
      </c>
    </row>
    <row r="60" customFormat="false" ht="16.5" hidden="false" customHeight="true" outlineLevel="0" collapsed="false">
      <c r="A60" s="161" t="n">
        <v>3</v>
      </c>
      <c r="B60" s="164" t="n">
        <v>171810327</v>
      </c>
      <c r="C60" s="163" t="s">
        <v>1138</v>
      </c>
      <c r="D60" s="163" t="s">
        <v>1021</v>
      </c>
      <c r="E60" s="164" t="s">
        <v>1139</v>
      </c>
      <c r="F60" s="165" t="s">
        <v>52</v>
      </c>
      <c r="G60" s="165"/>
      <c r="H60" s="165"/>
      <c r="I60" s="165"/>
      <c r="J60" s="165"/>
      <c r="K60" s="165"/>
      <c r="L60" s="166" t="s">
        <v>51</v>
      </c>
      <c r="M60" s="183"/>
      <c r="O60" s="142" t="n">
        <v>3</v>
      </c>
    </row>
    <row r="61" customFormat="false" ht="16.5" hidden="false" customHeight="true" outlineLevel="0" collapsed="false">
      <c r="A61" s="170" t="n">
        <v>4</v>
      </c>
      <c r="B61" s="164" t="n">
        <v>171810329</v>
      </c>
      <c r="C61" s="163" t="s">
        <v>1140</v>
      </c>
      <c r="D61" s="163" t="s">
        <v>1021</v>
      </c>
      <c r="E61" s="164" t="s">
        <v>1141</v>
      </c>
      <c r="F61" s="161" t="s">
        <v>52</v>
      </c>
      <c r="G61" s="161"/>
      <c r="H61" s="161"/>
      <c r="I61" s="161"/>
      <c r="J61" s="161"/>
      <c r="K61" s="161"/>
      <c r="L61" s="171" t="s">
        <v>1040</v>
      </c>
      <c r="M61" s="183"/>
      <c r="O61" s="142" t="n">
        <v>4</v>
      </c>
    </row>
    <row r="62" customFormat="false" ht="16.5" hidden="false" customHeight="true" outlineLevel="0" collapsed="false">
      <c r="A62" s="161" t="n">
        <v>5</v>
      </c>
      <c r="B62" s="164" t="n">
        <v>171810256</v>
      </c>
      <c r="C62" s="163" t="s">
        <v>1142</v>
      </c>
      <c r="D62" s="163" t="s">
        <v>1038</v>
      </c>
      <c r="E62" s="164" t="s">
        <v>1143</v>
      </c>
      <c r="F62" s="165" t="s">
        <v>66</v>
      </c>
      <c r="G62" s="165"/>
      <c r="H62" s="165"/>
      <c r="I62" s="165"/>
      <c r="J62" s="165"/>
      <c r="K62" s="165"/>
      <c r="L62" s="166" t="s">
        <v>51</v>
      </c>
      <c r="M62" s="183"/>
      <c r="O62" s="142" t="n">
        <v>5</v>
      </c>
    </row>
    <row r="63" customFormat="false" ht="16.5" hidden="false" customHeight="true" outlineLevel="0" collapsed="false">
      <c r="A63" s="170" t="n">
        <v>6</v>
      </c>
      <c r="B63" s="164" t="n">
        <v>171810257</v>
      </c>
      <c r="C63" s="163" t="s">
        <v>1144</v>
      </c>
      <c r="D63" s="163" t="s">
        <v>1038</v>
      </c>
      <c r="E63" s="164" t="s">
        <v>1145</v>
      </c>
      <c r="F63" s="165" t="s">
        <v>52</v>
      </c>
      <c r="G63" s="165"/>
      <c r="H63" s="165"/>
      <c r="I63" s="165"/>
      <c r="J63" s="165"/>
      <c r="K63" s="165"/>
      <c r="L63" s="166" t="s">
        <v>180</v>
      </c>
      <c r="M63" s="183"/>
      <c r="O63" s="142" t="n">
        <v>6</v>
      </c>
    </row>
    <row r="64" customFormat="false" ht="16.5" hidden="false" customHeight="true" outlineLevel="0" collapsed="false">
      <c r="A64" s="161" t="n">
        <v>7</v>
      </c>
      <c r="B64" s="164" t="n">
        <v>171810187</v>
      </c>
      <c r="C64" s="163" t="s">
        <v>1146</v>
      </c>
      <c r="D64" s="163" t="s">
        <v>1026</v>
      </c>
      <c r="E64" s="164" t="s">
        <v>1147</v>
      </c>
      <c r="F64" s="161" t="s">
        <v>66</v>
      </c>
      <c r="G64" s="161"/>
      <c r="H64" s="161"/>
      <c r="I64" s="161"/>
      <c r="J64" s="161"/>
      <c r="K64" s="161"/>
      <c r="L64" s="171" t="s">
        <v>1148</v>
      </c>
      <c r="M64" s="183"/>
      <c r="O64" s="142" t="n">
        <v>7</v>
      </c>
    </row>
    <row r="65" customFormat="false" ht="16.5" hidden="false" customHeight="true" outlineLevel="0" collapsed="false">
      <c r="A65" s="170" t="n">
        <v>8</v>
      </c>
      <c r="B65" s="164" t="n">
        <v>171810225</v>
      </c>
      <c r="C65" s="163" t="s">
        <v>1149</v>
      </c>
      <c r="D65" s="163" t="s">
        <v>1034</v>
      </c>
      <c r="E65" s="164" t="s">
        <v>1150</v>
      </c>
      <c r="F65" s="161" t="s">
        <v>66</v>
      </c>
      <c r="G65" s="161"/>
      <c r="H65" s="161"/>
      <c r="I65" s="161"/>
      <c r="J65" s="161"/>
      <c r="K65" s="161"/>
      <c r="L65" s="171" t="s">
        <v>135</v>
      </c>
      <c r="M65" s="183"/>
      <c r="O65" s="142" t="n">
        <v>8</v>
      </c>
    </row>
    <row r="66" customFormat="false" ht="16.5" hidden="false" customHeight="true" outlineLevel="0" collapsed="false">
      <c r="A66" s="161" t="n">
        <v>9</v>
      </c>
      <c r="B66" s="164" t="n">
        <v>171810333</v>
      </c>
      <c r="C66" s="163" t="s">
        <v>1151</v>
      </c>
      <c r="D66" s="163" t="s">
        <v>1021</v>
      </c>
      <c r="E66" s="164" t="s">
        <v>1152</v>
      </c>
      <c r="F66" s="165" t="s">
        <v>66</v>
      </c>
      <c r="G66" s="165"/>
      <c r="H66" s="165"/>
      <c r="I66" s="165"/>
      <c r="J66" s="165"/>
      <c r="K66" s="165"/>
      <c r="L66" s="166" t="s">
        <v>1105</v>
      </c>
      <c r="M66" s="183"/>
      <c r="O66" s="142" t="n">
        <v>9</v>
      </c>
    </row>
    <row r="67" customFormat="false" ht="16.5" hidden="false" customHeight="true" outlineLevel="0" collapsed="false">
      <c r="A67" s="170" t="n">
        <v>10</v>
      </c>
      <c r="B67" s="164" t="n">
        <v>171810334</v>
      </c>
      <c r="C67" s="163" t="s">
        <v>1153</v>
      </c>
      <c r="D67" s="163" t="s">
        <v>1021</v>
      </c>
      <c r="E67" s="164" t="s">
        <v>1154</v>
      </c>
      <c r="F67" s="165" t="s">
        <v>52</v>
      </c>
      <c r="G67" s="165"/>
      <c r="H67" s="165"/>
      <c r="I67" s="165"/>
      <c r="J67" s="165"/>
      <c r="K67" s="165"/>
      <c r="L67" s="166" t="s">
        <v>51</v>
      </c>
      <c r="M67" s="183"/>
      <c r="O67" s="142" t="n">
        <v>10</v>
      </c>
    </row>
    <row r="68" customFormat="false" ht="16.5" hidden="false" customHeight="true" outlineLevel="0" collapsed="false">
      <c r="A68" s="161" t="n">
        <v>11</v>
      </c>
      <c r="B68" s="164" t="n">
        <v>171810259</v>
      </c>
      <c r="C68" s="163" t="s">
        <v>1155</v>
      </c>
      <c r="D68" s="163" t="s">
        <v>1038</v>
      </c>
      <c r="E68" s="164" t="s">
        <v>1156</v>
      </c>
      <c r="F68" s="161" t="s">
        <v>52</v>
      </c>
      <c r="G68" s="161"/>
      <c r="H68" s="161"/>
      <c r="I68" s="161"/>
      <c r="J68" s="161"/>
      <c r="K68" s="161"/>
      <c r="L68" s="171" t="s">
        <v>1086</v>
      </c>
      <c r="M68" s="183"/>
      <c r="O68" s="142" t="n">
        <v>11</v>
      </c>
    </row>
    <row r="69" customFormat="false" ht="16.5" hidden="false" customHeight="true" outlineLevel="0" collapsed="false">
      <c r="A69" s="170" t="n">
        <v>12</v>
      </c>
      <c r="B69" s="164" t="n">
        <v>171810229</v>
      </c>
      <c r="C69" s="163" t="s">
        <v>1157</v>
      </c>
      <c r="D69" s="163" t="s">
        <v>1034</v>
      </c>
      <c r="E69" s="164" t="s">
        <v>1158</v>
      </c>
      <c r="F69" s="165" t="s">
        <v>66</v>
      </c>
      <c r="G69" s="165"/>
      <c r="H69" s="165"/>
      <c r="I69" s="165"/>
      <c r="J69" s="165"/>
      <c r="K69" s="165"/>
      <c r="L69" s="166" t="s">
        <v>1081</v>
      </c>
      <c r="M69" s="183"/>
      <c r="O69" s="142" t="n">
        <v>12</v>
      </c>
    </row>
    <row r="70" customFormat="false" ht="16.5" hidden="false" customHeight="true" outlineLevel="0" collapsed="false">
      <c r="A70" s="161" t="n">
        <v>13</v>
      </c>
      <c r="B70" s="164" t="n">
        <v>171810336</v>
      </c>
      <c r="C70" s="163" t="s">
        <v>1159</v>
      </c>
      <c r="D70" s="163" t="s">
        <v>1021</v>
      </c>
      <c r="E70" s="164" t="s">
        <v>1160</v>
      </c>
      <c r="F70" s="161" t="s">
        <v>52</v>
      </c>
      <c r="G70" s="161"/>
      <c r="H70" s="161"/>
      <c r="I70" s="161"/>
      <c r="J70" s="161"/>
      <c r="K70" s="161"/>
      <c r="L70" s="171" t="s">
        <v>1161</v>
      </c>
      <c r="M70" s="183"/>
      <c r="O70" s="142" t="n">
        <v>13</v>
      </c>
    </row>
    <row r="71" customFormat="false" ht="16.5" hidden="false" customHeight="true" outlineLevel="0" collapsed="false">
      <c r="A71" s="170" t="n">
        <v>14</v>
      </c>
      <c r="B71" s="164" t="n">
        <v>171810191</v>
      </c>
      <c r="C71" s="163" t="s">
        <v>1162</v>
      </c>
      <c r="D71" s="163" t="s">
        <v>1026</v>
      </c>
      <c r="E71" s="164" t="s">
        <v>1163</v>
      </c>
      <c r="F71" s="165" t="s">
        <v>66</v>
      </c>
      <c r="G71" s="165"/>
      <c r="H71" s="165"/>
      <c r="I71" s="165"/>
      <c r="J71" s="165"/>
      <c r="K71" s="165"/>
      <c r="L71" s="168" t="s">
        <v>1164</v>
      </c>
      <c r="M71" s="183"/>
      <c r="O71" s="142" t="n">
        <v>14</v>
      </c>
    </row>
    <row r="72" customFormat="false" ht="16.5" hidden="false" customHeight="true" outlineLevel="0" collapsed="false">
      <c r="A72" s="161" t="n">
        <v>15</v>
      </c>
      <c r="B72" s="164" t="n">
        <v>171810300</v>
      </c>
      <c r="C72" s="163" t="s">
        <v>1165</v>
      </c>
      <c r="D72" s="163" t="s">
        <v>1030</v>
      </c>
      <c r="E72" s="164" t="s">
        <v>1166</v>
      </c>
      <c r="F72" s="161" t="s">
        <v>66</v>
      </c>
      <c r="G72" s="161"/>
      <c r="H72" s="161"/>
      <c r="I72" s="161"/>
      <c r="J72" s="161"/>
      <c r="K72" s="161"/>
      <c r="L72" s="166" t="s">
        <v>1167</v>
      </c>
      <c r="M72" s="183"/>
    </row>
    <row r="73" customFormat="false" ht="16.5" hidden="false" customHeight="true" outlineLevel="0" collapsed="false">
      <c r="A73" s="170" t="n">
        <v>16</v>
      </c>
      <c r="B73" s="164" t="n">
        <v>171810192</v>
      </c>
      <c r="C73" s="163" t="s">
        <v>1168</v>
      </c>
      <c r="D73" s="163" t="s">
        <v>1026</v>
      </c>
      <c r="E73" s="164" t="s">
        <v>1169</v>
      </c>
      <c r="F73" s="161" t="s">
        <v>66</v>
      </c>
      <c r="G73" s="161"/>
      <c r="H73" s="161"/>
      <c r="I73" s="161"/>
      <c r="J73" s="161"/>
      <c r="K73" s="161"/>
      <c r="L73" s="171" t="s">
        <v>1040</v>
      </c>
      <c r="M73" s="183"/>
    </row>
    <row r="74" customFormat="false" ht="16.5" hidden="false" customHeight="true" outlineLevel="0" collapsed="false">
      <c r="A74" s="161" t="n">
        <v>17</v>
      </c>
      <c r="B74" s="164" t="n">
        <v>171810301</v>
      </c>
      <c r="C74" s="163" t="s">
        <v>1170</v>
      </c>
      <c r="D74" s="163" t="s">
        <v>1030</v>
      </c>
      <c r="E74" s="164" t="s">
        <v>1171</v>
      </c>
      <c r="F74" s="161" t="s">
        <v>52</v>
      </c>
      <c r="G74" s="161"/>
      <c r="H74" s="161"/>
      <c r="I74" s="161"/>
      <c r="J74" s="161"/>
      <c r="K74" s="161"/>
      <c r="L74" s="171" t="s">
        <v>51</v>
      </c>
      <c r="M74" s="183"/>
    </row>
    <row r="75" customFormat="false" ht="16.5" hidden="false" customHeight="true" outlineLevel="0" collapsed="false">
      <c r="A75" s="170" t="n">
        <v>18</v>
      </c>
      <c r="B75" s="164" t="n">
        <v>171810193</v>
      </c>
      <c r="C75" s="163" t="s">
        <v>1172</v>
      </c>
      <c r="D75" s="163" t="s">
        <v>1026</v>
      </c>
      <c r="E75" s="164" t="s">
        <v>1173</v>
      </c>
      <c r="F75" s="161" t="s">
        <v>52</v>
      </c>
      <c r="G75" s="161"/>
      <c r="H75" s="161"/>
      <c r="I75" s="161"/>
      <c r="J75" s="161"/>
      <c r="K75" s="161"/>
      <c r="L75" s="171" t="s">
        <v>135</v>
      </c>
      <c r="M75" s="183"/>
    </row>
    <row r="76" customFormat="false" ht="16.5" hidden="false" customHeight="true" outlineLevel="0" collapsed="false">
      <c r="A76" s="161" t="n">
        <v>19</v>
      </c>
      <c r="B76" s="164" t="n">
        <v>171810264</v>
      </c>
      <c r="C76" s="163" t="s">
        <v>1174</v>
      </c>
      <c r="D76" s="163" t="s">
        <v>1038</v>
      </c>
      <c r="E76" s="164" t="s">
        <v>1175</v>
      </c>
      <c r="F76" s="165" t="s">
        <v>52</v>
      </c>
      <c r="G76" s="165"/>
      <c r="H76" s="165"/>
      <c r="I76" s="165"/>
      <c r="J76" s="165"/>
      <c r="K76" s="165"/>
      <c r="L76" s="166" t="s">
        <v>51</v>
      </c>
      <c r="M76" s="183"/>
    </row>
    <row r="77" customFormat="false" ht="16.5" hidden="false" customHeight="true" outlineLevel="0" collapsed="false">
      <c r="A77" s="170" t="n">
        <v>20</v>
      </c>
      <c r="B77" s="164" t="n">
        <v>171810342</v>
      </c>
      <c r="C77" s="163" t="s">
        <v>1176</v>
      </c>
      <c r="D77" s="163" t="s">
        <v>1021</v>
      </c>
      <c r="E77" s="164" t="s">
        <v>1177</v>
      </c>
      <c r="F77" s="161" t="s">
        <v>52</v>
      </c>
      <c r="G77" s="161"/>
      <c r="H77" s="161"/>
      <c r="I77" s="161"/>
      <c r="J77" s="161"/>
      <c r="K77" s="161"/>
      <c r="L77" s="171" t="s">
        <v>1086</v>
      </c>
      <c r="M77" s="183"/>
    </row>
    <row r="78" customFormat="false" ht="16.5" hidden="false" customHeight="true" outlineLevel="0" collapsed="false">
      <c r="A78" s="161" t="n">
        <v>21</v>
      </c>
      <c r="B78" s="164" t="n">
        <v>171810269</v>
      </c>
      <c r="C78" s="163" t="s">
        <v>1178</v>
      </c>
      <c r="D78" s="163" t="s">
        <v>1038</v>
      </c>
      <c r="E78" s="164" t="s">
        <v>1179</v>
      </c>
      <c r="F78" s="165" t="s">
        <v>66</v>
      </c>
      <c r="G78" s="165"/>
      <c r="H78" s="165"/>
      <c r="I78" s="165"/>
      <c r="J78" s="165"/>
      <c r="K78" s="165"/>
      <c r="L78" s="166" t="s">
        <v>51</v>
      </c>
      <c r="M78" s="183"/>
    </row>
    <row r="79" customFormat="false" ht="16.5" hidden="false" customHeight="true" outlineLevel="0" collapsed="false">
      <c r="A79" s="170" t="n">
        <v>22</v>
      </c>
      <c r="B79" s="164" t="n">
        <v>171810345</v>
      </c>
      <c r="C79" s="163" t="s">
        <v>1180</v>
      </c>
      <c r="D79" s="163" t="s">
        <v>1021</v>
      </c>
      <c r="E79" s="164" t="s">
        <v>1181</v>
      </c>
      <c r="F79" s="161" t="s">
        <v>66</v>
      </c>
      <c r="G79" s="161"/>
      <c r="H79" s="161"/>
      <c r="I79" s="161"/>
      <c r="J79" s="161"/>
      <c r="K79" s="161"/>
      <c r="L79" s="171" t="s">
        <v>1040</v>
      </c>
      <c r="M79" s="183"/>
    </row>
    <row r="80" customFormat="false" ht="16.5" hidden="false" customHeight="true" outlineLevel="0" collapsed="false">
      <c r="A80" s="161" t="n">
        <v>23</v>
      </c>
      <c r="B80" s="164" t="n">
        <v>171810240</v>
      </c>
      <c r="C80" s="163" t="s">
        <v>1182</v>
      </c>
      <c r="D80" s="163" t="s">
        <v>1034</v>
      </c>
      <c r="E80" s="164" t="s">
        <v>1183</v>
      </c>
      <c r="F80" s="161" t="s">
        <v>66</v>
      </c>
      <c r="G80" s="161"/>
      <c r="H80" s="161"/>
      <c r="I80" s="161"/>
      <c r="J80" s="161"/>
      <c r="K80" s="161"/>
      <c r="L80" s="171" t="s">
        <v>1184</v>
      </c>
      <c r="M80" s="183"/>
    </row>
    <row r="81" customFormat="false" ht="16.5" hidden="false" customHeight="true" outlineLevel="0" collapsed="false">
      <c r="A81" s="170" t="n">
        <v>24</v>
      </c>
      <c r="B81" s="164" t="n">
        <v>171810272</v>
      </c>
      <c r="C81" s="163" t="s">
        <v>1185</v>
      </c>
      <c r="D81" s="163" t="s">
        <v>1038</v>
      </c>
      <c r="E81" s="164" t="s">
        <v>1186</v>
      </c>
      <c r="F81" s="161" t="s">
        <v>52</v>
      </c>
      <c r="G81" s="161"/>
      <c r="H81" s="161"/>
      <c r="I81" s="161"/>
      <c r="J81" s="161"/>
      <c r="K81" s="161"/>
      <c r="L81" s="171" t="s">
        <v>1161</v>
      </c>
      <c r="M81" s="183"/>
    </row>
    <row r="82" customFormat="false" ht="16.5" hidden="false" customHeight="true" outlineLevel="0" collapsed="false">
      <c r="A82" s="161" t="n">
        <v>25</v>
      </c>
      <c r="B82" s="164" t="n">
        <v>171810273</v>
      </c>
      <c r="C82" s="163" t="s">
        <v>1187</v>
      </c>
      <c r="D82" s="163" t="s">
        <v>1038</v>
      </c>
      <c r="E82" s="164" t="s">
        <v>1188</v>
      </c>
      <c r="F82" s="165" t="s">
        <v>52</v>
      </c>
      <c r="G82" s="165"/>
      <c r="H82" s="165"/>
      <c r="I82" s="165"/>
      <c r="J82" s="165"/>
      <c r="K82" s="165"/>
      <c r="L82" s="166" t="s">
        <v>1086</v>
      </c>
      <c r="M82" s="183"/>
    </row>
    <row r="83" customFormat="false" ht="16.5" hidden="false" customHeight="true" outlineLevel="0" collapsed="false">
      <c r="A83" s="170" t="n">
        <v>26</v>
      </c>
      <c r="B83" s="164" t="n">
        <v>171810242</v>
      </c>
      <c r="C83" s="163" t="s">
        <v>1189</v>
      </c>
      <c r="D83" s="163" t="s">
        <v>1034</v>
      </c>
      <c r="E83" s="164" t="s">
        <v>1190</v>
      </c>
      <c r="F83" s="165" t="s">
        <v>52</v>
      </c>
      <c r="G83" s="165"/>
      <c r="H83" s="165"/>
      <c r="I83" s="165"/>
      <c r="J83" s="165"/>
      <c r="K83" s="165"/>
      <c r="L83" s="166" t="s">
        <v>135</v>
      </c>
      <c r="M83" s="183"/>
    </row>
    <row r="84" customFormat="false" ht="16.5" hidden="false" customHeight="true" outlineLevel="0" collapsed="false">
      <c r="A84" s="161" t="n">
        <v>27</v>
      </c>
      <c r="B84" s="164" t="n">
        <v>171810206</v>
      </c>
      <c r="C84" s="163" t="s">
        <v>1191</v>
      </c>
      <c r="D84" s="163" t="s">
        <v>1026</v>
      </c>
      <c r="E84" s="164" t="s">
        <v>1192</v>
      </c>
      <c r="F84" s="165" t="s">
        <v>52</v>
      </c>
      <c r="G84" s="165"/>
      <c r="H84" s="165"/>
      <c r="I84" s="165"/>
      <c r="J84" s="165"/>
      <c r="K84" s="165"/>
      <c r="L84" s="168" t="s">
        <v>1193</v>
      </c>
      <c r="M84" s="183"/>
    </row>
    <row r="85" customFormat="false" ht="16.5" hidden="false" customHeight="true" outlineLevel="0" collapsed="false">
      <c r="A85" s="170" t="n">
        <v>28</v>
      </c>
      <c r="B85" s="164" t="n">
        <v>171810352</v>
      </c>
      <c r="C85" s="163" t="s">
        <v>1194</v>
      </c>
      <c r="D85" s="163" t="s">
        <v>1021</v>
      </c>
      <c r="E85" s="164" t="s">
        <v>1195</v>
      </c>
      <c r="F85" s="161" t="s">
        <v>52</v>
      </c>
      <c r="G85" s="161"/>
      <c r="H85" s="161"/>
      <c r="I85" s="161"/>
      <c r="J85" s="161"/>
      <c r="K85" s="161"/>
      <c r="L85" s="171" t="s">
        <v>1053</v>
      </c>
      <c r="M85" s="183"/>
    </row>
    <row r="86" customFormat="false" ht="16.5" hidden="false" customHeight="true" outlineLevel="0" collapsed="false">
      <c r="A86" s="161" t="n">
        <v>29</v>
      </c>
      <c r="B86" s="164" t="n">
        <v>171810174</v>
      </c>
      <c r="C86" s="163" t="s">
        <v>1196</v>
      </c>
      <c r="D86" s="163" t="s">
        <v>1034</v>
      </c>
      <c r="E86" s="164" t="s">
        <v>1197</v>
      </c>
      <c r="F86" s="161" t="s">
        <v>66</v>
      </c>
      <c r="G86" s="161"/>
      <c r="H86" s="161"/>
      <c r="I86" s="161"/>
      <c r="J86" s="161"/>
      <c r="K86" s="161"/>
      <c r="L86" s="171" t="s">
        <v>1081</v>
      </c>
      <c r="M86" s="183"/>
    </row>
    <row r="87" customFormat="false" ht="16.5" hidden="false" customHeight="true" outlineLevel="0" collapsed="false">
      <c r="A87" s="170" t="n">
        <v>30</v>
      </c>
      <c r="B87" s="164" t="n">
        <v>171810246</v>
      </c>
      <c r="C87" s="163" t="s">
        <v>1198</v>
      </c>
      <c r="D87" s="163" t="s">
        <v>1034</v>
      </c>
      <c r="E87" s="164" t="s">
        <v>1199</v>
      </c>
      <c r="F87" s="165" t="s">
        <v>52</v>
      </c>
      <c r="G87" s="165"/>
      <c r="H87" s="165"/>
      <c r="I87" s="165"/>
      <c r="J87" s="165"/>
      <c r="K87" s="165"/>
      <c r="L87" s="166" t="s">
        <v>180</v>
      </c>
      <c r="M87" s="183"/>
    </row>
    <row r="88" customFormat="false" ht="16.5" hidden="false" customHeight="true" outlineLevel="0" collapsed="false">
      <c r="A88" s="161" t="n">
        <v>31</v>
      </c>
      <c r="B88" s="164" t="n">
        <v>171810316</v>
      </c>
      <c r="C88" s="163" t="s">
        <v>1200</v>
      </c>
      <c r="D88" s="163" t="s">
        <v>1030</v>
      </c>
      <c r="E88" s="164" t="s">
        <v>1201</v>
      </c>
      <c r="F88" s="165" t="s">
        <v>52</v>
      </c>
      <c r="G88" s="165"/>
      <c r="H88" s="165"/>
      <c r="I88" s="165"/>
      <c r="J88" s="165"/>
      <c r="K88" s="165"/>
      <c r="L88" s="166" t="s">
        <v>51</v>
      </c>
      <c r="M88" s="183"/>
    </row>
    <row r="89" customFormat="false" ht="16.5" hidden="false" customHeight="true" outlineLevel="0" collapsed="false">
      <c r="A89" s="170" t="n">
        <v>32</v>
      </c>
      <c r="B89" s="164" t="n">
        <v>171810210</v>
      </c>
      <c r="C89" s="163" t="s">
        <v>1202</v>
      </c>
      <c r="D89" s="163" t="s">
        <v>1026</v>
      </c>
      <c r="E89" s="164" t="s">
        <v>1203</v>
      </c>
      <c r="F89" s="165" t="s">
        <v>52</v>
      </c>
      <c r="G89" s="165"/>
      <c r="H89" s="165"/>
      <c r="I89" s="165"/>
      <c r="J89" s="165"/>
      <c r="K89" s="165"/>
      <c r="L89" s="168" t="s">
        <v>1204</v>
      </c>
      <c r="M89" s="183"/>
    </row>
    <row r="90" customFormat="false" ht="16.5" hidden="false" customHeight="true" outlineLevel="0" collapsed="false">
      <c r="A90" s="161" t="n">
        <v>33</v>
      </c>
      <c r="B90" s="164" t="n">
        <v>171810353</v>
      </c>
      <c r="C90" s="163" t="s">
        <v>1205</v>
      </c>
      <c r="D90" s="163" t="s">
        <v>1021</v>
      </c>
      <c r="E90" s="164" t="s">
        <v>1206</v>
      </c>
      <c r="F90" s="161" t="s">
        <v>52</v>
      </c>
      <c r="G90" s="161"/>
      <c r="H90" s="161"/>
      <c r="I90" s="161"/>
      <c r="J90" s="161"/>
      <c r="K90" s="161"/>
      <c r="L90" s="171" t="s">
        <v>135</v>
      </c>
      <c r="M90" s="183"/>
    </row>
    <row r="91" customFormat="false" ht="16.5" hidden="false" customHeight="true" outlineLevel="0" collapsed="false">
      <c r="A91" s="170" t="n">
        <v>34</v>
      </c>
      <c r="B91" s="164" t="n">
        <v>171810213</v>
      </c>
      <c r="C91" s="163" t="s">
        <v>1207</v>
      </c>
      <c r="D91" s="163" t="s">
        <v>1026</v>
      </c>
      <c r="E91" s="164" t="s">
        <v>1208</v>
      </c>
      <c r="F91" s="161" t="s">
        <v>52</v>
      </c>
      <c r="G91" s="161"/>
      <c r="H91" s="161"/>
      <c r="I91" s="161"/>
      <c r="J91" s="161"/>
      <c r="K91" s="161"/>
      <c r="L91" s="171" t="s">
        <v>51</v>
      </c>
      <c r="M91" s="183"/>
    </row>
    <row r="92" customFormat="false" ht="16.5" hidden="false" customHeight="true" outlineLevel="0" collapsed="false">
      <c r="A92" s="161" t="n">
        <v>35</v>
      </c>
      <c r="B92" s="164" t="n">
        <v>171810358</v>
      </c>
      <c r="C92" s="163" t="s">
        <v>1209</v>
      </c>
      <c r="D92" s="163" t="s">
        <v>1021</v>
      </c>
      <c r="E92" s="164" t="s">
        <v>1210</v>
      </c>
      <c r="F92" s="165" t="s">
        <v>52</v>
      </c>
      <c r="G92" s="165"/>
      <c r="H92" s="165"/>
      <c r="I92" s="165"/>
      <c r="J92" s="165"/>
      <c r="K92" s="165"/>
      <c r="L92" s="171" t="s">
        <v>51</v>
      </c>
      <c r="M92" s="183"/>
    </row>
    <row r="93" customFormat="false" ht="13.5" hidden="false" customHeight="true" outlineLevel="0" collapsed="false">
      <c r="A93" s="170" t="n">
        <v>36</v>
      </c>
      <c r="B93" s="164" t="n">
        <v>171810285</v>
      </c>
      <c r="C93" s="163" t="s">
        <v>1211</v>
      </c>
      <c r="D93" s="163" t="s">
        <v>1038</v>
      </c>
      <c r="E93" s="164" t="s">
        <v>1212</v>
      </c>
      <c r="F93" s="161" t="s">
        <v>66</v>
      </c>
      <c r="G93" s="161"/>
      <c r="H93" s="161"/>
      <c r="I93" s="161"/>
      <c r="J93" s="161"/>
      <c r="K93" s="161"/>
      <c r="L93" s="171" t="s">
        <v>1213</v>
      </c>
      <c r="M93" s="183"/>
    </row>
    <row r="94" customFormat="false" ht="15" hidden="false" customHeight="true" outlineLevel="0" collapsed="false">
      <c r="A94" s="147"/>
      <c r="B94" s="175"/>
      <c r="C94" s="175"/>
      <c r="D94" s="175"/>
      <c r="E94" s="176" t="s">
        <v>1127</v>
      </c>
      <c r="F94" s="175" t="n">
        <v>14</v>
      </c>
      <c r="G94" s="175"/>
      <c r="H94" s="175"/>
      <c r="I94" s="175"/>
      <c r="J94" s="175"/>
      <c r="K94" s="175"/>
      <c r="L94" s="175"/>
      <c r="M94" s="175"/>
    </row>
    <row r="95" customFormat="false" ht="15" hidden="false" customHeight="true" outlineLevel="0" collapsed="false">
      <c r="A95" s="147"/>
      <c r="B95" s="175"/>
      <c r="C95" s="175"/>
      <c r="D95" s="175"/>
      <c r="E95" s="176" t="s">
        <v>1128</v>
      </c>
      <c r="F95" s="175" t="n">
        <f aca="false">COUNTIF(F58:F93,"P")</f>
        <v>22</v>
      </c>
      <c r="G95" s="175"/>
      <c r="H95" s="175"/>
      <c r="I95" s="175"/>
      <c r="J95" s="175"/>
      <c r="K95" s="175"/>
      <c r="L95" s="175"/>
      <c r="M95" s="175"/>
    </row>
    <row r="96" customFormat="false" ht="15" hidden="false" customHeight="true" outlineLevel="0" collapsed="false">
      <c r="A96" s="147"/>
      <c r="B96" s="147" t="s">
        <v>1129</v>
      </c>
      <c r="C96" s="175"/>
      <c r="D96" s="175"/>
      <c r="E96" s="147"/>
      <c r="F96" s="152" t="s">
        <v>1130</v>
      </c>
      <c r="G96" s="175"/>
      <c r="H96" s="175"/>
      <c r="I96" s="175"/>
      <c r="J96" s="175"/>
      <c r="K96" s="175"/>
      <c r="L96" s="175"/>
      <c r="M96" s="175"/>
    </row>
    <row r="97" customFormat="false" ht="15" hidden="false" customHeight="true" outlineLevel="0" collapsed="false">
      <c r="A97" s="147"/>
      <c r="B97" s="175"/>
      <c r="C97" s="175"/>
      <c r="D97" s="175"/>
      <c r="E97" s="147"/>
      <c r="F97" s="175"/>
      <c r="G97" s="175"/>
      <c r="H97" s="175"/>
      <c r="I97" s="175"/>
      <c r="J97" s="175"/>
      <c r="K97" s="175"/>
      <c r="L97" s="175"/>
      <c r="M97" s="175"/>
    </row>
    <row r="98" customFormat="false" ht="15" hidden="false" customHeight="true" outlineLevel="0" collapsed="false">
      <c r="A98" s="147"/>
      <c r="B98" s="175"/>
      <c r="C98" s="175"/>
      <c r="D98" s="175"/>
      <c r="E98" s="147"/>
      <c r="F98" s="175"/>
      <c r="G98" s="175"/>
      <c r="H98" s="175"/>
      <c r="I98" s="175"/>
      <c r="J98" s="175"/>
      <c r="K98" s="175"/>
      <c r="L98" s="175"/>
      <c r="M98" s="175"/>
    </row>
    <row r="99" customFormat="false" ht="15" hidden="false" customHeight="true" outlineLevel="0" collapsed="false">
      <c r="A99" s="147"/>
      <c r="B99" s="177" t="s">
        <v>1131</v>
      </c>
      <c r="C99" s="175"/>
      <c r="D99" s="175"/>
      <c r="E99" s="147"/>
      <c r="F99" s="178"/>
      <c r="G99" s="178"/>
      <c r="H99" s="178"/>
      <c r="I99" s="178"/>
      <c r="J99" s="178"/>
      <c r="K99" s="175"/>
      <c r="L99" s="178"/>
      <c r="M99" s="178"/>
    </row>
    <row r="100" customFormat="false" ht="15" hidden="false" customHeight="true" outlineLevel="0" collapsed="false">
      <c r="A100" s="147"/>
      <c r="B100" s="147" t="s">
        <v>1132</v>
      </c>
      <c r="C100" s="175"/>
      <c r="D100" s="175"/>
      <c r="E100" s="147"/>
      <c r="F100" s="175"/>
      <c r="G100" s="175"/>
      <c r="H100" s="175"/>
      <c r="I100" s="175"/>
      <c r="J100" s="175"/>
      <c r="K100" s="175"/>
      <c r="L100" s="175"/>
      <c r="M100" s="175"/>
    </row>
    <row r="101" customFormat="false" ht="15" hidden="false" customHeight="true" outlineLevel="0" collapsed="false">
      <c r="A101" s="151" t="s">
        <v>1214</v>
      </c>
      <c r="B101" s="147"/>
      <c r="C101" s="147"/>
      <c r="D101" s="147"/>
      <c r="E101" s="147"/>
      <c r="F101" s="147" t="s">
        <v>1215</v>
      </c>
      <c r="G101" s="180"/>
      <c r="H101" s="180"/>
      <c r="I101" s="180"/>
      <c r="J101" s="180"/>
      <c r="K101" s="180"/>
    </row>
    <row r="102" customFormat="false" ht="30" hidden="false" customHeight="true" outlineLevel="0" collapsed="false">
      <c r="A102" s="158" t="s">
        <v>1015</v>
      </c>
      <c r="B102" s="155" t="s">
        <v>13</v>
      </c>
      <c r="C102" s="156" t="s">
        <v>14</v>
      </c>
      <c r="D102" s="181" t="s">
        <v>1016</v>
      </c>
      <c r="E102" s="158" t="s">
        <v>17</v>
      </c>
      <c r="F102" s="158" t="s">
        <v>19</v>
      </c>
      <c r="G102" s="158"/>
      <c r="H102" s="158"/>
      <c r="I102" s="158"/>
      <c r="J102" s="158"/>
      <c r="K102" s="158"/>
      <c r="L102" s="159" t="s">
        <v>1017</v>
      </c>
      <c r="M102" s="182" t="s">
        <v>1018</v>
      </c>
    </row>
    <row r="103" customFormat="false" ht="16.5" hidden="false" customHeight="true" outlineLevel="0" collapsed="false">
      <c r="A103" s="161" t="n">
        <v>1</v>
      </c>
      <c r="B103" s="170" t="n">
        <v>171810217</v>
      </c>
      <c r="C103" s="184" t="s">
        <v>1216</v>
      </c>
      <c r="D103" s="163" t="s">
        <v>1034</v>
      </c>
      <c r="E103" s="169" t="s">
        <v>1217</v>
      </c>
      <c r="F103" s="170" t="s">
        <v>66</v>
      </c>
      <c r="G103" s="170"/>
      <c r="H103" s="170"/>
      <c r="I103" s="170"/>
      <c r="J103" s="170"/>
      <c r="K103" s="170"/>
      <c r="L103" s="171" t="s">
        <v>1218</v>
      </c>
      <c r="M103" s="167"/>
      <c r="O103" s="142" t="n">
        <v>1</v>
      </c>
    </row>
    <row r="104" customFormat="false" ht="16.5" hidden="false" customHeight="true" outlineLevel="0" collapsed="false">
      <c r="A104" s="170" t="n">
        <v>2</v>
      </c>
      <c r="B104" s="170" t="n">
        <v>171810252</v>
      </c>
      <c r="C104" s="184" t="s">
        <v>1219</v>
      </c>
      <c r="D104" s="163" t="s">
        <v>1038</v>
      </c>
      <c r="E104" s="169" t="s">
        <v>1220</v>
      </c>
      <c r="F104" s="170" t="s">
        <v>52</v>
      </c>
      <c r="G104" s="170"/>
      <c r="H104" s="170"/>
      <c r="I104" s="170"/>
      <c r="J104" s="170"/>
      <c r="K104" s="170"/>
      <c r="L104" s="171" t="s">
        <v>1053</v>
      </c>
      <c r="M104" s="167"/>
      <c r="O104" s="142" t="n">
        <v>2</v>
      </c>
    </row>
    <row r="105" customFormat="false" ht="16.5" hidden="false" customHeight="true" outlineLevel="0" collapsed="false">
      <c r="A105" s="161" t="n">
        <v>3</v>
      </c>
      <c r="B105" s="170" t="n">
        <v>171810326</v>
      </c>
      <c r="C105" s="184" t="s">
        <v>1221</v>
      </c>
      <c r="D105" s="163" t="s">
        <v>1021</v>
      </c>
      <c r="E105" s="164" t="s">
        <v>1222</v>
      </c>
      <c r="F105" s="165" t="s">
        <v>52</v>
      </c>
      <c r="G105" s="165"/>
      <c r="H105" s="165"/>
      <c r="I105" s="165"/>
      <c r="J105" s="165"/>
      <c r="K105" s="165"/>
      <c r="L105" s="166" t="s">
        <v>51</v>
      </c>
      <c r="M105" s="167"/>
      <c r="O105" s="142" t="n">
        <v>3</v>
      </c>
    </row>
    <row r="106" customFormat="false" ht="16.5" hidden="false" customHeight="true" outlineLevel="0" collapsed="false">
      <c r="A106" s="170" t="n">
        <v>4</v>
      </c>
      <c r="B106" s="170" t="n">
        <v>171810328</v>
      </c>
      <c r="C106" s="184" t="s">
        <v>1223</v>
      </c>
      <c r="D106" s="163" t="s">
        <v>1021</v>
      </c>
      <c r="E106" s="169" t="s">
        <v>1224</v>
      </c>
      <c r="F106" s="170" t="s">
        <v>66</v>
      </c>
      <c r="G106" s="170"/>
      <c r="H106" s="170"/>
      <c r="I106" s="170"/>
      <c r="J106" s="170"/>
      <c r="K106" s="170"/>
      <c r="L106" s="171" t="s">
        <v>1040</v>
      </c>
      <c r="M106" s="167"/>
      <c r="O106" s="142" t="n">
        <v>4</v>
      </c>
    </row>
    <row r="107" customFormat="false" ht="16.5" hidden="false" customHeight="true" outlineLevel="0" collapsed="false">
      <c r="A107" s="161" t="n">
        <v>5</v>
      </c>
      <c r="B107" s="170" t="n">
        <v>171810290</v>
      </c>
      <c r="C107" s="184" t="s">
        <v>1225</v>
      </c>
      <c r="D107" s="163" t="s">
        <v>1030</v>
      </c>
      <c r="E107" s="169" t="s">
        <v>1226</v>
      </c>
      <c r="F107" s="170" t="s">
        <v>52</v>
      </c>
      <c r="G107" s="170"/>
      <c r="H107" s="170"/>
      <c r="I107" s="170"/>
      <c r="J107" s="170"/>
      <c r="K107" s="170"/>
      <c r="L107" s="171" t="s">
        <v>1119</v>
      </c>
      <c r="M107" s="167"/>
      <c r="O107" s="142" t="n">
        <v>5</v>
      </c>
    </row>
    <row r="108" customFormat="false" ht="16.5" hidden="false" customHeight="true" outlineLevel="0" collapsed="false">
      <c r="A108" s="170" t="n">
        <v>6</v>
      </c>
      <c r="B108" s="170" t="n">
        <v>171810186</v>
      </c>
      <c r="C108" s="184" t="s">
        <v>1227</v>
      </c>
      <c r="D108" s="163" t="s">
        <v>1026</v>
      </c>
      <c r="E108" s="169" t="s">
        <v>1228</v>
      </c>
      <c r="F108" s="170" t="s">
        <v>52</v>
      </c>
      <c r="G108" s="170"/>
      <c r="H108" s="170"/>
      <c r="I108" s="170"/>
      <c r="J108" s="170"/>
      <c r="K108" s="170"/>
      <c r="L108" s="171" t="s">
        <v>1108</v>
      </c>
      <c r="M108" s="167"/>
      <c r="O108" s="142" t="n">
        <v>6</v>
      </c>
    </row>
    <row r="109" customFormat="false" ht="16.5" hidden="false" customHeight="true" outlineLevel="0" collapsed="false">
      <c r="A109" s="161" t="n">
        <v>7</v>
      </c>
      <c r="B109" s="170" t="n">
        <v>171810224</v>
      </c>
      <c r="C109" s="184" t="s">
        <v>1229</v>
      </c>
      <c r="D109" s="163" t="s">
        <v>1034</v>
      </c>
      <c r="E109" s="169" t="s">
        <v>1230</v>
      </c>
      <c r="F109" s="170" t="s">
        <v>52</v>
      </c>
      <c r="G109" s="170"/>
      <c r="H109" s="170"/>
      <c r="I109" s="170"/>
      <c r="J109" s="170"/>
      <c r="K109" s="170"/>
      <c r="L109" s="171" t="s">
        <v>1040</v>
      </c>
      <c r="M109" s="167"/>
      <c r="O109" s="142" t="n">
        <v>7</v>
      </c>
    </row>
    <row r="110" customFormat="false" ht="16.5" hidden="false" customHeight="true" outlineLevel="0" collapsed="false">
      <c r="A110" s="170" t="n">
        <v>8</v>
      </c>
      <c r="B110" s="170" t="n">
        <v>171810295</v>
      </c>
      <c r="C110" s="184" t="s">
        <v>1231</v>
      </c>
      <c r="D110" s="163" t="s">
        <v>1030</v>
      </c>
      <c r="E110" s="164" t="s">
        <v>1232</v>
      </c>
      <c r="F110" s="165" t="s">
        <v>52</v>
      </c>
      <c r="G110" s="165"/>
      <c r="H110" s="165"/>
      <c r="I110" s="165"/>
      <c r="J110" s="165"/>
      <c r="K110" s="165"/>
      <c r="L110" s="166" t="s">
        <v>135</v>
      </c>
      <c r="M110" s="167"/>
      <c r="O110" s="142" t="n">
        <v>8</v>
      </c>
    </row>
    <row r="111" customFormat="false" ht="16.5" hidden="false" customHeight="true" outlineLevel="0" collapsed="false">
      <c r="A111" s="161" t="n">
        <v>9</v>
      </c>
      <c r="B111" s="170" t="n">
        <v>171810228</v>
      </c>
      <c r="C111" s="184" t="s">
        <v>1233</v>
      </c>
      <c r="D111" s="163" t="s">
        <v>1034</v>
      </c>
      <c r="E111" s="169" t="s">
        <v>1234</v>
      </c>
      <c r="F111" s="170" t="s">
        <v>66</v>
      </c>
      <c r="G111" s="170"/>
      <c r="H111" s="170"/>
      <c r="I111" s="170"/>
      <c r="J111" s="170"/>
      <c r="K111" s="170"/>
      <c r="L111" s="171" t="s">
        <v>135</v>
      </c>
      <c r="M111" s="167"/>
      <c r="O111" s="142" t="n">
        <v>9</v>
      </c>
    </row>
    <row r="112" customFormat="false" ht="16.5" hidden="false" customHeight="true" outlineLevel="0" collapsed="false">
      <c r="A112" s="170" t="n">
        <v>10</v>
      </c>
      <c r="B112" s="170" t="n">
        <v>171810335</v>
      </c>
      <c r="C112" s="184" t="s">
        <v>1235</v>
      </c>
      <c r="D112" s="163" t="s">
        <v>1021</v>
      </c>
      <c r="E112" s="169" t="s">
        <v>1236</v>
      </c>
      <c r="F112" s="170" t="s">
        <v>66</v>
      </c>
      <c r="G112" s="170"/>
      <c r="H112" s="170"/>
      <c r="I112" s="170"/>
      <c r="J112" s="170"/>
      <c r="K112" s="170"/>
      <c r="L112" s="171" t="s">
        <v>1040</v>
      </c>
      <c r="M112" s="167"/>
      <c r="O112" s="142" t="n">
        <v>10</v>
      </c>
    </row>
    <row r="113" customFormat="false" ht="16.5" hidden="false" customHeight="true" outlineLevel="0" collapsed="false">
      <c r="A113" s="161" t="n">
        <v>11</v>
      </c>
      <c r="B113" s="170" t="n">
        <v>171810190</v>
      </c>
      <c r="C113" s="184" t="s">
        <v>1237</v>
      </c>
      <c r="D113" s="163" t="s">
        <v>1026</v>
      </c>
      <c r="E113" s="164" t="s">
        <v>1238</v>
      </c>
      <c r="F113" s="165" t="s">
        <v>52</v>
      </c>
      <c r="G113" s="165"/>
      <c r="H113" s="165"/>
      <c r="I113" s="165"/>
      <c r="J113" s="165"/>
      <c r="K113" s="165"/>
      <c r="L113" s="168" t="s">
        <v>51</v>
      </c>
      <c r="M113" s="167"/>
      <c r="O113" s="142" t="n">
        <v>11</v>
      </c>
      <c r="T113" s="143"/>
      <c r="U113" s="143"/>
    </row>
    <row r="114" customFormat="false" ht="16.5" hidden="false" customHeight="true" outlineLevel="0" collapsed="false">
      <c r="A114" s="170" t="n">
        <v>12</v>
      </c>
      <c r="B114" s="170" t="n">
        <v>171810299</v>
      </c>
      <c r="C114" s="184" t="s">
        <v>1239</v>
      </c>
      <c r="D114" s="163" t="s">
        <v>1030</v>
      </c>
      <c r="E114" s="164" t="s">
        <v>1240</v>
      </c>
      <c r="F114" s="165" t="s">
        <v>66</v>
      </c>
      <c r="G114" s="165"/>
      <c r="H114" s="165"/>
      <c r="I114" s="165"/>
      <c r="J114" s="165"/>
      <c r="K114" s="165"/>
      <c r="L114" s="166" t="s">
        <v>135</v>
      </c>
      <c r="M114" s="167"/>
      <c r="O114" s="142" t="n">
        <v>12</v>
      </c>
      <c r="T114" s="143"/>
      <c r="U114" s="143"/>
    </row>
    <row r="115" customFormat="false" ht="16.5" hidden="false" customHeight="true" outlineLevel="0" collapsed="false">
      <c r="A115" s="161" t="n">
        <v>13</v>
      </c>
      <c r="B115" s="170" t="n">
        <v>171810338</v>
      </c>
      <c r="C115" s="184" t="s">
        <v>1241</v>
      </c>
      <c r="D115" s="163" t="s">
        <v>1021</v>
      </c>
      <c r="E115" s="164" t="s">
        <v>1242</v>
      </c>
      <c r="F115" s="165" t="s">
        <v>66</v>
      </c>
      <c r="G115" s="165"/>
      <c r="H115" s="165"/>
      <c r="I115" s="165"/>
      <c r="J115" s="165"/>
      <c r="K115" s="165"/>
      <c r="L115" s="166" t="s">
        <v>338</v>
      </c>
      <c r="M115" s="167"/>
      <c r="O115" s="142" t="n">
        <v>13</v>
      </c>
    </row>
    <row r="116" customFormat="false" ht="16.5" hidden="false" customHeight="true" outlineLevel="0" collapsed="false">
      <c r="A116" s="170" t="n">
        <v>14</v>
      </c>
      <c r="B116" s="170" t="n">
        <v>171810263</v>
      </c>
      <c r="C116" s="184" t="s">
        <v>1243</v>
      </c>
      <c r="D116" s="163" t="s">
        <v>1038</v>
      </c>
      <c r="E116" s="164" t="s">
        <v>1244</v>
      </c>
      <c r="F116" s="165" t="s">
        <v>52</v>
      </c>
      <c r="G116" s="165"/>
      <c r="H116" s="165"/>
      <c r="I116" s="165"/>
      <c r="J116" s="165"/>
      <c r="K116" s="165"/>
      <c r="L116" s="166" t="s">
        <v>51</v>
      </c>
      <c r="M116" s="167"/>
      <c r="O116" s="142" t="n">
        <v>14</v>
      </c>
    </row>
    <row r="117" customFormat="false" ht="16.5" hidden="false" customHeight="true" outlineLevel="0" collapsed="false">
      <c r="A117" s="161" t="n">
        <v>15</v>
      </c>
      <c r="B117" s="170" t="n">
        <v>171810234</v>
      </c>
      <c r="C117" s="184" t="s">
        <v>1245</v>
      </c>
      <c r="D117" s="163" t="s">
        <v>1034</v>
      </c>
      <c r="E117" s="169" t="s">
        <v>1246</v>
      </c>
      <c r="F117" s="170" t="s">
        <v>52</v>
      </c>
      <c r="G117" s="170"/>
      <c r="H117" s="170"/>
      <c r="I117" s="170"/>
      <c r="J117" s="170"/>
      <c r="K117" s="170"/>
      <c r="L117" s="171" t="s">
        <v>1053</v>
      </c>
      <c r="M117" s="167"/>
    </row>
    <row r="118" customFormat="false" ht="16.5" hidden="false" customHeight="true" outlineLevel="0" collapsed="false">
      <c r="A118" s="170" t="n">
        <v>16</v>
      </c>
      <c r="B118" s="170" t="n">
        <v>171810265</v>
      </c>
      <c r="C118" s="184" t="s">
        <v>1247</v>
      </c>
      <c r="D118" s="163" t="s">
        <v>1038</v>
      </c>
      <c r="E118" s="169" t="s">
        <v>1248</v>
      </c>
      <c r="F118" s="170" t="s">
        <v>66</v>
      </c>
      <c r="G118" s="170"/>
      <c r="H118" s="170"/>
      <c r="I118" s="170"/>
      <c r="J118" s="170"/>
      <c r="K118" s="170"/>
      <c r="L118" s="171" t="s">
        <v>1040</v>
      </c>
      <c r="M118" s="167"/>
    </row>
    <row r="119" customFormat="false" ht="16.5" hidden="false" customHeight="true" outlineLevel="0" collapsed="false">
      <c r="A119" s="161" t="n">
        <v>17</v>
      </c>
      <c r="B119" s="170" t="n">
        <v>171810236</v>
      </c>
      <c r="C119" s="184" t="s">
        <v>1249</v>
      </c>
      <c r="D119" s="163" t="s">
        <v>1034</v>
      </c>
      <c r="E119" s="169" t="s">
        <v>1250</v>
      </c>
      <c r="F119" s="170" t="s">
        <v>66</v>
      </c>
      <c r="G119" s="170"/>
      <c r="H119" s="170"/>
      <c r="I119" s="170"/>
      <c r="J119" s="170"/>
      <c r="K119" s="170"/>
      <c r="L119" s="171" t="s">
        <v>1119</v>
      </c>
      <c r="M119" s="167"/>
    </row>
    <row r="120" customFormat="false" ht="16.5" hidden="false" customHeight="true" outlineLevel="0" collapsed="false">
      <c r="A120" s="170" t="n">
        <v>18</v>
      </c>
      <c r="B120" s="170" t="n">
        <v>171810196</v>
      </c>
      <c r="C120" s="184" t="s">
        <v>1251</v>
      </c>
      <c r="D120" s="163" t="s">
        <v>1026</v>
      </c>
      <c r="E120" s="164" t="s">
        <v>1252</v>
      </c>
      <c r="F120" s="165" t="s">
        <v>52</v>
      </c>
      <c r="G120" s="165"/>
      <c r="H120" s="165"/>
      <c r="I120" s="165"/>
      <c r="J120" s="165"/>
      <c r="K120" s="165"/>
      <c r="L120" s="168" t="s">
        <v>51</v>
      </c>
      <c r="M120" s="167"/>
    </row>
    <row r="121" customFormat="false" ht="16.5" hidden="false" customHeight="true" outlineLevel="0" collapsed="false">
      <c r="A121" s="161" t="n">
        <v>19</v>
      </c>
      <c r="B121" s="170" t="n">
        <v>171810198</v>
      </c>
      <c r="C121" s="184" t="s">
        <v>1253</v>
      </c>
      <c r="D121" s="163" t="s">
        <v>1026</v>
      </c>
      <c r="E121" s="164" t="s">
        <v>1254</v>
      </c>
      <c r="F121" s="165" t="s">
        <v>66</v>
      </c>
      <c r="G121" s="165"/>
      <c r="H121" s="165"/>
      <c r="I121" s="165"/>
      <c r="J121" s="165"/>
      <c r="K121" s="165"/>
      <c r="L121" s="168" t="s">
        <v>51</v>
      </c>
      <c r="M121" s="167"/>
    </row>
    <row r="122" customFormat="false" ht="16.5" hidden="false" customHeight="true" outlineLevel="0" collapsed="false">
      <c r="A122" s="170" t="n">
        <v>20</v>
      </c>
      <c r="B122" s="170" t="n">
        <v>171810239</v>
      </c>
      <c r="C122" s="184" t="s">
        <v>1255</v>
      </c>
      <c r="D122" s="163" t="s">
        <v>1034</v>
      </c>
      <c r="E122" s="164" t="s">
        <v>1256</v>
      </c>
      <c r="F122" s="165" t="s">
        <v>66</v>
      </c>
      <c r="G122" s="165"/>
      <c r="H122" s="165"/>
      <c r="I122" s="165"/>
      <c r="J122" s="165"/>
      <c r="K122" s="165"/>
      <c r="L122" s="166" t="s">
        <v>51</v>
      </c>
      <c r="M122" s="167"/>
    </row>
    <row r="123" customFormat="false" ht="16.5" hidden="false" customHeight="true" outlineLevel="0" collapsed="false">
      <c r="A123" s="161" t="n">
        <v>21</v>
      </c>
      <c r="B123" s="170" t="n">
        <v>171810308</v>
      </c>
      <c r="C123" s="184" t="s">
        <v>1257</v>
      </c>
      <c r="D123" s="163" t="s">
        <v>1030</v>
      </c>
      <c r="E123" s="164" t="s">
        <v>1258</v>
      </c>
      <c r="F123" s="165" t="s">
        <v>66</v>
      </c>
      <c r="G123" s="165"/>
      <c r="H123" s="165"/>
      <c r="I123" s="165"/>
      <c r="J123" s="165"/>
      <c r="K123" s="165"/>
      <c r="L123" s="166" t="s">
        <v>51</v>
      </c>
      <c r="M123" s="167"/>
    </row>
    <row r="124" customFormat="false" ht="16.5" hidden="false" customHeight="true" outlineLevel="0" collapsed="false">
      <c r="A124" s="170" t="n">
        <v>22</v>
      </c>
      <c r="B124" s="170" t="n">
        <v>171810204</v>
      </c>
      <c r="C124" s="184" t="s">
        <v>1259</v>
      </c>
      <c r="D124" s="163" t="s">
        <v>1026</v>
      </c>
      <c r="E124" s="169" t="s">
        <v>1260</v>
      </c>
      <c r="F124" s="170" t="s">
        <v>52</v>
      </c>
      <c r="G124" s="170"/>
      <c r="H124" s="170"/>
      <c r="I124" s="170"/>
      <c r="J124" s="170"/>
      <c r="K124" s="170"/>
      <c r="L124" s="171" t="s">
        <v>1040</v>
      </c>
      <c r="M124" s="167"/>
    </row>
    <row r="125" customFormat="false" ht="16.5" hidden="false" customHeight="true" outlineLevel="0" collapsed="false">
      <c r="A125" s="161" t="n">
        <v>23</v>
      </c>
      <c r="B125" s="170" t="n">
        <v>171810274</v>
      </c>
      <c r="C125" s="184" t="s">
        <v>1261</v>
      </c>
      <c r="D125" s="163" t="s">
        <v>1038</v>
      </c>
      <c r="E125" s="164" t="s">
        <v>1262</v>
      </c>
      <c r="F125" s="165" t="s">
        <v>52</v>
      </c>
      <c r="G125" s="165"/>
      <c r="H125" s="165"/>
      <c r="I125" s="165"/>
      <c r="J125" s="165"/>
      <c r="K125" s="165"/>
      <c r="L125" s="166" t="s">
        <v>1263</v>
      </c>
      <c r="M125" s="167"/>
    </row>
    <row r="126" customFormat="false" ht="16.5" hidden="false" customHeight="true" outlineLevel="0" collapsed="false">
      <c r="A126" s="170" t="n">
        <v>24</v>
      </c>
      <c r="B126" s="170" t="n">
        <v>171810275</v>
      </c>
      <c r="C126" s="184" t="s">
        <v>1264</v>
      </c>
      <c r="D126" s="163" t="s">
        <v>1038</v>
      </c>
      <c r="E126" s="169" t="s">
        <v>1265</v>
      </c>
      <c r="F126" s="170" t="s">
        <v>52</v>
      </c>
      <c r="G126" s="170"/>
      <c r="H126" s="170"/>
      <c r="I126" s="170"/>
      <c r="J126" s="170"/>
      <c r="K126" s="170"/>
      <c r="L126" s="171" t="s">
        <v>1213</v>
      </c>
      <c r="M126" s="167"/>
    </row>
    <row r="127" customFormat="false" ht="16.5" hidden="false" customHeight="true" outlineLevel="0" collapsed="false">
      <c r="A127" s="161" t="n">
        <v>25</v>
      </c>
      <c r="B127" s="170" t="n">
        <v>171810349</v>
      </c>
      <c r="C127" s="184" t="s">
        <v>1266</v>
      </c>
      <c r="D127" s="163" t="s">
        <v>1021</v>
      </c>
      <c r="E127" s="164" t="s">
        <v>1267</v>
      </c>
      <c r="F127" s="165" t="s">
        <v>66</v>
      </c>
      <c r="G127" s="165"/>
      <c r="H127" s="165"/>
      <c r="I127" s="165"/>
      <c r="J127" s="165"/>
      <c r="K127" s="165"/>
      <c r="L127" s="166" t="s">
        <v>1108</v>
      </c>
      <c r="M127" s="167"/>
    </row>
    <row r="128" customFormat="false" ht="16.5" hidden="false" customHeight="true" outlineLevel="0" collapsed="false">
      <c r="A128" s="170" t="n">
        <v>26</v>
      </c>
      <c r="B128" s="170" t="n">
        <v>171810244</v>
      </c>
      <c r="C128" s="184" t="s">
        <v>1268</v>
      </c>
      <c r="D128" s="163" t="s">
        <v>1034</v>
      </c>
      <c r="E128" s="164" t="s">
        <v>1269</v>
      </c>
      <c r="F128" s="165" t="s">
        <v>66</v>
      </c>
      <c r="G128" s="165"/>
      <c r="H128" s="165"/>
      <c r="I128" s="165"/>
      <c r="J128" s="165"/>
      <c r="K128" s="165"/>
      <c r="L128" s="166" t="s">
        <v>228</v>
      </c>
      <c r="M128" s="167"/>
    </row>
    <row r="129" customFormat="false" ht="16.5" hidden="false" customHeight="true" outlineLevel="0" collapsed="false">
      <c r="A129" s="161" t="n">
        <v>27</v>
      </c>
      <c r="B129" s="170" t="n">
        <v>171810312</v>
      </c>
      <c r="C129" s="184" t="s">
        <v>1270</v>
      </c>
      <c r="D129" s="163" t="s">
        <v>1030</v>
      </c>
      <c r="E129" s="185" t="s">
        <v>1271</v>
      </c>
      <c r="F129" s="165" t="s">
        <v>52</v>
      </c>
      <c r="G129" s="165"/>
      <c r="H129" s="165"/>
      <c r="I129" s="165"/>
      <c r="J129" s="165"/>
      <c r="K129" s="165"/>
      <c r="L129" s="186" t="s">
        <v>51</v>
      </c>
      <c r="M129" s="167"/>
    </row>
    <row r="130" customFormat="false" ht="16.5" hidden="false" customHeight="true" outlineLevel="0" collapsed="false">
      <c r="A130" s="170" t="n">
        <v>28</v>
      </c>
      <c r="B130" s="170" t="n">
        <v>171810314</v>
      </c>
      <c r="C130" s="184" t="s">
        <v>1272</v>
      </c>
      <c r="D130" s="163" t="s">
        <v>1030</v>
      </c>
      <c r="E130" s="164" t="s">
        <v>1273</v>
      </c>
      <c r="F130" s="165" t="s">
        <v>52</v>
      </c>
      <c r="G130" s="165"/>
      <c r="H130" s="165"/>
      <c r="I130" s="165"/>
      <c r="J130" s="165"/>
      <c r="K130" s="165"/>
      <c r="L130" s="166" t="s">
        <v>1274</v>
      </c>
      <c r="M130" s="167"/>
    </row>
    <row r="131" customFormat="false" ht="16.5" hidden="false" customHeight="true" outlineLevel="0" collapsed="false">
      <c r="A131" s="161" t="n">
        <v>29</v>
      </c>
      <c r="B131" s="170" t="n">
        <v>171810317</v>
      </c>
      <c r="C131" s="184" t="s">
        <v>1275</v>
      </c>
      <c r="D131" s="163" t="s">
        <v>1030</v>
      </c>
      <c r="E131" s="169" t="s">
        <v>1276</v>
      </c>
      <c r="F131" s="170" t="s">
        <v>52</v>
      </c>
      <c r="G131" s="170"/>
      <c r="H131" s="170"/>
      <c r="I131" s="170"/>
      <c r="J131" s="170"/>
      <c r="K131" s="170"/>
      <c r="L131" s="171" t="s">
        <v>1040</v>
      </c>
      <c r="M131" s="167"/>
    </row>
    <row r="132" customFormat="false" ht="16.5" hidden="false" customHeight="true" outlineLevel="0" collapsed="false">
      <c r="A132" s="170" t="n">
        <v>30</v>
      </c>
      <c r="B132" s="170" t="n">
        <v>171810318</v>
      </c>
      <c r="C132" s="184" t="s">
        <v>1277</v>
      </c>
      <c r="D132" s="163" t="s">
        <v>1030</v>
      </c>
      <c r="E132" s="169" t="s">
        <v>1278</v>
      </c>
      <c r="F132" s="170" t="s">
        <v>52</v>
      </c>
      <c r="G132" s="170"/>
      <c r="H132" s="170"/>
      <c r="I132" s="170"/>
      <c r="J132" s="170"/>
      <c r="K132" s="170"/>
      <c r="L132" s="171" t="s">
        <v>1279</v>
      </c>
      <c r="M132" s="167"/>
      <c r="P132" s="142" t="n">
        <f aca="false">(396*50%)</f>
        <v>198</v>
      </c>
    </row>
    <row r="133" customFormat="false" ht="16.5" hidden="false" customHeight="true" outlineLevel="0" collapsed="false">
      <c r="A133" s="161" t="n">
        <v>31</v>
      </c>
      <c r="B133" s="170" t="n">
        <v>171810283</v>
      </c>
      <c r="C133" s="184" t="s">
        <v>1280</v>
      </c>
      <c r="D133" s="163" t="s">
        <v>1038</v>
      </c>
      <c r="E133" s="169" t="s">
        <v>1281</v>
      </c>
      <c r="F133" s="170" t="s">
        <v>52</v>
      </c>
      <c r="G133" s="170"/>
      <c r="H133" s="170"/>
      <c r="I133" s="170"/>
      <c r="J133" s="170"/>
      <c r="K133" s="170"/>
      <c r="L133" s="171" t="s">
        <v>1040</v>
      </c>
      <c r="M133" s="167"/>
      <c r="P133" s="142" t="n">
        <f aca="false">P132-34</f>
        <v>164</v>
      </c>
    </row>
    <row r="134" customFormat="false" ht="16.5" hidden="false" customHeight="true" outlineLevel="0" collapsed="false">
      <c r="A134" s="170" t="n">
        <v>32</v>
      </c>
      <c r="B134" s="170" t="n">
        <v>171810284</v>
      </c>
      <c r="C134" s="184" t="s">
        <v>1282</v>
      </c>
      <c r="D134" s="163" t="s">
        <v>1038</v>
      </c>
      <c r="E134" s="169" t="s">
        <v>1283</v>
      </c>
      <c r="F134" s="170" t="s">
        <v>52</v>
      </c>
      <c r="G134" s="170"/>
      <c r="H134" s="170"/>
      <c r="I134" s="170"/>
      <c r="J134" s="170"/>
      <c r="K134" s="170"/>
      <c r="L134" s="171" t="s">
        <v>1068</v>
      </c>
      <c r="M134" s="167"/>
    </row>
    <row r="135" customFormat="false" ht="16.5" hidden="false" customHeight="true" outlineLevel="0" collapsed="false">
      <c r="A135" s="161" t="n">
        <v>33</v>
      </c>
      <c r="B135" s="170" t="n">
        <v>171810249</v>
      </c>
      <c r="C135" s="184" t="s">
        <v>1284</v>
      </c>
      <c r="D135" s="163" t="s">
        <v>1034</v>
      </c>
      <c r="E135" s="164" t="s">
        <v>1285</v>
      </c>
      <c r="F135" s="165" t="s">
        <v>52</v>
      </c>
      <c r="G135" s="165"/>
      <c r="H135" s="165"/>
      <c r="I135" s="165"/>
      <c r="J135" s="165"/>
      <c r="K135" s="165"/>
      <c r="L135" s="166" t="s">
        <v>1086</v>
      </c>
      <c r="M135" s="167"/>
    </row>
    <row r="136" customFormat="false" ht="16.5" hidden="false" customHeight="true" outlineLevel="0" collapsed="false">
      <c r="A136" s="170" t="n">
        <v>34</v>
      </c>
      <c r="B136" s="170" t="n">
        <v>171810215</v>
      </c>
      <c r="C136" s="184" t="s">
        <v>1286</v>
      </c>
      <c r="D136" s="163" t="s">
        <v>1026</v>
      </c>
      <c r="E136" s="169" t="s">
        <v>1287</v>
      </c>
      <c r="F136" s="170" t="s">
        <v>66</v>
      </c>
      <c r="G136" s="170"/>
      <c r="H136" s="170"/>
      <c r="I136" s="170"/>
      <c r="J136" s="170"/>
      <c r="K136" s="170"/>
      <c r="L136" s="171" t="s">
        <v>1053</v>
      </c>
      <c r="M136" s="167"/>
    </row>
    <row r="137" customFormat="false" ht="16.5" hidden="false" customHeight="true" outlineLevel="0" collapsed="false">
      <c r="A137" s="170" t="n">
        <v>35</v>
      </c>
      <c r="B137" s="170" t="n">
        <v>181911400</v>
      </c>
      <c r="C137" s="184" t="s">
        <v>1288</v>
      </c>
      <c r="D137" s="163"/>
      <c r="E137" s="187" t="s">
        <v>1289</v>
      </c>
      <c r="F137" s="170" t="s">
        <v>66</v>
      </c>
      <c r="G137" s="170"/>
      <c r="H137" s="170"/>
      <c r="I137" s="170"/>
      <c r="J137" s="170"/>
      <c r="K137" s="170"/>
      <c r="L137" s="187" t="s">
        <v>1290</v>
      </c>
      <c r="M137" s="167"/>
    </row>
    <row r="138" customFormat="false" ht="16.5" hidden="false" customHeight="true" outlineLevel="0" collapsed="false">
      <c r="A138" s="170" t="n">
        <v>36</v>
      </c>
      <c r="B138" s="170" t="n">
        <v>181911401</v>
      </c>
      <c r="C138" s="184" t="s">
        <v>1291</v>
      </c>
      <c r="D138" s="163"/>
      <c r="E138" s="187" t="s">
        <v>1292</v>
      </c>
      <c r="F138" s="170" t="s">
        <v>66</v>
      </c>
      <c r="G138" s="170"/>
      <c r="H138" s="170"/>
      <c r="I138" s="170"/>
      <c r="J138" s="170"/>
      <c r="K138" s="170"/>
      <c r="L138" s="187" t="s">
        <v>1293</v>
      </c>
      <c r="M138" s="167"/>
    </row>
    <row r="139" customFormat="false" ht="15" hidden="false" customHeight="false" outlineLevel="0" collapsed="false">
      <c r="A139" s="147"/>
      <c r="B139" s="175"/>
      <c r="C139" s="175"/>
      <c r="D139" s="175"/>
      <c r="E139" s="176" t="s">
        <v>1127</v>
      </c>
      <c r="F139" s="175" t="n">
        <f aca="false">COUNTIF(F103:F138,"L")</f>
        <v>16</v>
      </c>
      <c r="G139" s="175"/>
      <c r="H139" s="175"/>
      <c r="I139" s="175"/>
      <c r="J139" s="175"/>
      <c r="K139" s="175"/>
      <c r="L139" s="175"/>
      <c r="M139" s="175"/>
    </row>
    <row r="140" customFormat="false" ht="15" hidden="false" customHeight="false" outlineLevel="0" collapsed="false">
      <c r="A140" s="147"/>
      <c r="B140" s="175"/>
      <c r="C140" s="175"/>
      <c r="D140" s="175"/>
      <c r="E140" s="176" t="s">
        <v>1128</v>
      </c>
      <c r="F140" s="175" t="n">
        <f aca="false">COUNTIF(F103:F138,"P")</f>
        <v>20</v>
      </c>
      <c r="G140" s="175"/>
      <c r="H140" s="175"/>
      <c r="I140" s="175"/>
      <c r="J140" s="175"/>
      <c r="K140" s="175"/>
      <c r="L140" s="175"/>
      <c r="M140" s="175"/>
    </row>
    <row r="141" customFormat="false" ht="15" hidden="false" customHeight="false" outlineLevel="0" collapsed="false">
      <c r="A141" s="147"/>
      <c r="B141" s="147" t="s">
        <v>1129</v>
      </c>
      <c r="C141" s="175"/>
      <c r="D141" s="175"/>
      <c r="E141" s="147"/>
      <c r="F141" s="152" t="s">
        <v>1130</v>
      </c>
      <c r="G141" s="175"/>
      <c r="H141" s="175"/>
      <c r="I141" s="175"/>
      <c r="J141" s="175"/>
      <c r="K141" s="175"/>
      <c r="L141" s="175"/>
      <c r="M141" s="175"/>
    </row>
    <row r="142" customFormat="false" ht="15" hidden="false" customHeight="false" outlineLevel="0" collapsed="false">
      <c r="A142" s="147"/>
      <c r="B142" s="175"/>
      <c r="C142" s="175"/>
      <c r="D142" s="175"/>
      <c r="E142" s="147"/>
      <c r="F142" s="175"/>
      <c r="G142" s="175"/>
      <c r="H142" s="175"/>
      <c r="I142" s="175"/>
      <c r="J142" s="175"/>
      <c r="K142" s="175"/>
      <c r="L142" s="175"/>
      <c r="M142" s="175"/>
    </row>
    <row r="143" customFormat="false" ht="15" hidden="false" customHeight="false" outlineLevel="0" collapsed="false">
      <c r="A143" s="147"/>
      <c r="B143" s="175"/>
      <c r="C143" s="175"/>
      <c r="D143" s="175"/>
      <c r="E143" s="147"/>
      <c r="F143" s="175"/>
      <c r="G143" s="175"/>
      <c r="H143" s="175"/>
      <c r="I143" s="175"/>
      <c r="J143" s="175"/>
      <c r="K143" s="175"/>
      <c r="L143" s="175"/>
      <c r="M143" s="175"/>
    </row>
    <row r="144" customFormat="false" ht="15" hidden="false" customHeight="false" outlineLevel="0" collapsed="false">
      <c r="A144" s="147"/>
      <c r="B144" s="177" t="s">
        <v>1131</v>
      </c>
      <c r="C144" s="175"/>
      <c r="D144" s="175"/>
      <c r="E144" s="147"/>
      <c r="F144" s="178"/>
      <c r="G144" s="178"/>
      <c r="H144" s="178"/>
      <c r="I144" s="178"/>
      <c r="J144" s="178"/>
      <c r="K144" s="175"/>
      <c r="L144" s="178"/>
      <c r="M144" s="178"/>
    </row>
    <row r="145" customFormat="false" ht="15" hidden="false" customHeight="false" outlineLevel="0" collapsed="false">
      <c r="A145" s="147"/>
      <c r="B145" s="147" t="s">
        <v>1132</v>
      </c>
      <c r="C145" s="175"/>
      <c r="D145" s="175"/>
      <c r="E145" s="147"/>
      <c r="F145" s="175"/>
      <c r="G145" s="175"/>
      <c r="H145" s="175"/>
      <c r="I145" s="175"/>
      <c r="J145" s="175"/>
      <c r="K145" s="175"/>
      <c r="L145" s="175"/>
      <c r="M145" s="175"/>
    </row>
    <row r="146" customFormat="false" ht="15" hidden="false" customHeight="false" outlineLevel="0" collapsed="false">
      <c r="A146" s="151" t="s">
        <v>1294</v>
      </c>
      <c r="B146" s="147"/>
      <c r="C146" s="147"/>
      <c r="D146" s="147"/>
      <c r="E146" s="147"/>
      <c r="F146" s="152" t="s">
        <v>1295</v>
      </c>
      <c r="G146" s="180"/>
      <c r="H146" s="180"/>
      <c r="I146" s="180"/>
      <c r="J146" s="180"/>
      <c r="K146" s="180"/>
    </row>
    <row r="147" customFormat="false" ht="30" hidden="false" customHeight="true" outlineLevel="0" collapsed="false">
      <c r="A147" s="158" t="s">
        <v>1015</v>
      </c>
      <c r="B147" s="155" t="s">
        <v>13</v>
      </c>
      <c r="C147" s="156" t="s">
        <v>14</v>
      </c>
      <c r="D147" s="181" t="s">
        <v>1016</v>
      </c>
      <c r="E147" s="158" t="s">
        <v>17</v>
      </c>
      <c r="F147" s="158" t="s">
        <v>19</v>
      </c>
      <c r="G147" s="158"/>
      <c r="H147" s="158"/>
      <c r="I147" s="158"/>
      <c r="J147" s="158"/>
      <c r="K147" s="158"/>
      <c r="L147" s="159" t="s">
        <v>1017</v>
      </c>
      <c r="M147" s="182" t="s">
        <v>1018</v>
      </c>
    </row>
    <row r="148" customFormat="false" ht="16.5" hidden="false" customHeight="true" outlineLevel="0" collapsed="false">
      <c r="A148" s="170" t="n">
        <v>1</v>
      </c>
      <c r="B148" s="188" t="n">
        <v>171810216</v>
      </c>
      <c r="C148" s="189" t="s">
        <v>1296</v>
      </c>
      <c r="D148" s="163" t="s">
        <v>1034</v>
      </c>
      <c r="E148" s="169" t="s">
        <v>1297</v>
      </c>
      <c r="F148" s="170" t="s">
        <v>52</v>
      </c>
      <c r="G148" s="170"/>
      <c r="H148" s="170"/>
      <c r="I148" s="170"/>
      <c r="J148" s="170"/>
      <c r="K148" s="170"/>
      <c r="L148" s="171" t="s">
        <v>1298</v>
      </c>
      <c r="M148" s="167"/>
    </row>
    <row r="149" customFormat="false" ht="16.5" hidden="false" customHeight="true" outlineLevel="0" collapsed="false">
      <c r="A149" s="161" t="n">
        <v>2</v>
      </c>
      <c r="B149" s="170" t="n">
        <v>171810288</v>
      </c>
      <c r="C149" s="189" t="s">
        <v>1299</v>
      </c>
      <c r="D149" s="163" t="s">
        <v>1030</v>
      </c>
      <c r="E149" s="164" t="s">
        <v>1300</v>
      </c>
      <c r="F149" s="165" t="s">
        <v>52</v>
      </c>
      <c r="G149" s="165"/>
      <c r="H149" s="165"/>
      <c r="I149" s="165"/>
      <c r="J149" s="165"/>
      <c r="K149" s="165"/>
      <c r="L149" s="168" t="s">
        <v>51</v>
      </c>
      <c r="M149" s="167"/>
      <c r="O149" s="142" t="n">
        <v>1</v>
      </c>
    </row>
    <row r="150" customFormat="false" ht="16.5" hidden="false" customHeight="true" outlineLevel="0" collapsed="false">
      <c r="A150" s="170" t="n">
        <v>3</v>
      </c>
      <c r="B150" s="188" t="n">
        <v>171810182</v>
      </c>
      <c r="C150" s="189" t="s">
        <v>1301</v>
      </c>
      <c r="D150" s="163" t="s">
        <v>1026</v>
      </c>
      <c r="E150" s="169" t="s">
        <v>1302</v>
      </c>
      <c r="F150" s="170" t="s">
        <v>52</v>
      </c>
      <c r="G150" s="170"/>
      <c r="H150" s="170"/>
      <c r="I150" s="170"/>
      <c r="J150" s="170"/>
      <c r="K150" s="170"/>
      <c r="L150" s="171" t="s">
        <v>1053</v>
      </c>
      <c r="M150" s="167"/>
      <c r="O150" s="142" t="n">
        <v>2</v>
      </c>
    </row>
    <row r="151" customFormat="false" ht="16.5" hidden="false" customHeight="true" outlineLevel="0" collapsed="false">
      <c r="A151" s="161" t="n">
        <v>4</v>
      </c>
      <c r="B151" s="170" t="n">
        <v>171810185</v>
      </c>
      <c r="C151" s="189" t="s">
        <v>1303</v>
      </c>
      <c r="D151" s="163" t="s">
        <v>1026</v>
      </c>
      <c r="E151" s="169" t="s">
        <v>1304</v>
      </c>
      <c r="F151" s="170" t="s">
        <v>52</v>
      </c>
      <c r="G151" s="170"/>
      <c r="H151" s="170"/>
      <c r="I151" s="170"/>
      <c r="J151" s="170"/>
      <c r="K151" s="170"/>
      <c r="L151" s="171" t="s">
        <v>1305</v>
      </c>
      <c r="M151" s="167"/>
      <c r="O151" s="142" t="n">
        <v>3</v>
      </c>
    </row>
    <row r="152" customFormat="false" ht="16.5" hidden="false" customHeight="true" outlineLevel="0" collapsed="false">
      <c r="A152" s="170" t="n">
        <v>5</v>
      </c>
      <c r="B152" s="188" t="n">
        <v>171810223</v>
      </c>
      <c r="C152" s="189" t="s">
        <v>1306</v>
      </c>
      <c r="D152" s="163" t="s">
        <v>1034</v>
      </c>
      <c r="E152" s="169" t="s">
        <v>1307</v>
      </c>
      <c r="F152" s="170" t="s">
        <v>66</v>
      </c>
      <c r="G152" s="170"/>
      <c r="H152" s="170"/>
      <c r="I152" s="170"/>
      <c r="J152" s="170"/>
      <c r="K152" s="170"/>
      <c r="L152" s="171" t="s">
        <v>51</v>
      </c>
      <c r="M152" s="167"/>
      <c r="O152" s="142" t="n">
        <v>4</v>
      </c>
    </row>
    <row r="153" customFormat="false" ht="16.5" hidden="false" customHeight="true" outlineLevel="0" collapsed="false">
      <c r="A153" s="161" t="n">
        <v>6</v>
      </c>
      <c r="B153" s="190" t="n">
        <v>171810255</v>
      </c>
      <c r="C153" s="191" t="s">
        <v>1308</v>
      </c>
      <c r="D153" s="192" t="s">
        <v>1038</v>
      </c>
      <c r="E153" s="193" t="s">
        <v>1309</v>
      </c>
      <c r="F153" s="194" t="s">
        <v>52</v>
      </c>
      <c r="G153" s="165"/>
      <c r="H153" s="165"/>
      <c r="I153" s="165"/>
      <c r="J153" s="165"/>
      <c r="K153" s="165"/>
      <c r="L153" s="166" t="s">
        <v>51</v>
      </c>
      <c r="M153" s="167"/>
      <c r="O153" s="142" t="n">
        <v>6</v>
      </c>
    </row>
    <row r="154" customFormat="false" ht="16.5" hidden="false" customHeight="true" outlineLevel="0" collapsed="false">
      <c r="A154" s="170" t="n">
        <v>7</v>
      </c>
      <c r="B154" s="170" t="n">
        <v>171810258</v>
      </c>
      <c r="C154" s="189" t="s">
        <v>1310</v>
      </c>
      <c r="D154" s="163" t="s">
        <v>1038</v>
      </c>
      <c r="E154" s="164" t="s">
        <v>1311</v>
      </c>
      <c r="F154" s="165" t="s">
        <v>52</v>
      </c>
      <c r="G154" s="165"/>
      <c r="H154" s="165"/>
      <c r="I154" s="165"/>
      <c r="J154" s="165"/>
      <c r="K154" s="165"/>
      <c r="L154" s="166" t="s">
        <v>1086</v>
      </c>
      <c r="M154" s="167"/>
      <c r="O154" s="142" t="n">
        <v>7</v>
      </c>
    </row>
    <row r="155" customFormat="false" ht="16.5" hidden="false" customHeight="true" outlineLevel="0" collapsed="false">
      <c r="A155" s="161" t="n">
        <v>8</v>
      </c>
      <c r="B155" s="188" t="n">
        <v>171810294</v>
      </c>
      <c r="C155" s="189" t="s">
        <v>1312</v>
      </c>
      <c r="D155" s="163" t="s">
        <v>1030</v>
      </c>
      <c r="E155" s="169" t="s">
        <v>1313</v>
      </c>
      <c r="F155" s="170" t="s">
        <v>66</v>
      </c>
      <c r="G155" s="170"/>
      <c r="H155" s="170"/>
      <c r="I155" s="170"/>
      <c r="J155" s="170"/>
      <c r="K155" s="170"/>
      <c r="L155" s="171" t="s">
        <v>51</v>
      </c>
      <c r="M155" s="167"/>
      <c r="O155" s="142" t="n">
        <v>8</v>
      </c>
      <c r="T155" s="143"/>
      <c r="U155" s="143"/>
    </row>
    <row r="156" customFormat="false" ht="16.5" hidden="false" customHeight="true" outlineLevel="0" collapsed="false">
      <c r="A156" s="170" t="n">
        <v>9</v>
      </c>
      <c r="B156" s="170" t="n">
        <v>171810296</v>
      </c>
      <c r="C156" s="189" t="s">
        <v>1314</v>
      </c>
      <c r="D156" s="163" t="s">
        <v>1030</v>
      </c>
      <c r="E156" s="169" t="s">
        <v>1315</v>
      </c>
      <c r="F156" s="170" t="s">
        <v>66</v>
      </c>
      <c r="G156" s="170"/>
      <c r="H156" s="170"/>
      <c r="I156" s="170"/>
      <c r="J156" s="170"/>
      <c r="K156" s="170"/>
      <c r="L156" s="171" t="s">
        <v>1040</v>
      </c>
      <c r="M156" s="167"/>
      <c r="O156" s="142" t="n">
        <v>9</v>
      </c>
      <c r="T156" s="143"/>
      <c r="U156" s="143"/>
    </row>
    <row r="157" customFormat="false" ht="16.5" hidden="false" customHeight="true" outlineLevel="0" collapsed="false">
      <c r="A157" s="161" t="n">
        <v>10</v>
      </c>
      <c r="B157" s="188" t="n">
        <v>171810189</v>
      </c>
      <c r="C157" s="189" t="s">
        <v>1316</v>
      </c>
      <c r="D157" s="163" t="s">
        <v>1026</v>
      </c>
      <c r="E157" s="164" t="s">
        <v>1317</v>
      </c>
      <c r="F157" s="165" t="s">
        <v>52</v>
      </c>
      <c r="G157" s="165"/>
      <c r="H157" s="165"/>
      <c r="I157" s="165"/>
      <c r="J157" s="165"/>
      <c r="K157" s="165"/>
      <c r="L157" s="168" t="s">
        <v>1105</v>
      </c>
      <c r="M157" s="167"/>
      <c r="O157" s="142" t="n">
        <v>10</v>
      </c>
      <c r="T157" s="143"/>
      <c r="U157" s="143"/>
    </row>
    <row r="158" customFormat="false" ht="16.5" hidden="false" customHeight="true" outlineLevel="0" collapsed="false">
      <c r="A158" s="170" t="n">
        <v>11</v>
      </c>
      <c r="B158" s="170" t="n">
        <v>171810231</v>
      </c>
      <c r="C158" s="189" t="s">
        <v>1318</v>
      </c>
      <c r="D158" s="163" t="s">
        <v>1034</v>
      </c>
      <c r="E158" s="164" t="s">
        <v>1319</v>
      </c>
      <c r="F158" s="165" t="s">
        <v>52</v>
      </c>
      <c r="G158" s="165"/>
      <c r="H158" s="165"/>
      <c r="I158" s="165"/>
      <c r="J158" s="165"/>
      <c r="K158" s="165"/>
      <c r="L158" s="168" t="s">
        <v>51</v>
      </c>
      <c r="M158" s="167"/>
      <c r="O158" s="142" t="n">
        <v>11</v>
      </c>
      <c r="T158" s="143"/>
      <c r="U158" s="143"/>
    </row>
    <row r="159" customFormat="false" ht="16.5" hidden="false" customHeight="true" outlineLevel="0" collapsed="false">
      <c r="A159" s="161" t="n">
        <v>12</v>
      </c>
      <c r="B159" s="188" t="n">
        <v>171810233</v>
      </c>
      <c r="C159" s="189" t="s">
        <v>1320</v>
      </c>
      <c r="D159" s="163" t="s">
        <v>1034</v>
      </c>
      <c r="E159" s="169" t="s">
        <v>1321</v>
      </c>
      <c r="F159" s="170" t="s">
        <v>52</v>
      </c>
      <c r="G159" s="170"/>
      <c r="H159" s="170"/>
      <c r="I159" s="170"/>
      <c r="J159" s="170"/>
      <c r="K159" s="170"/>
      <c r="L159" s="171" t="s">
        <v>1053</v>
      </c>
      <c r="M159" s="167"/>
      <c r="O159" s="142" t="n">
        <v>12</v>
      </c>
      <c r="T159" s="143"/>
      <c r="U159" s="143"/>
    </row>
    <row r="160" customFormat="false" ht="16.5" hidden="false" customHeight="true" outlineLevel="0" collapsed="false">
      <c r="A160" s="170" t="n">
        <v>13</v>
      </c>
      <c r="B160" s="170" t="n">
        <v>171810262</v>
      </c>
      <c r="C160" s="189" t="s">
        <v>1322</v>
      </c>
      <c r="D160" s="163" t="s">
        <v>1038</v>
      </c>
      <c r="E160" s="164" t="s">
        <v>1323</v>
      </c>
      <c r="F160" s="165" t="s">
        <v>52</v>
      </c>
      <c r="G160" s="165"/>
      <c r="H160" s="165"/>
      <c r="I160" s="165"/>
      <c r="J160" s="165"/>
      <c r="K160" s="165"/>
      <c r="L160" s="166" t="s">
        <v>1213</v>
      </c>
      <c r="M160" s="167"/>
      <c r="O160" s="142" t="n">
        <v>13</v>
      </c>
    </row>
    <row r="161" customFormat="false" ht="16.5" hidden="false" customHeight="true" outlineLevel="0" collapsed="false">
      <c r="A161" s="161" t="n">
        <v>14</v>
      </c>
      <c r="B161" s="188" t="n">
        <v>171810302</v>
      </c>
      <c r="C161" s="189" t="s">
        <v>1324</v>
      </c>
      <c r="D161" s="163" t="s">
        <v>1030</v>
      </c>
      <c r="E161" s="169" t="s">
        <v>1325</v>
      </c>
      <c r="F161" s="170" t="s">
        <v>66</v>
      </c>
      <c r="G161" s="170"/>
      <c r="H161" s="170"/>
      <c r="I161" s="170"/>
      <c r="J161" s="170"/>
      <c r="K161" s="170"/>
      <c r="L161" s="171" t="s">
        <v>51</v>
      </c>
      <c r="M161" s="167"/>
      <c r="O161" s="142" t="n">
        <v>14</v>
      </c>
    </row>
    <row r="162" customFormat="false" ht="16.5" hidden="false" customHeight="true" outlineLevel="0" collapsed="false">
      <c r="A162" s="170" t="n">
        <v>15</v>
      </c>
      <c r="B162" s="170" t="n">
        <v>171810267</v>
      </c>
      <c r="C162" s="189" t="s">
        <v>1326</v>
      </c>
      <c r="D162" s="163" t="s">
        <v>1038</v>
      </c>
      <c r="E162" s="164" t="s">
        <v>1327</v>
      </c>
      <c r="F162" s="165" t="s">
        <v>52</v>
      </c>
      <c r="G162" s="165"/>
      <c r="H162" s="165"/>
      <c r="I162" s="165"/>
      <c r="J162" s="165"/>
      <c r="K162" s="165"/>
      <c r="L162" s="166" t="s">
        <v>1328</v>
      </c>
      <c r="M162" s="167"/>
      <c r="O162" s="142" t="n">
        <v>15</v>
      </c>
    </row>
    <row r="163" customFormat="false" ht="16.5" hidden="false" customHeight="true" outlineLevel="0" collapsed="false">
      <c r="A163" s="161" t="n">
        <v>16</v>
      </c>
      <c r="B163" s="188" t="n">
        <v>171810268</v>
      </c>
      <c r="C163" s="189"/>
      <c r="D163" s="163" t="s">
        <v>1038</v>
      </c>
      <c r="E163" s="169" t="s">
        <v>1329</v>
      </c>
      <c r="F163" s="170" t="s">
        <v>52</v>
      </c>
      <c r="G163" s="170"/>
      <c r="H163" s="170"/>
      <c r="I163" s="170"/>
      <c r="J163" s="170"/>
      <c r="K163" s="170"/>
      <c r="L163" s="171" t="s">
        <v>1330</v>
      </c>
      <c r="M163" s="167"/>
      <c r="O163" s="142" t="n">
        <v>16</v>
      </c>
    </row>
    <row r="164" customFormat="false" ht="16.5" hidden="false" customHeight="true" outlineLevel="0" collapsed="false">
      <c r="A164" s="170" t="n">
        <v>17</v>
      </c>
      <c r="B164" s="188" t="n">
        <v>171810305</v>
      </c>
      <c r="C164" s="189" t="s">
        <v>1331</v>
      </c>
      <c r="D164" s="163" t="s">
        <v>1030</v>
      </c>
      <c r="E164" s="169" t="s">
        <v>1332</v>
      </c>
      <c r="F164" s="170" t="s">
        <v>66</v>
      </c>
      <c r="G164" s="170"/>
      <c r="H164" s="170"/>
      <c r="I164" s="170"/>
      <c r="J164" s="170"/>
      <c r="K164" s="170"/>
      <c r="L164" s="171" t="s">
        <v>1053</v>
      </c>
      <c r="M164" s="167"/>
    </row>
    <row r="165" customFormat="false" ht="16.5" hidden="false" customHeight="true" outlineLevel="0" collapsed="false">
      <c r="A165" s="161" t="n">
        <v>18</v>
      </c>
      <c r="B165" s="170" t="n">
        <v>171810238</v>
      </c>
      <c r="C165" s="189" t="s">
        <v>1333</v>
      </c>
      <c r="D165" s="163" t="s">
        <v>1034</v>
      </c>
      <c r="E165" s="169" t="s">
        <v>1334</v>
      </c>
      <c r="F165" s="170" t="s">
        <v>66</v>
      </c>
      <c r="G165" s="170"/>
      <c r="H165" s="170"/>
      <c r="I165" s="170"/>
      <c r="J165" s="170"/>
      <c r="K165" s="170"/>
      <c r="L165" s="171" t="s">
        <v>1086</v>
      </c>
      <c r="M165" s="167"/>
    </row>
    <row r="166" customFormat="false" ht="16.5" hidden="false" customHeight="true" outlineLevel="0" collapsed="false">
      <c r="A166" s="170" t="n">
        <v>19</v>
      </c>
      <c r="B166" s="188" t="n">
        <v>171810200</v>
      </c>
      <c r="C166" s="189" t="s">
        <v>1335</v>
      </c>
      <c r="D166" s="163" t="s">
        <v>1026</v>
      </c>
      <c r="E166" s="164" t="s">
        <v>1336</v>
      </c>
      <c r="F166" s="165" t="s">
        <v>66</v>
      </c>
      <c r="G166" s="165"/>
      <c r="H166" s="165"/>
      <c r="I166" s="165"/>
      <c r="J166" s="165"/>
      <c r="K166" s="165"/>
      <c r="L166" s="168" t="s">
        <v>51</v>
      </c>
      <c r="M166" s="167"/>
    </row>
    <row r="167" customFormat="false" ht="16.5" hidden="false" customHeight="true" outlineLevel="0" collapsed="false">
      <c r="A167" s="161" t="n">
        <v>20</v>
      </c>
      <c r="B167" s="170" t="n">
        <v>171810243</v>
      </c>
      <c r="C167" s="189" t="s">
        <v>1337</v>
      </c>
      <c r="D167" s="163" t="s">
        <v>1034</v>
      </c>
      <c r="E167" s="169" t="s">
        <v>1338</v>
      </c>
      <c r="F167" s="170" t="s">
        <v>66</v>
      </c>
      <c r="G167" s="170"/>
      <c r="H167" s="170"/>
      <c r="I167" s="170"/>
      <c r="J167" s="170"/>
      <c r="K167" s="170"/>
      <c r="L167" s="171" t="s">
        <v>51</v>
      </c>
      <c r="M167" s="167"/>
    </row>
    <row r="168" customFormat="false" ht="16.5" hidden="false" customHeight="true" outlineLevel="0" collapsed="false">
      <c r="A168" s="170" t="n">
        <v>21</v>
      </c>
      <c r="B168" s="170" t="n">
        <v>171810313</v>
      </c>
      <c r="C168" s="189" t="s">
        <v>1339</v>
      </c>
      <c r="D168" s="163" t="s">
        <v>1030</v>
      </c>
      <c r="E168" s="169" t="s">
        <v>1340</v>
      </c>
      <c r="F168" s="170" t="s">
        <v>66</v>
      </c>
      <c r="G168" s="170"/>
      <c r="H168" s="170"/>
      <c r="I168" s="170"/>
      <c r="J168" s="170"/>
      <c r="K168" s="170"/>
      <c r="L168" s="171" t="s">
        <v>1298</v>
      </c>
      <c r="M168" s="167"/>
    </row>
    <row r="169" customFormat="false" ht="16.5" hidden="false" customHeight="true" outlineLevel="0" collapsed="false">
      <c r="A169" s="161" t="n">
        <v>22</v>
      </c>
      <c r="B169" s="188" t="n">
        <v>171810281</v>
      </c>
      <c r="C169" s="189" t="s">
        <v>1341</v>
      </c>
      <c r="D169" s="163" t="s">
        <v>1038</v>
      </c>
      <c r="E169" s="164" t="s">
        <v>1342</v>
      </c>
      <c r="F169" s="165" t="s">
        <v>52</v>
      </c>
      <c r="G169" s="165"/>
      <c r="H169" s="165"/>
      <c r="I169" s="165"/>
      <c r="J169" s="165"/>
      <c r="K169" s="165"/>
      <c r="L169" s="166" t="s">
        <v>1343</v>
      </c>
      <c r="M169" s="167"/>
    </row>
    <row r="170" customFormat="false" ht="16.5" hidden="false" customHeight="true" outlineLevel="0" collapsed="false">
      <c r="A170" s="170" t="n">
        <v>23</v>
      </c>
      <c r="B170" s="170" t="n">
        <v>171810315</v>
      </c>
      <c r="C170" s="189" t="s">
        <v>1344</v>
      </c>
      <c r="D170" s="163" t="s">
        <v>1030</v>
      </c>
      <c r="E170" s="169" t="s">
        <v>1345</v>
      </c>
      <c r="F170" s="170" t="s">
        <v>66</v>
      </c>
      <c r="G170" s="170"/>
      <c r="H170" s="170"/>
      <c r="I170" s="170"/>
      <c r="J170" s="170"/>
      <c r="K170" s="170"/>
      <c r="L170" s="171" t="s">
        <v>1148</v>
      </c>
      <c r="M170" s="167"/>
    </row>
    <row r="171" customFormat="false" ht="16.5" hidden="false" customHeight="true" outlineLevel="0" collapsed="false">
      <c r="A171" s="161" t="n">
        <v>24</v>
      </c>
      <c r="B171" s="190" t="n">
        <v>171810248</v>
      </c>
      <c r="C171" s="191" t="s">
        <v>1346</v>
      </c>
      <c r="D171" s="192" t="s">
        <v>1034</v>
      </c>
      <c r="E171" s="195" t="s">
        <v>1347</v>
      </c>
      <c r="F171" s="196" t="s">
        <v>66</v>
      </c>
      <c r="G171" s="170"/>
      <c r="H171" s="170"/>
      <c r="I171" s="170"/>
      <c r="J171" s="170"/>
      <c r="K171" s="170"/>
      <c r="L171" s="171" t="s">
        <v>135</v>
      </c>
      <c r="M171" s="167"/>
    </row>
    <row r="172" customFormat="false" ht="16.5" hidden="false" customHeight="true" outlineLevel="0" collapsed="false">
      <c r="A172" s="170" t="n">
        <v>25</v>
      </c>
      <c r="B172" s="170" t="n">
        <v>171810354</v>
      </c>
      <c r="C172" s="189" t="s">
        <v>1348</v>
      </c>
      <c r="D172" s="163" t="s">
        <v>1021</v>
      </c>
      <c r="E172" s="169" t="s">
        <v>1349</v>
      </c>
      <c r="F172" s="170" t="s">
        <v>52</v>
      </c>
      <c r="G172" s="170"/>
      <c r="H172" s="170"/>
      <c r="I172" s="170"/>
      <c r="J172" s="170"/>
      <c r="K172" s="170"/>
      <c r="L172" s="171" t="s">
        <v>1053</v>
      </c>
      <c r="M172" s="167"/>
    </row>
    <row r="173" customFormat="false" ht="16.5" hidden="false" customHeight="true" outlineLevel="0" collapsed="false">
      <c r="A173" s="161" t="n">
        <v>26</v>
      </c>
      <c r="B173" s="188" t="n">
        <v>171810319</v>
      </c>
      <c r="C173" s="189" t="s">
        <v>1350</v>
      </c>
      <c r="D173" s="163" t="s">
        <v>1030</v>
      </c>
      <c r="E173" s="169" t="s">
        <v>1351</v>
      </c>
      <c r="F173" s="170" t="s">
        <v>52</v>
      </c>
      <c r="G173" s="170"/>
      <c r="H173" s="170"/>
      <c r="I173" s="170"/>
      <c r="J173" s="170"/>
      <c r="K173" s="170"/>
      <c r="L173" s="171" t="s">
        <v>1352</v>
      </c>
      <c r="M173" s="167"/>
    </row>
    <row r="174" customFormat="false" ht="16.5" hidden="false" customHeight="true" outlineLevel="0" collapsed="false">
      <c r="A174" s="170" t="n">
        <v>27</v>
      </c>
      <c r="B174" s="170" t="n">
        <v>171810356</v>
      </c>
      <c r="C174" s="189" t="s">
        <v>1353</v>
      </c>
      <c r="D174" s="163" t="s">
        <v>1021</v>
      </c>
      <c r="E174" s="164" t="s">
        <v>1354</v>
      </c>
      <c r="F174" s="165" t="s">
        <v>52</v>
      </c>
      <c r="G174" s="165"/>
      <c r="H174" s="165"/>
      <c r="I174" s="165"/>
      <c r="J174" s="165"/>
      <c r="K174" s="165"/>
      <c r="L174" s="171" t="s">
        <v>135</v>
      </c>
      <c r="M174" s="167"/>
    </row>
    <row r="175" customFormat="false" ht="16.5" hidden="false" customHeight="true" outlineLevel="0" collapsed="false">
      <c r="A175" s="161" t="n">
        <v>28</v>
      </c>
      <c r="B175" s="188" t="n">
        <v>171810321</v>
      </c>
      <c r="C175" s="189" t="s">
        <v>1355</v>
      </c>
      <c r="D175" s="163" t="s">
        <v>1030</v>
      </c>
      <c r="E175" s="164" t="s">
        <v>1356</v>
      </c>
      <c r="F175" s="165" t="s">
        <v>66</v>
      </c>
      <c r="G175" s="165"/>
      <c r="H175" s="165"/>
      <c r="I175" s="165"/>
      <c r="J175" s="165"/>
      <c r="K175" s="165"/>
      <c r="L175" s="166" t="s">
        <v>1086</v>
      </c>
      <c r="M175" s="167"/>
    </row>
    <row r="176" customFormat="false" ht="16.5" hidden="false" customHeight="true" outlineLevel="0" collapsed="false">
      <c r="A176" s="170" t="n">
        <v>29</v>
      </c>
      <c r="B176" s="170" t="n">
        <v>171810286</v>
      </c>
      <c r="C176" s="189" t="s">
        <v>1357</v>
      </c>
      <c r="D176" s="163" t="s">
        <v>1038</v>
      </c>
      <c r="E176" s="164" t="s">
        <v>1358</v>
      </c>
      <c r="F176" s="165" t="s">
        <v>52</v>
      </c>
      <c r="G176" s="165"/>
      <c r="H176" s="165"/>
      <c r="I176" s="165"/>
      <c r="J176" s="165"/>
      <c r="K176" s="165"/>
      <c r="L176" s="166" t="s">
        <v>135</v>
      </c>
      <c r="M176" s="167"/>
    </row>
    <row r="177" customFormat="false" ht="16.5" hidden="false" customHeight="true" outlineLevel="0" collapsed="false">
      <c r="A177" s="161" t="n">
        <v>30</v>
      </c>
      <c r="B177" s="197" t="n">
        <v>171810250</v>
      </c>
      <c r="C177" s="198" t="s">
        <v>1359</v>
      </c>
      <c r="D177" s="199" t="s">
        <v>1034</v>
      </c>
      <c r="E177" s="200" t="s">
        <v>1360</v>
      </c>
      <c r="F177" s="201" t="s">
        <v>52</v>
      </c>
      <c r="G177" s="201"/>
      <c r="H177" s="201"/>
      <c r="I177" s="201"/>
      <c r="J177" s="201"/>
      <c r="K177" s="201"/>
      <c r="L177" s="166" t="s">
        <v>1122</v>
      </c>
      <c r="M177" s="202"/>
    </row>
    <row r="178" s="172" customFormat="true" ht="16.5" hidden="false" customHeight="true" outlineLevel="0" collapsed="false">
      <c r="A178" s="170" t="n">
        <v>31</v>
      </c>
      <c r="B178" s="170" t="n">
        <v>181911402</v>
      </c>
      <c r="C178" s="187" t="s">
        <v>1361</v>
      </c>
      <c r="D178" s="187"/>
      <c r="E178" s="187" t="s">
        <v>1362</v>
      </c>
      <c r="F178" s="170" t="s">
        <v>66</v>
      </c>
      <c r="G178" s="187"/>
      <c r="H178" s="187"/>
      <c r="I178" s="187"/>
      <c r="J178" s="187"/>
      <c r="K178" s="187"/>
      <c r="L178" s="187" t="s">
        <v>1148</v>
      </c>
      <c r="M178" s="203"/>
      <c r="XFD178" s="142"/>
    </row>
    <row r="179" s="172" customFormat="true" ht="16.5" hidden="false" customHeight="true" outlineLevel="0" collapsed="false">
      <c r="A179" s="161" t="n">
        <v>32</v>
      </c>
      <c r="B179" s="170" t="n">
        <v>181911403</v>
      </c>
      <c r="C179" s="187" t="s">
        <v>1363</v>
      </c>
      <c r="D179" s="187"/>
      <c r="E179" s="187" t="s">
        <v>1364</v>
      </c>
      <c r="F179" s="170" t="s">
        <v>66</v>
      </c>
      <c r="G179" s="187"/>
      <c r="H179" s="187"/>
      <c r="I179" s="187"/>
      <c r="J179" s="187"/>
      <c r="K179" s="187"/>
      <c r="L179" s="187" t="s">
        <v>1365</v>
      </c>
      <c r="M179" s="203"/>
      <c r="XFD179" s="142"/>
    </row>
    <row r="180" s="172" customFormat="true" ht="15" hidden="false" customHeight="true" outlineLevel="0" collapsed="false">
      <c r="A180" s="161"/>
      <c r="B180" s="170"/>
      <c r="C180" s="187"/>
      <c r="D180" s="187"/>
      <c r="E180" s="187"/>
      <c r="F180" s="170"/>
      <c r="G180" s="187"/>
      <c r="H180" s="187"/>
      <c r="I180" s="187"/>
      <c r="J180" s="187"/>
      <c r="K180" s="187"/>
      <c r="L180" s="152"/>
      <c r="XFD180" s="142"/>
    </row>
    <row r="181" s="172" customFormat="true" ht="15" hidden="false" customHeight="true" outlineLevel="0" collapsed="false">
      <c r="A181" s="161"/>
      <c r="B181" s="170"/>
      <c r="C181" s="187"/>
      <c r="D181" s="187"/>
      <c r="E181" s="187"/>
      <c r="F181" s="170"/>
      <c r="G181" s="187"/>
      <c r="H181" s="187"/>
      <c r="I181" s="187"/>
      <c r="J181" s="187"/>
      <c r="K181" s="187"/>
      <c r="L181" s="152"/>
      <c r="XFD181" s="142"/>
    </row>
    <row r="182" s="172" customFormat="true" ht="15" hidden="false" customHeight="true" outlineLevel="0" collapsed="false">
      <c r="A182" s="161"/>
      <c r="B182" s="170"/>
      <c r="C182" s="187"/>
      <c r="D182" s="187"/>
      <c r="E182" s="187"/>
      <c r="F182" s="170"/>
      <c r="G182" s="187"/>
      <c r="H182" s="187"/>
      <c r="I182" s="187"/>
      <c r="J182" s="187"/>
      <c r="K182" s="187"/>
      <c r="L182" s="152"/>
      <c r="XFD182" s="142"/>
    </row>
    <row r="183" s="172" customFormat="true" ht="15" hidden="false" customHeight="true" outlineLevel="0" collapsed="false">
      <c r="A183" s="161"/>
      <c r="B183" s="170"/>
      <c r="C183" s="187"/>
      <c r="D183" s="187"/>
      <c r="E183" s="187"/>
      <c r="F183" s="170"/>
      <c r="G183" s="187"/>
      <c r="H183" s="187"/>
      <c r="I183" s="187"/>
      <c r="J183" s="187"/>
      <c r="K183" s="187"/>
      <c r="L183" s="152"/>
      <c r="XFD183" s="142"/>
    </row>
    <row r="184" customFormat="false" ht="15" hidden="false" customHeight="false" outlineLevel="0" collapsed="false">
      <c r="A184" s="147"/>
      <c r="B184" s="175"/>
      <c r="C184" s="175"/>
      <c r="D184" s="175"/>
      <c r="E184" s="176" t="s">
        <v>1127</v>
      </c>
      <c r="F184" s="175" t="n">
        <v>14</v>
      </c>
      <c r="G184" s="175"/>
      <c r="H184" s="175"/>
      <c r="I184" s="175"/>
      <c r="J184" s="175"/>
      <c r="K184" s="175"/>
      <c r="L184" s="175"/>
      <c r="M184" s="175"/>
    </row>
    <row r="185" customFormat="false" ht="15" hidden="false" customHeight="false" outlineLevel="0" collapsed="false">
      <c r="A185" s="147"/>
      <c r="B185" s="175"/>
      <c r="C185" s="175"/>
      <c r="D185" s="175"/>
      <c r="E185" s="176" t="s">
        <v>1128</v>
      </c>
      <c r="F185" s="175" t="n">
        <f aca="false">COUNTIF(F148:F179,"p")</f>
        <v>18</v>
      </c>
      <c r="G185" s="175"/>
      <c r="H185" s="175"/>
      <c r="I185" s="175"/>
      <c r="J185" s="175"/>
      <c r="K185" s="175"/>
      <c r="L185" s="175"/>
      <c r="M185" s="175"/>
    </row>
    <row r="186" customFormat="false" ht="15" hidden="false" customHeight="false" outlineLevel="0" collapsed="false">
      <c r="A186" s="147"/>
      <c r="B186" s="147" t="s">
        <v>1129</v>
      </c>
      <c r="C186" s="175"/>
      <c r="D186" s="175"/>
      <c r="E186" s="147"/>
      <c r="F186" s="152" t="s">
        <v>1130</v>
      </c>
      <c r="G186" s="175"/>
      <c r="H186" s="175"/>
      <c r="I186" s="175"/>
      <c r="J186" s="175"/>
      <c r="K186" s="175"/>
      <c r="L186" s="175"/>
      <c r="M186" s="175"/>
    </row>
    <row r="187" customFormat="false" ht="15" hidden="false" customHeight="false" outlineLevel="0" collapsed="false">
      <c r="A187" s="147"/>
      <c r="B187" s="175"/>
      <c r="C187" s="175"/>
      <c r="D187" s="175"/>
      <c r="E187" s="147"/>
      <c r="F187" s="175"/>
      <c r="G187" s="175"/>
      <c r="H187" s="175"/>
      <c r="I187" s="175"/>
      <c r="J187" s="175"/>
      <c r="K187" s="175"/>
      <c r="L187" s="175"/>
      <c r="M187" s="175"/>
    </row>
    <row r="188" customFormat="false" ht="15" hidden="false" customHeight="false" outlineLevel="0" collapsed="false">
      <c r="A188" s="147"/>
      <c r="B188" s="175"/>
      <c r="C188" s="175"/>
      <c r="D188" s="175"/>
      <c r="E188" s="147"/>
      <c r="F188" s="175"/>
      <c r="G188" s="175"/>
      <c r="H188" s="175"/>
      <c r="I188" s="175"/>
      <c r="J188" s="175"/>
      <c r="K188" s="175"/>
      <c r="L188" s="175"/>
      <c r="M188" s="175"/>
    </row>
    <row r="189" customFormat="false" ht="15" hidden="false" customHeight="false" outlineLevel="0" collapsed="false">
      <c r="A189" s="147"/>
      <c r="B189" s="177" t="s">
        <v>1131</v>
      </c>
      <c r="C189" s="175"/>
      <c r="D189" s="175"/>
      <c r="E189" s="147"/>
      <c r="F189" s="178"/>
      <c r="G189" s="178"/>
      <c r="H189" s="178"/>
      <c r="I189" s="178"/>
      <c r="J189" s="178"/>
      <c r="K189" s="175"/>
      <c r="L189" s="178"/>
      <c r="M189" s="178"/>
    </row>
    <row r="190" customFormat="false" ht="15" hidden="false" customHeight="false" outlineLevel="0" collapsed="false">
      <c r="A190" s="147"/>
      <c r="B190" s="147" t="s">
        <v>1132</v>
      </c>
      <c r="C190" s="175"/>
      <c r="D190" s="175"/>
      <c r="E190" s="147"/>
      <c r="F190" s="175"/>
      <c r="G190" s="175"/>
      <c r="H190" s="175"/>
      <c r="I190" s="175"/>
      <c r="J190" s="175"/>
      <c r="K190" s="175"/>
      <c r="L190" s="175"/>
      <c r="M190" s="175"/>
    </row>
    <row r="191" customFormat="false" ht="15" hidden="false" customHeight="false" outlineLevel="0" collapsed="false">
      <c r="A191" s="151" t="s">
        <v>1366</v>
      </c>
      <c r="B191" s="147"/>
      <c r="C191" s="147"/>
      <c r="D191" s="147"/>
      <c r="E191" s="147"/>
      <c r="F191" s="152" t="s">
        <v>1014</v>
      </c>
      <c r="G191" s="180"/>
      <c r="H191" s="180"/>
      <c r="I191" s="180"/>
      <c r="J191" s="180"/>
      <c r="K191" s="180"/>
    </row>
    <row r="192" customFormat="false" ht="30" hidden="false" customHeight="true" outlineLevel="0" collapsed="false">
      <c r="A192" s="158" t="s">
        <v>1015</v>
      </c>
      <c r="B192" s="155" t="s">
        <v>13</v>
      </c>
      <c r="C192" s="156" t="s">
        <v>14</v>
      </c>
      <c r="D192" s="181" t="s">
        <v>1016</v>
      </c>
      <c r="E192" s="158" t="s">
        <v>17</v>
      </c>
      <c r="F192" s="158" t="s">
        <v>19</v>
      </c>
      <c r="G192" s="158"/>
      <c r="H192" s="158"/>
      <c r="I192" s="158"/>
      <c r="J192" s="158"/>
      <c r="K192" s="158"/>
      <c r="L192" s="159" t="s">
        <v>1017</v>
      </c>
      <c r="M192" s="159" t="s">
        <v>1018</v>
      </c>
    </row>
    <row r="193" customFormat="false" ht="16.5" hidden="false" customHeight="true" outlineLevel="0" collapsed="false">
      <c r="A193" s="161" t="n">
        <v>1</v>
      </c>
      <c r="B193" s="170" t="n">
        <v>171810287</v>
      </c>
      <c r="C193" s="184" t="s">
        <v>1367</v>
      </c>
      <c r="D193" s="163" t="s">
        <v>1030</v>
      </c>
      <c r="E193" s="169" t="s">
        <v>1368</v>
      </c>
      <c r="F193" s="170" t="s">
        <v>52</v>
      </c>
      <c r="G193" s="165"/>
      <c r="H193" s="165"/>
      <c r="I193" s="165"/>
      <c r="J193" s="165"/>
      <c r="K193" s="165"/>
      <c r="L193" s="171" t="s">
        <v>1330</v>
      </c>
      <c r="M193" s="167"/>
      <c r="O193" s="142" t="n">
        <v>1</v>
      </c>
    </row>
    <row r="194" customFormat="false" ht="16.5" hidden="false" customHeight="true" outlineLevel="0" collapsed="false">
      <c r="A194" s="170" t="n">
        <v>2</v>
      </c>
      <c r="B194" s="170" t="n">
        <v>171810219</v>
      </c>
      <c r="C194" s="184" t="s">
        <v>1369</v>
      </c>
      <c r="D194" s="163" t="s">
        <v>1034</v>
      </c>
      <c r="E194" s="164" t="s">
        <v>1370</v>
      </c>
      <c r="F194" s="165" t="s">
        <v>52</v>
      </c>
      <c r="G194" s="170"/>
      <c r="H194" s="170"/>
      <c r="I194" s="170"/>
      <c r="J194" s="170"/>
      <c r="K194" s="170"/>
      <c r="L194" s="168" t="s">
        <v>1213</v>
      </c>
      <c r="M194" s="167"/>
      <c r="O194" s="142" t="n">
        <v>2</v>
      </c>
    </row>
    <row r="195" customFormat="false" ht="16.5" hidden="false" customHeight="true" outlineLevel="0" collapsed="false">
      <c r="A195" s="161" t="n">
        <v>3</v>
      </c>
      <c r="B195" s="170" t="n">
        <v>171810181</v>
      </c>
      <c r="C195" s="184" t="s">
        <v>1371</v>
      </c>
      <c r="D195" s="163" t="s">
        <v>1026</v>
      </c>
      <c r="E195" s="169" t="s">
        <v>1372</v>
      </c>
      <c r="F195" s="170" t="s">
        <v>66</v>
      </c>
      <c r="G195" s="165"/>
      <c r="H195" s="165"/>
      <c r="I195" s="165"/>
      <c r="J195" s="165"/>
      <c r="K195" s="165"/>
      <c r="L195" s="171" t="s">
        <v>1040</v>
      </c>
      <c r="M195" s="167"/>
      <c r="O195" s="142" t="n">
        <v>3</v>
      </c>
    </row>
    <row r="196" customFormat="false" ht="16.5" hidden="false" customHeight="true" outlineLevel="0" collapsed="false">
      <c r="A196" s="170" t="n">
        <v>4</v>
      </c>
      <c r="B196" s="170" t="n">
        <v>171810324</v>
      </c>
      <c r="C196" s="184" t="s">
        <v>1373</v>
      </c>
      <c r="D196" s="163" t="s">
        <v>1021</v>
      </c>
      <c r="E196" s="164" t="s">
        <v>1374</v>
      </c>
      <c r="F196" s="165" t="s">
        <v>66</v>
      </c>
      <c r="G196" s="170"/>
      <c r="H196" s="170"/>
      <c r="I196" s="170"/>
      <c r="J196" s="170"/>
      <c r="K196" s="170"/>
      <c r="L196" s="166" t="s">
        <v>1105</v>
      </c>
      <c r="M196" s="167"/>
      <c r="O196" s="142" t="n">
        <v>4</v>
      </c>
    </row>
    <row r="197" customFormat="false" ht="16.5" hidden="false" customHeight="true" outlineLevel="0" collapsed="false">
      <c r="A197" s="161" t="n">
        <v>5</v>
      </c>
      <c r="B197" s="170" t="n">
        <v>171810253</v>
      </c>
      <c r="C197" s="184" t="s">
        <v>1375</v>
      </c>
      <c r="D197" s="163" t="s">
        <v>1038</v>
      </c>
      <c r="E197" s="169" t="s">
        <v>1376</v>
      </c>
      <c r="F197" s="170" t="s">
        <v>52</v>
      </c>
      <c r="G197" s="165"/>
      <c r="H197" s="165"/>
      <c r="I197" s="165"/>
      <c r="J197" s="165"/>
      <c r="K197" s="165"/>
      <c r="L197" s="171" t="s">
        <v>1040</v>
      </c>
      <c r="M197" s="167"/>
      <c r="O197" s="142" t="n">
        <v>5</v>
      </c>
    </row>
    <row r="198" customFormat="false" ht="16.5" hidden="false" customHeight="true" outlineLevel="0" collapsed="false">
      <c r="A198" s="170" t="n">
        <v>6</v>
      </c>
      <c r="B198" s="170" t="n">
        <v>171810183</v>
      </c>
      <c r="C198" s="184" t="s">
        <v>1377</v>
      </c>
      <c r="D198" s="163" t="s">
        <v>1026</v>
      </c>
      <c r="E198" s="164" t="s">
        <v>1378</v>
      </c>
      <c r="F198" s="165" t="s">
        <v>66</v>
      </c>
      <c r="G198" s="170"/>
      <c r="H198" s="170"/>
      <c r="I198" s="170"/>
      <c r="J198" s="170"/>
      <c r="K198" s="170"/>
      <c r="L198" s="168" t="s">
        <v>51</v>
      </c>
      <c r="M198" s="167"/>
      <c r="O198" s="142" t="n">
        <v>6</v>
      </c>
    </row>
    <row r="199" customFormat="false" ht="16.5" hidden="false" customHeight="true" outlineLevel="0" collapsed="false">
      <c r="A199" s="161" t="n">
        <v>7</v>
      </c>
      <c r="B199" s="170" t="n">
        <v>171810221</v>
      </c>
      <c r="C199" s="184" t="s">
        <v>1379</v>
      </c>
      <c r="D199" s="163" t="s">
        <v>1034</v>
      </c>
      <c r="E199" s="169" t="s">
        <v>1380</v>
      </c>
      <c r="F199" s="170" t="s">
        <v>52</v>
      </c>
      <c r="G199" s="170"/>
      <c r="H199" s="170"/>
      <c r="I199" s="170"/>
      <c r="J199" s="170"/>
      <c r="K199" s="170"/>
      <c r="L199" s="171" t="s">
        <v>1040</v>
      </c>
      <c r="M199" s="167"/>
      <c r="O199" s="142" t="n">
        <v>7</v>
      </c>
    </row>
    <row r="200" customFormat="false" ht="16.5" hidden="false" customHeight="true" outlineLevel="0" collapsed="false">
      <c r="A200" s="170" t="n">
        <v>8</v>
      </c>
      <c r="B200" s="170" t="n">
        <v>171810184</v>
      </c>
      <c r="C200" s="184" t="s">
        <v>1381</v>
      </c>
      <c r="D200" s="163" t="s">
        <v>1026</v>
      </c>
      <c r="E200" s="164" t="s">
        <v>1382</v>
      </c>
      <c r="F200" s="165" t="s">
        <v>52</v>
      </c>
      <c r="G200" s="165"/>
      <c r="H200" s="165"/>
      <c r="I200" s="165"/>
      <c r="J200" s="165"/>
      <c r="K200" s="165"/>
      <c r="L200" s="168" t="s">
        <v>51</v>
      </c>
      <c r="M200" s="167"/>
      <c r="O200" s="142" t="n">
        <v>8</v>
      </c>
    </row>
    <row r="201" customFormat="false" ht="16.5" hidden="false" customHeight="true" outlineLevel="0" collapsed="false">
      <c r="A201" s="161" t="n">
        <v>9</v>
      </c>
      <c r="B201" s="170" t="n">
        <v>171810291</v>
      </c>
      <c r="C201" s="184" t="s">
        <v>1383</v>
      </c>
      <c r="D201" s="163" t="s">
        <v>1030</v>
      </c>
      <c r="E201" s="164" t="s">
        <v>1384</v>
      </c>
      <c r="F201" s="165" t="s">
        <v>52</v>
      </c>
      <c r="G201" s="165"/>
      <c r="H201" s="165"/>
      <c r="I201" s="165"/>
      <c r="J201" s="165"/>
      <c r="K201" s="165"/>
      <c r="L201" s="166" t="s">
        <v>198</v>
      </c>
      <c r="M201" s="167"/>
      <c r="O201" s="142" t="n">
        <v>9</v>
      </c>
    </row>
    <row r="202" customFormat="false" ht="16.5" hidden="false" customHeight="true" outlineLevel="0" collapsed="false">
      <c r="A202" s="170" t="n">
        <v>10</v>
      </c>
      <c r="B202" s="170" t="n">
        <v>171810332</v>
      </c>
      <c r="C202" s="184" t="s">
        <v>1385</v>
      </c>
      <c r="D202" s="163" t="s">
        <v>1021</v>
      </c>
      <c r="E202" s="169" t="s">
        <v>1386</v>
      </c>
      <c r="F202" s="170" t="s">
        <v>52</v>
      </c>
      <c r="G202" s="170"/>
      <c r="H202" s="170"/>
      <c r="I202" s="170"/>
      <c r="J202" s="170"/>
      <c r="K202" s="170"/>
      <c r="L202" s="171" t="s">
        <v>51</v>
      </c>
      <c r="M202" s="167"/>
      <c r="O202" s="142" t="n">
        <v>10</v>
      </c>
    </row>
    <row r="203" customFormat="false" ht="16.5" hidden="false" customHeight="true" outlineLevel="0" collapsed="false">
      <c r="A203" s="161" t="n">
        <v>11</v>
      </c>
      <c r="B203" s="170" t="n">
        <v>171810227</v>
      </c>
      <c r="C203" s="184" t="s">
        <v>1387</v>
      </c>
      <c r="D203" s="163" t="s">
        <v>1034</v>
      </c>
      <c r="E203" s="169" t="s">
        <v>1388</v>
      </c>
      <c r="F203" s="170" t="s">
        <v>52</v>
      </c>
      <c r="G203" s="170"/>
      <c r="H203" s="170"/>
      <c r="I203" s="170"/>
      <c r="J203" s="170"/>
      <c r="K203" s="170"/>
      <c r="L203" s="171" t="s">
        <v>1023</v>
      </c>
      <c r="M203" s="167"/>
      <c r="O203" s="142" t="n">
        <v>11</v>
      </c>
    </row>
    <row r="204" customFormat="false" ht="16.5" hidden="false" customHeight="true" outlineLevel="0" collapsed="false">
      <c r="A204" s="170" t="n">
        <v>12</v>
      </c>
      <c r="B204" s="170" t="n">
        <v>171810298</v>
      </c>
      <c r="C204" s="184" t="s">
        <v>1389</v>
      </c>
      <c r="D204" s="163" t="s">
        <v>1030</v>
      </c>
      <c r="E204" s="169" t="s">
        <v>1390</v>
      </c>
      <c r="F204" s="170" t="s">
        <v>52</v>
      </c>
      <c r="G204" s="170"/>
      <c r="H204" s="170"/>
      <c r="I204" s="170"/>
      <c r="J204" s="170"/>
      <c r="K204" s="170"/>
      <c r="L204" s="171" t="s">
        <v>1330</v>
      </c>
      <c r="M204" s="167"/>
      <c r="O204" s="142" t="n">
        <v>12</v>
      </c>
    </row>
    <row r="205" customFormat="false" ht="16.5" hidden="false" customHeight="true" outlineLevel="0" collapsed="false">
      <c r="A205" s="161" t="n">
        <v>13</v>
      </c>
      <c r="B205" s="170" t="n">
        <v>171810232</v>
      </c>
      <c r="C205" s="184" t="s">
        <v>1391</v>
      </c>
      <c r="D205" s="163" t="s">
        <v>1034</v>
      </c>
      <c r="E205" s="169" t="s">
        <v>1392</v>
      </c>
      <c r="F205" s="170" t="s">
        <v>52</v>
      </c>
      <c r="G205" s="170"/>
      <c r="H205" s="170"/>
      <c r="I205" s="170"/>
      <c r="J205" s="170"/>
      <c r="K205" s="170"/>
      <c r="L205" s="171" t="s">
        <v>51</v>
      </c>
      <c r="M205" s="167"/>
      <c r="O205" s="142" t="n">
        <v>13</v>
      </c>
    </row>
    <row r="206" customFormat="false" ht="16.5" hidden="false" customHeight="true" outlineLevel="0" collapsed="false">
      <c r="A206" s="170" t="n">
        <v>14</v>
      </c>
      <c r="B206" s="170" t="n">
        <v>171810261</v>
      </c>
      <c r="C206" s="184" t="s">
        <v>1393</v>
      </c>
      <c r="D206" s="163" t="s">
        <v>1038</v>
      </c>
      <c r="E206" s="169" t="s">
        <v>1394</v>
      </c>
      <c r="F206" s="170" t="s">
        <v>66</v>
      </c>
      <c r="G206" s="170"/>
      <c r="H206" s="170"/>
      <c r="I206" s="170"/>
      <c r="J206" s="170"/>
      <c r="K206" s="170"/>
      <c r="L206" s="171" t="s">
        <v>1040</v>
      </c>
      <c r="M206" s="167"/>
      <c r="O206" s="142" t="n">
        <v>14</v>
      </c>
      <c r="T206" s="143"/>
      <c r="U206" s="143"/>
    </row>
    <row r="207" customFormat="false" ht="16.5" hidden="false" customHeight="true" outlineLevel="0" collapsed="false">
      <c r="A207" s="161" t="n">
        <v>15</v>
      </c>
      <c r="B207" s="170" t="n">
        <v>171810341</v>
      </c>
      <c r="C207" s="184" t="s">
        <v>1395</v>
      </c>
      <c r="D207" s="163" t="s">
        <v>1021</v>
      </c>
      <c r="E207" s="169" t="s">
        <v>1396</v>
      </c>
      <c r="F207" s="170" t="s">
        <v>66</v>
      </c>
      <c r="G207" s="170"/>
      <c r="H207" s="170"/>
      <c r="I207" s="170"/>
      <c r="J207" s="170"/>
      <c r="K207" s="170"/>
      <c r="L207" s="171" t="s">
        <v>1397</v>
      </c>
      <c r="M207" s="167"/>
      <c r="O207" s="172" t="n">
        <v>1</v>
      </c>
      <c r="T207" s="143"/>
      <c r="U207" s="143"/>
    </row>
    <row r="208" customFormat="false" ht="16.5" hidden="false" customHeight="true" outlineLevel="0" collapsed="false">
      <c r="A208" s="170" t="n">
        <v>16</v>
      </c>
      <c r="B208" s="170" t="n">
        <v>171810195</v>
      </c>
      <c r="C208" s="184" t="s">
        <v>1398</v>
      </c>
      <c r="D208" s="163" t="s">
        <v>1026</v>
      </c>
      <c r="E208" s="164" t="s">
        <v>1399</v>
      </c>
      <c r="F208" s="165" t="s">
        <v>66</v>
      </c>
      <c r="G208" s="165"/>
      <c r="H208" s="165"/>
      <c r="I208" s="165"/>
      <c r="J208" s="165"/>
      <c r="K208" s="165"/>
      <c r="L208" s="168" t="s">
        <v>1400</v>
      </c>
      <c r="M208" s="167"/>
      <c r="O208" s="172" t="n">
        <v>2</v>
      </c>
      <c r="T208" s="143"/>
      <c r="U208" s="143"/>
    </row>
    <row r="209" customFormat="false" ht="16.5" hidden="false" customHeight="true" outlineLevel="0" collapsed="false">
      <c r="A209" s="161" t="n">
        <v>17</v>
      </c>
      <c r="B209" s="170" t="n">
        <v>171810304</v>
      </c>
      <c r="C209" s="184" t="s">
        <v>1401</v>
      </c>
      <c r="D209" s="163" t="s">
        <v>1030</v>
      </c>
      <c r="E209" s="164" t="s">
        <v>1402</v>
      </c>
      <c r="F209" s="165" t="s">
        <v>66</v>
      </c>
      <c r="G209" s="165"/>
      <c r="H209" s="165"/>
      <c r="I209" s="165"/>
      <c r="J209" s="165"/>
      <c r="K209" s="165"/>
      <c r="L209" s="166" t="s">
        <v>1148</v>
      </c>
      <c r="M209" s="167"/>
      <c r="O209" s="172" t="n">
        <v>3</v>
      </c>
    </row>
    <row r="210" customFormat="false" ht="16.5" hidden="false" customHeight="true" outlineLevel="0" collapsed="false">
      <c r="A210" s="170" t="n">
        <v>18</v>
      </c>
      <c r="B210" s="170" t="n">
        <v>171810199</v>
      </c>
      <c r="C210" s="184" t="s">
        <v>1403</v>
      </c>
      <c r="D210" s="163" t="s">
        <v>1026</v>
      </c>
      <c r="E210" s="164" t="s">
        <v>1404</v>
      </c>
      <c r="F210" s="165" t="s">
        <v>66</v>
      </c>
      <c r="G210" s="165"/>
      <c r="H210" s="165"/>
      <c r="I210" s="165"/>
      <c r="J210" s="165"/>
      <c r="K210" s="165"/>
      <c r="L210" s="168" t="s">
        <v>135</v>
      </c>
      <c r="M210" s="167"/>
      <c r="O210" s="172" t="n">
        <v>4</v>
      </c>
    </row>
    <row r="211" customFormat="false" ht="16.5" hidden="false" customHeight="true" outlineLevel="0" collapsed="false">
      <c r="A211" s="161" t="n">
        <v>19</v>
      </c>
      <c r="B211" s="170" t="n">
        <v>171810307</v>
      </c>
      <c r="C211" s="184" t="s">
        <v>1405</v>
      </c>
      <c r="D211" s="163" t="s">
        <v>1030</v>
      </c>
      <c r="E211" s="164" t="s">
        <v>1406</v>
      </c>
      <c r="F211" s="165" t="s">
        <v>66</v>
      </c>
      <c r="G211" s="165"/>
      <c r="H211" s="165"/>
      <c r="I211" s="165"/>
      <c r="J211" s="165"/>
      <c r="K211" s="165"/>
      <c r="L211" s="166" t="s">
        <v>1167</v>
      </c>
      <c r="M211" s="167"/>
      <c r="O211" s="172" t="n">
        <v>5</v>
      </c>
    </row>
    <row r="212" customFormat="false" ht="16.5" hidden="false" customHeight="true" outlineLevel="0" collapsed="false">
      <c r="A212" s="170" t="n">
        <v>20</v>
      </c>
      <c r="B212" s="170" t="n">
        <v>171810241</v>
      </c>
      <c r="C212" s="184" t="s">
        <v>1407</v>
      </c>
      <c r="D212" s="163" t="s">
        <v>1034</v>
      </c>
      <c r="E212" s="185" t="s">
        <v>1408</v>
      </c>
      <c r="F212" s="165" t="s">
        <v>52</v>
      </c>
      <c r="G212" s="165"/>
      <c r="H212" s="165"/>
      <c r="I212" s="165"/>
      <c r="J212" s="165"/>
      <c r="K212" s="165"/>
      <c r="L212" s="171" t="s">
        <v>51</v>
      </c>
      <c r="M212" s="167"/>
      <c r="O212" s="172" t="n">
        <v>6</v>
      </c>
    </row>
    <row r="213" customFormat="false" ht="16.5" hidden="false" customHeight="true" outlineLevel="0" collapsed="false">
      <c r="A213" s="161" t="n">
        <v>21</v>
      </c>
      <c r="B213" s="170" t="n">
        <v>171810347</v>
      </c>
      <c r="C213" s="184" t="s">
        <v>1409</v>
      </c>
      <c r="D213" s="163" t="s">
        <v>1021</v>
      </c>
      <c r="E213" s="169" t="s">
        <v>1410</v>
      </c>
      <c r="F213" s="170" t="s">
        <v>52</v>
      </c>
      <c r="G213" s="170"/>
      <c r="H213" s="170"/>
      <c r="I213" s="170"/>
      <c r="J213" s="170"/>
      <c r="K213" s="170"/>
      <c r="L213" s="166" t="s">
        <v>1411</v>
      </c>
      <c r="M213" s="167"/>
      <c r="O213" s="172" t="n">
        <v>7</v>
      </c>
    </row>
    <row r="214" customFormat="false" ht="16.5" hidden="false" customHeight="true" outlineLevel="0" collapsed="false">
      <c r="A214" s="170" t="n">
        <v>22</v>
      </c>
      <c r="B214" s="170" t="n">
        <v>171810203</v>
      </c>
      <c r="C214" s="184" t="s">
        <v>1412</v>
      </c>
      <c r="D214" s="163" t="s">
        <v>1026</v>
      </c>
      <c r="E214" s="169" t="s">
        <v>1413</v>
      </c>
      <c r="F214" s="170" t="s">
        <v>52</v>
      </c>
      <c r="G214" s="170"/>
      <c r="H214" s="170"/>
      <c r="I214" s="170"/>
      <c r="J214" s="170"/>
      <c r="K214" s="170"/>
      <c r="L214" s="171" t="s">
        <v>1040</v>
      </c>
      <c r="M214" s="167"/>
      <c r="O214" s="172" t="n">
        <v>8</v>
      </c>
    </row>
    <row r="215" customFormat="false" ht="16.5" hidden="false" customHeight="true" outlineLevel="0" collapsed="false">
      <c r="A215" s="161" t="n">
        <v>23</v>
      </c>
      <c r="B215" s="170" t="n">
        <v>171810205</v>
      </c>
      <c r="C215" s="184" t="s">
        <v>1414</v>
      </c>
      <c r="D215" s="163" t="s">
        <v>1026</v>
      </c>
      <c r="E215" s="169" t="s">
        <v>1415</v>
      </c>
      <c r="F215" s="170" t="s">
        <v>52</v>
      </c>
      <c r="G215" s="170"/>
      <c r="H215" s="170"/>
      <c r="I215" s="170"/>
      <c r="J215" s="170"/>
      <c r="K215" s="170"/>
      <c r="L215" s="171" t="s">
        <v>1040</v>
      </c>
      <c r="M215" s="167"/>
      <c r="O215" s="172" t="n">
        <v>9</v>
      </c>
    </row>
    <row r="216" customFormat="false" ht="16.5" hidden="false" customHeight="true" outlineLevel="0" collapsed="false">
      <c r="A216" s="170" t="n">
        <v>24</v>
      </c>
      <c r="B216" s="170" t="n">
        <v>171810350</v>
      </c>
      <c r="C216" s="184" t="s">
        <v>1416</v>
      </c>
      <c r="D216" s="163" t="s">
        <v>1021</v>
      </c>
      <c r="E216" s="164" t="s">
        <v>1417</v>
      </c>
      <c r="F216" s="165" t="s">
        <v>66</v>
      </c>
      <c r="G216" s="165"/>
      <c r="H216" s="165"/>
      <c r="I216" s="165"/>
      <c r="J216" s="165"/>
      <c r="K216" s="165"/>
      <c r="L216" s="166" t="s">
        <v>51</v>
      </c>
      <c r="M216" s="167"/>
      <c r="O216" s="172" t="n">
        <v>10</v>
      </c>
    </row>
    <row r="217" customFormat="false" ht="16.5" hidden="false" customHeight="true" outlineLevel="0" collapsed="false">
      <c r="A217" s="161" t="n">
        <v>25</v>
      </c>
      <c r="B217" s="170" t="n">
        <v>171810351</v>
      </c>
      <c r="C217" s="184" t="s">
        <v>1418</v>
      </c>
      <c r="D217" s="163" t="s">
        <v>1021</v>
      </c>
      <c r="E217" s="164" t="s">
        <v>1419</v>
      </c>
      <c r="F217" s="165" t="s">
        <v>66</v>
      </c>
      <c r="G217" s="165"/>
      <c r="H217" s="165"/>
      <c r="I217" s="165"/>
      <c r="J217" s="165"/>
      <c r="K217" s="165"/>
      <c r="L217" s="171" t="s">
        <v>135</v>
      </c>
      <c r="M217" s="167"/>
      <c r="O217" s="172" t="n">
        <v>11</v>
      </c>
    </row>
    <row r="218" customFormat="false" ht="16.5" hidden="false" customHeight="true" outlineLevel="0" collapsed="false">
      <c r="A218" s="170" t="n">
        <v>26</v>
      </c>
      <c r="B218" s="170" t="n">
        <v>171810207</v>
      </c>
      <c r="C218" s="184" t="s">
        <v>1420</v>
      </c>
      <c r="D218" s="163" t="s">
        <v>1026</v>
      </c>
      <c r="E218" s="169" t="s">
        <v>1421</v>
      </c>
      <c r="F218" s="170" t="s">
        <v>66</v>
      </c>
      <c r="G218" s="170"/>
      <c r="H218" s="170"/>
      <c r="I218" s="170"/>
      <c r="J218" s="170"/>
      <c r="K218" s="170"/>
      <c r="L218" s="171" t="s">
        <v>1116</v>
      </c>
      <c r="M218" s="167"/>
      <c r="O218" s="172" t="n">
        <v>12</v>
      </c>
    </row>
    <row r="219" customFormat="false" ht="16.5" hidden="false" customHeight="true" outlineLevel="0" collapsed="false">
      <c r="A219" s="161" t="n">
        <v>27</v>
      </c>
      <c r="B219" s="170" t="n">
        <v>171810208</v>
      </c>
      <c r="C219" s="184" t="s">
        <v>1422</v>
      </c>
      <c r="D219" s="163" t="s">
        <v>1026</v>
      </c>
      <c r="E219" s="164" t="s">
        <v>1423</v>
      </c>
      <c r="F219" s="165" t="s">
        <v>66</v>
      </c>
      <c r="G219" s="165"/>
      <c r="H219" s="165"/>
      <c r="I219" s="165"/>
      <c r="J219" s="165"/>
      <c r="K219" s="165"/>
      <c r="L219" s="168" t="s">
        <v>51</v>
      </c>
      <c r="M219" s="167"/>
      <c r="O219" s="172" t="n">
        <v>13</v>
      </c>
    </row>
    <row r="220" customFormat="false" ht="16.5" hidden="false" customHeight="true" outlineLevel="0" collapsed="false">
      <c r="A220" s="170" t="n">
        <v>28</v>
      </c>
      <c r="B220" s="170" t="n">
        <v>171810280</v>
      </c>
      <c r="C220" s="184" t="s">
        <v>1424</v>
      </c>
      <c r="D220" s="163" t="s">
        <v>1038</v>
      </c>
      <c r="E220" s="164" t="s">
        <v>1425</v>
      </c>
      <c r="F220" s="165" t="s">
        <v>66</v>
      </c>
      <c r="G220" s="165"/>
      <c r="H220" s="165"/>
      <c r="I220" s="165"/>
      <c r="J220" s="165"/>
      <c r="K220" s="165"/>
      <c r="L220" s="166" t="s">
        <v>1263</v>
      </c>
      <c r="M220" s="167"/>
      <c r="O220" s="172" t="n">
        <v>14</v>
      </c>
    </row>
    <row r="221" customFormat="false" ht="16.5" hidden="false" customHeight="true" outlineLevel="0" collapsed="false">
      <c r="A221" s="161" t="n">
        <v>29</v>
      </c>
      <c r="B221" s="170" t="n">
        <v>171810282</v>
      </c>
      <c r="C221" s="184" t="s">
        <v>1426</v>
      </c>
      <c r="D221" s="163" t="s">
        <v>1038</v>
      </c>
      <c r="E221" s="164" t="s">
        <v>1427</v>
      </c>
      <c r="F221" s="165" t="s">
        <v>52</v>
      </c>
      <c r="G221" s="165"/>
      <c r="H221" s="165"/>
      <c r="I221" s="165"/>
      <c r="J221" s="165"/>
      <c r="K221" s="165"/>
      <c r="L221" s="166" t="s">
        <v>51</v>
      </c>
      <c r="M221" s="167"/>
      <c r="O221" s="172" t="n">
        <v>15</v>
      </c>
    </row>
    <row r="222" customFormat="false" ht="16.5" hidden="false" customHeight="true" outlineLevel="0" collapsed="false">
      <c r="A222" s="170" t="n">
        <v>30</v>
      </c>
      <c r="B222" s="170" t="n">
        <v>171810247</v>
      </c>
      <c r="C222" s="184" t="s">
        <v>1428</v>
      </c>
      <c r="D222" s="163" t="s">
        <v>1034</v>
      </c>
      <c r="E222" s="169" t="s">
        <v>1429</v>
      </c>
      <c r="F222" s="170" t="s">
        <v>52</v>
      </c>
      <c r="G222" s="170"/>
      <c r="H222" s="170"/>
      <c r="I222" s="170"/>
      <c r="J222" s="170"/>
      <c r="K222" s="170"/>
      <c r="L222" s="171" t="s">
        <v>1430</v>
      </c>
      <c r="M222" s="167"/>
      <c r="O222" s="172" t="n">
        <v>16</v>
      </c>
    </row>
    <row r="223" customFormat="false" ht="16.5" hidden="false" customHeight="true" outlineLevel="0" collapsed="false">
      <c r="A223" s="161" t="n">
        <v>31</v>
      </c>
      <c r="B223" s="170" t="n">
        <v>171810320</v>
      </c>
      <c r="C223" s="184" t="s">
        <v>1431</v>
      </c>
      <c r="D223" s="163" t="s">
        <v>1030</v>
      </c>
      <c r="E223" s="164" t="s">
        <v>1432</v>
      </c>
      <c r="F223" s="165" t="s">
        <v>52</v>
      </c>
      <c r="G223" s="165"/>
      <c r="H223" s="165"/>
      <c r="I223" s="165"/>
      <c r="J223" s="165"/>
      <c r="K223" s="165"/>
      <c r="L223" s="166" t="s">
        <v>1116</v>
      </c>
      <c r="M223" s="167"/>
      <c r="O223" s="172" t="n">
        <v>17</v>
      </c>
    </row>
    <row r="224" customFormat="false" ht="16.5" hidden="false" customHeight="true" outlineLevel="0" collapsed="false">
      <c r="A224" s="170" t="n">
        <v>32</v>
      </c>
      <c r="B224" s="170" t="n">
        <v>171810322</v>
      </c>
      <c r="C224" s="184" t="s">
        <v>1433</v>
      </c>
      <c r="D224" s="163" t="s">
        <v>1030</v>
      </c>
      <c r="E224" s="164" t="s">
        <v>1434</v>
      </c>
      <c r="F224" s="165" t="s">
        <v>52</v>
      </c>
      <c r="G224" s="165"/>
      <c r="H224" s="165"/>
      <c r="I224" s="165"/>
      <c r="J224" s="165"/>
      <c r="K224" s="165"/>
      <c r="L224" s="166" t="s">
        <v>1049</v>
      </c>
      <c r="M224" s="167"/>
      <c r="O224" s="172" t="n">
        <v>18</v>
      </c>
    </row>
    <row r="225" customFormat="false" ht="16.5" hidden="false" customHeight="true" outlineLevel="0" collapsed="false">
      <c r="A225" s="161" t="n">
        <v>33</v>
      </c>
      <c r="B225" s="170" t="n">
        <v>171810214</v>
      </c>
      <c r="C225" s="184" t="s">
        <v>1435</v>
      </c>
      <c r="D225" s="163" t="s">
        <v>1026</v>
      </c>
      <c r="E225" s="164" t="s">
        <v>1436</v>
      </c>
      <c r="F225" s="165" t="s">
        <v>52</v>
      </c>
      <c r="G225" s="165"/>
      <c r="H225" s="165"/>
      <c r="I225" s="165"/>
      <c r="J225" s="165"/>
      <c r="K225" s="165"/>
      <c r="L225" s="168" t="s">
        <v>1167</v>
      </c>
      <c r="M225" s="167"/>
      <c r="O225" s="172" t="n">
        <v>19</v>
      </c>
      <c r="U225" s="143"/>
      <c r="V225" s="143"/>
    </row>
    <row r="226" customFormat="false" ht="16.5" hidden="false" customHeight="true" outlineLevel="0" collapsed="false">
      <c r="A226" s="170" t="n">
        <v>34</v>
      </c>
      <c r="B226" s="170" t="n">
        <v>181911404</v>
      </c>
      <c r="C226" s="184" t="s">
        <v>1437</v>
      </c>
      <c r="D226" s="163"/>
      <c r="E226" s="164" t="s">
        <v>1438</v>
      </c>
      <c r="F226" s="165" t="s">
        <v>52</v>
      </c>
      <c r="G226" s="165"/>
      <c r="H226" s="165"/>
      <c r="I226" s="165"/>
      <c r="J226" s="165"/>
      <c r="K226" s="165"/>
      <c r="L226" s="187" t="s">
        <v>1068</v>
      </c>
      <c r="M226" s="167"/>
      <c r="O226" s="172"/>
      <c r="U226" s="143"/>
      <c r="V226" s="143"/>
    </row>
    <row r="227" customFormat="false" ht="16.5" hidden="false" customHeight="true" outlineLevel="0" collapsed="false">
      <c r="A227" s="170" t="n">
        <v>36</v>
      </c>
      <c r="B227" s="170" t="n">
        <v>181911407</v>
      </c>
      <c r="C227" s="184" t="s">
        <v>1439</v>
      </c>
      <c r="D227" s="163"/>
      <c r="E227" s="204" t="s">
        <v>1440</v>
      </c>
      <c r="F227" s="165" t="s">
        <v>66</v>
      </c>
      <c r="G227" s="165"/>
      <c r="H227" s="165"/>
      <c r="I227" s="165"/>
      <c r="J227" s="165"/>
      <c r="K227" s="165"/>
      <c r="L227" s="187" t="s">
        <v>1441</v>
      </c>
      <c r="M227" s="167"/>
      <c r="O227" s="172"/>
      <c r="U227" s="143"/>
      <c r="V227" s="143"/>
    </row>
    <row r="228" customFormat="false" ht="16.5" hidden="false" customHeight="true" outlineLevel="0" collapsed="false">
      <c r="A228" s="170"/>
      <c r="B228" s="170"/>
      <c r="C228" s="184"/>
      <c r="D228" s="163"/>
      <c r="E228" s="204"/>
      <c r="F228" s="165"/>
      <c r="G228" s="165"/>
      <c r="H228" s="165"/>
      <c r="I228" s="165"/>
      <c r="J228" s="165"/>
      <c r="K228" s="165"/>
      <c r="L228" s="187" t="s">
        <v>1430</v>
      </c>
      <c r="M228" s="167"/>
      <c r="O228" s="172"/>
      <c r="U228" s="143"/>
      <c r="V228" s="143"/>
    </row>
    <row r="229" customFormat="false" ht="15" hidden="false" customHeight="false" outlineLevel="0" collapsed="false">
      <c r="A229" s="147"/>
      <c r="B229" s="175"/>
      <c r="C229" s="175"/>
      <c r="D229" s="175"/>
      <c r="E229" s="176" t="s">
        <v>1127</v>
      </c>
      <c r="F229" s="175" t="n">
        <f aca="false">COUNTIF(F193:F228,"l")</f>
        <v>15</v>
      </c>
      <c r="G229" s="175"/>
      <c r="H229" s="175"/>
      <c r="I229" s="175"/>
      <c r="J229" s="175"/>
      <c r="K229" s="175"/>
      <c r="L229" s="175"/>
      <c r="M229" s="175"/>
      <c r="P229" s="205"/>
    </row>
    <row r="230" customFormat="false" ht="15" hidden="false" customHeight="false" outlineLevel="0" collapsed="false">
      <c r="A230" s="147"/>
      <c r="B230" s="175"/>
      <c r="C230" s="175"/>
      <c r="D230" s="175"/>
      <c r="E230" s="176" t="s">
        <v>1128</v>
      </c>
      <c r="F230" s="175" t="n">
        <f aca="false">COUNTIF(F193:F228,"p")</f>
        <v>20</v>
      </c>
      <c r="G230" s="175"/>
      <c r="H230" s="175"/>
      <c r="I230" s="175"/>
      <c r="J230" s="175"/>
      <c r="K230" s="175"/>
      <c r="L230" s="175"/>
      <c r="M230" s="175"/>
    </row>
    <row r="231" customFormat="false" ht="15" hidden="false" customHeight="false" outlineLevel="0" collapsed="false">
      <c r="A231" s="147"/>
      <c r="B231" s="147" t="s">
        <v>1129</v>
      </c>
      <c r="C231" s="175"/>
      <c r="D231" s="175"/>
      <c r="E231" s="147"/>
      <c r="F231" s="172" t="s">
        <v>1130</v>
      </c>
      <c r="K231" s="175"/>
      <c r="L231" s="175"/>
      <c r="M231" s="175"/>
    </row>
    <row r="232" customFormat="false" ht="15" hidden="false" customHeight="false" outlineLevel="0" collapsed="false">
      <c r="A232" s="147"/>
      <c r="B232" s="175"/>
      <c r="C232" s="175"/>
      <c r="D232" s="175"/>
      <c r="E232" s="147"/>
      <c r="K232" s="175"/>
      <c r="L232" s="175"/>
      <c r="M232" s="175"/>
    </row>
    <row r="233" customFormat="false" ht="12" hidden="false" customHeight="true" outlineLevel="0" collapsed="false">
      <c r="A233" s="147"/>
      <c r="B233" s="175"/>
      <c r="C233" s="175"/>
      <c r="D233" s="175"/>
      <c r="E233" s="147"/>
      <c r="K233" s="175"/>
      <c r="L233" s="175"/>
      <c r="M233" s="175"/>
    </row>
    <row r="234" customFormat="false" ht="15" hidden="false" customHeight="false" outlineLevel="0" collapsed="false">
      <c r="A234" s="147"/>
      <c r="B234" s="177" t="s">
        <v>1131</v>
      </c>
      <c r="C234" s="175"/>
      <c r="D234" s="175"/>
      <c r="E234" s="147"/>
      <c r="F234" s="179"/>
      <c r="G234" s="179"/>
      <c r="H234" s="179"/>
      <c r="I234" s="179"/>
      <c r="J234" s="179"/>
      <c r="K234" s="175"/>
      <c r="L234" s="178"/>
      <c r="M234" s="178"/>
    </row>
    <row r="235" customFormat="false" ht="15" hidden="false" customHeight="false" outlineLevel="0" collapsed="false">
      <c r="A235" s="147"/>
      <c r="B235" s="147" t="s">
        <v>1132</v>
      </c>
      <c r="C235" s="175"/>
      <c r="D235" s="175"/>
      <c r="E235" s="147"/>
      <c r="F235" s="175"/>
      <c r="G235" s="175"/>
      <c r="H235" s="175"/>
      <c r="I235" s="175"/>
      <c r="J235" s="175"/>
      <c r="K235" s="175"/>
      <c r="L235" s="175"/>
      <c r="M235" s="175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3"/>
      <c r="C281" s="143"/>
      <c r="D281" s="143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2025-11-24T11:27:39Z</dcterms:modified>
  <cp:revision>188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