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750" windowHeight="1195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<sst xmlns="http://schemas.openxmlformats.org/spreadsheetml/2006/main" count="284" uniqueCount="176">
  <si>
    <t xml:space="preserve">FORMAT IMPORT NILAI RAPOR INFORMATIKA, KELAS  XI-02 INF </t>
  </si>
  <si>
    <t>b446d41c-72b4-4743-b18e-f2ce06db3306</t>
  </si>
  <si>
    <t>NO</t>
  </si>
  <si>
    <t>NILRPT</t>
  </si>
  <si>
    <t>NISN</t>
  </si>
  <si>
    <t>NAMA SISWA</t>
  </si>
  <si>
    <t>NILAI RAPOR</t>
  </si>
  <si>
    <t>TINGKAT KETERCAPAIAN TP</t>
  </si>
  <si>
    <t>VALIDASI</t>
  </si>
  <si>
    <t>e316f9b8-6410-4d6d-bf96-2f9381c0415b</t>
  </si>
  <si>
    <t>d7faa9bb-2315-4d1f-91d8-ea3e05a3870d</t>
  </si>
  <si>
    <t>044c6346-d4a7-42a8-9e36-2f19ab8843c5</t>
  </si>
  <si>
    <t>Informatika masa kini dan masa depan</t>
  </si>
  <si>
    <t>strategi algoritmik serta menuliskan program sederhana</t>
  </si>
  <si>
    <t>mengidentifikasi dan mengevaluasi dampak sosial informatika untuk mengembangkan solusi yang tepat</t>
  </si>
  <si>
    <t>TP.1112</t>
  </si>
  <si>
    <t>TP.1113</t>
  </si>
  <si>
    <t>TP.1114</t>
  </si>
  <si>
    <t>TR</t>
  </si>
  <si>
    <t>OP</t>
  </si>
  <si>
    <t>NILAI</t>
  </si>
  <si>
    <t>c31d36fc-4d2b-11e5-8733-e389a110d5f7</t>
  </si>
  <si>
    <t>640c11ee-712a-4b4c-be48-07d27b7b295b</t>
  </si>
  <si>
    <t>0089561949</t>
  </si>
  <si>
    <t>ALFAIRA BERLIYANI</t>
  </si>
  <si>
    <t>T</t>
  </si>
  <si>
    <t>R</t>
  </si>
  <si>
    <t>6fb0a36c-537c-11e5-ab7a-6b5b7b7820a5</t>
  </si>
  <si>
    <t>5ad93fdd-e239-49f4-8a86-d23e5153fb35</t>
  </si>
  <si>
    <t>0094191941</t>
  </si>
  <si>
    <t>AMELIA RAHMA ARISTAWATI</t>
  </si>
  <si>
    <t>d76c8062-488b-11e5-9cbb-1797ff381b76</t>
  </si>
  <si>
    <t>e84728f6-8c29-4527-9724-4d46a0a43a58</t>
  </si>
  <si>
    <t>0083626044</t>
  </si>
  <si>
    <t>ANGGITA ASTYANI</t>
  </si>
  <si>
    <t>b567e46a-38ac-11e4-859d-7b909cd07ea5</t>
  </si>
  <si>
    <t>69f519ff-e708-4807-9ee0-c7b356b1b6b9</t>
  </si>
  <si>
    <t>0076086800</t>
  </si>
  <si>
    <t>AULIA AZKA MUKAYYIS</t>
  </si>
  <si>
    <t>08e1c53c-4885-11e5-9c39-530acc0fa9ff</t>
  </si>
  <si>
    <t>e437f48e-8306-4556-99f4-724c37ee09d1</t>
  </si>
  <si>
    <t>0095913000</t>
  </si>
  <si>
    <t>AURA DWI ANZHANI</t>
  </si>
  <si>
    <t>d7cfb450-3aaf-11e5-8af9-3f42953cad42</t>
  </si>
  <si>
    <t>4bbd7b80-62e1-4414-86dc-97f6d3899a4c</t>
  </si>
  <si>
    <t>0095646442</t>
  </si>
  <si>
    <t>AZKA BAHARRIZKI PUTRA HERMANTO</t>
  </si>
  <si>
    <t>5194a6f4-512d-11e5-8b1f-5b30a642b39b</t>
  </si>
  <si>
    <t>656d1f5b-d7a9-4f99-8682-3794b7404080</t>
  </si>
  <si>
    <t>0088164501</t>
  </si>
  <si>
    <t>CINTA DWI APRILIANA</t>
  </si>
  <si>
    <t>631d15da-3f1e-11e5-aaf8-2b8a281515a4</t>
  </si>
  <si>
    <t>6e9e3a3e-9bec-4883-a26d-5f42143287e9</t>
  </si>
  <si>
    <t>0094718442</t>
  </si>
  <si>
    <t>DERIEL RAFIQAYSA</t>
  </si>
  <si>
    <t>7314b3ee-3fcd-11e5-bdac-5ba9ebc3d789</t>
  </si>
  <si>
    <t>94e96878-e66b-4a1a-b73d-df7579905173</t>
  </si>
  <si>
    <t>0098792210</t>
  </si>
  <si>
    <t>EFFLLY RACHMAWATI NOERANI</t>
  </si>
  <si>
    <t>c59bc7f6-456d-11e5-95ee-ab9058a62ae1</t>
  </si>
  <si>
    <t>9098c205-62a1-4bf9-a12e-89d59929cb14</t>
  </si>
  <si>
    <t>0089043956</t>
  </si>
  <si>
    <t>FAREL ANDHIKA PUTRA</t>
  </si>
  <si>
    <t>d1169332-4daf-11e5-8127-a395cc82452b</t>
  </si>
  <si>
    <t>ee268b04-a93f-4087-8bdf-5c313ff0c395</t>
  </si>
  <si>
    <t>0089421468</t>
  </si>
  <si>
    <t>FATHIN ABIYYU SUKMA</t>
  </si>
  <si>
    <t>86a72cfc-a7e3-449c-b923-ac746805c345</t>
  </si>
  <si>
    <t>8aabe088-8b48-4a3b-ab84-8bee81c42d9d</t>
  </si>
  <si>
    <t>0084037929</t>
  </si>
  <si>
    <t>FAWAZA BARIQ ALKAMIL</t>
  </si>
  <si>
    <t>b5be795b-0040-11ec-a965-42010aba8125</t>
  </si>
  <si>
    <t>f45ad981-c0c9-41ee-bc4c-69cad99e8c85</t>
  </si>
  <si>
    <t>0082191290</t>
  </si>
  <si>
    <t>FITRIA RIZQI AMALIA SUCI</t>
  </si>
  <si>
    <t>bddc214d-45b3-4d89-93cc-5e87f81d9cf4</t>
  </si>
  <si>
    <t>ba67b654-22aa-4018-a862-38119d7b739e</t>
  </si>
  <si>
    <t>0081154931</t>
  </si>
  <si>
    <t>GUIDO JOSAFAT</t>
  </si>
  <si>
    <t>0cc0d7cc-4e2c-11e5-b058-eb9f90b52361</t>
  </si>
  <si>
    <t>8a7828bd-e536-413a-b073-0c744dcc2bff</t>
  </si>
  <si>
    <t>0091261825</t>
  </si>
  <si>
    <t>KAYLA HUMAIRA MAULIDA AZZAHRA</t>
  </si>
  <si>
    <t>bb5f4b03-b025-444a-9c36-509601076b73</t>
  </si>
  <si>
    <t>13bdcb73-53e1-4c42-9883-df10bfd23417</t>
  </si>
  <si>
    <t>0093688574</t>
  </si>
  <si>
    <t>KEIKO AQILA ANANDIRA</t>
  </si>
  <si>
    <t>967cb520-3f6e-11e5-a324-8734b51affd9</t>
  </si>
  <si>
    <t>d8d475bf-445f-420a-ac22-7e37dd7d080b</t>
  </si>
  <si>
    <t>0081219411</t>
  </si>
  <si>
    <t>KESYA KIANYA QUROTA'AYUNI</t>
  </si>
  <si>
    <t>f5dc674a-510c-11e5-bfc7-17ae2f78418d</t>
  </si>
  <si>
    <t>35fb9027-fe82-4fa0-9115-6b49873939b1</t>
  </si>
  <si>
    <t>0083397715</t>
  </si>
  <si>
    <t>KEYSA REGITA NURFITRI ADRIANA</t>
  </si>
  <si>
    <t>e4016e0a-0baa-11ec-ae6a-42010aba8125</t>
  </si>
  <si>
    <t>6b9a7094-8dde-44e4-acd4-d6f8058265c2</t>
  </si>
  <si>
    <t>0097884501</t>
  </si>
  <si>
    <t>KEYZILA NAFFISAHANIF</t>
  </si>
  <si>
    <t>a7dd46d2-5133-11e5-933b-ab51778fcf3b</t>
  </si>
  <si>
    <t>d13a2b42-f9c9-47b1-b255-5a9c74cbbde1</t>
  </si>
  <si>
    <t>0089647345</t>
  </si>
  <si>
    <t>LAUDYA CANTIKA SARI</t>
  </si>
  <si>
    <t>0d172266-00ba-11ec-a965-42010aba8125</t>
  </si>
  <si>
    <t>18edce79-3766-4e32-91ae-d45f2c681cee</t>
  </si>
  <si>
    <t>0097310415</t>
  </si>
  <si>
    <t>LESTARI DWI ALTHAFUNISA</t>
  </si>
  <si>
    <t>aa2e034a-5980-11e5-ad8b-a3fdb34ae6d7</t>
  </si>
  <si>
    <t>8e6ba32f-8a90-48dd-85f9-8e209bdfe4a7</t>
  </si>
  <si>
    <t>0097736063</t>
  </si>
  <si>
    <t>MUHAMMAD AHNAF ALFAREZI</t>
  </si>
  <si>
    <t>513888d8-4250-11e5-baf1-af841df3dd36</t>
  </si>
  <si>
    <t>f5c2f84f-f123-47b5-9f9f-4865853dcf86</t>
  </si>
  <si>
    <t>0097653167</t>
  </si>
  <si>
    <t>MUHAMMAD FAUZAN AZMI HANIF</t>
  </si>
  <si>
    <t>53c39104-4955-11e5-a98b-4b2ce5b383ba</t>
  </si>
  <si>
    <t>39d0430e-3a3c-4602-9443-322fada8ee52</t>
  </si>
  <si>
    <t>0084533001</t>
  </si>
  <si>
    <t>NABIILA NUR TAMIIMAH</t>
  </si>
  <si>
    <t>c6f73988-4625-11e5-a782-cb63419bcd0f</t>
  </si>
  <si>
    <t>9364c62d-53ed-46e4-91cf-8781515df11e</t>
  </si>
  <si>
    <t>0087907930</t>
  </si>
  <si>
    <t>NABILA GUNAWAN</t>
  </si>
  <si>
    <t>d97591f0-3bf7-11e5-a1ae-3786d4cdd276</t>
  </si>
  <si>
    <t>07aa8502-14df-442e-949f-d07b0b6e01be</t>
  </si>
  <si>
    <t>0096356610</t>
  </si>
  <si>
    <t>NADIA MAHARANI</t>
  </si>
  <si>
    <t>a763cf76-4ebf-11e5-88f8-cbbe9ba78f35</t>
  </si>
  <si>
    <t>afeac41f-91af-41ab-a3d2-fb0f8d08c912</t>
  </si>
  <si>
    <t>0082559240</t>
  </si>
  <si>
    <t>NADYA NUR ATTIFA RISALMA</t>
  </si>
  <si>
    <t>6f3c8304-5388-11e5-b154-1309c470cf6b</t>
  </si>
  <si>
    <t>23bd5292-ee6b-47d4-8e4c-03a94f6906cf</t>
  </si>
  <si>
    <t>0082371648</t>
  </si>
  <si>
    <t>NAYARI ISNA LATIFAH</t>
  </si>
  <si>
    <t>c2c7ccee-4b37-11e5-a3cb-775f8cb78767</t>
  </si>
  <si>
    <t>2066ffb5-75fb-43ab-b120-83d375daa858</t>
  </si>
  <si>
    <t>0092490103</t>
  </si>
  <si>
    <t>NAZLA NA'IMAH SIBGHATULLAH</t>
  </si>
  <si>
    <t>1d4a4e4c-486f-11e5-81eb-537b361cf087</t>
  </si>
  <si>
    <t>d2c4aaac-c517-44ee-99f3-9376d3373541</t>
  </si>
  <si>
    <t>0081488693</t>
  </si>
  <si>
    <t>RADEN MUHAMMAD RAFI SHOLIHUDDIN</t>
  </si>
  <si>
    <t>83996156-4d1f-11e5-bdf8-57c759523524</t>
  </si>
  <si>
    <t>2e24dcce-f565-4807-a151-9e73f9463597</t>
  </si>
  <si>
    <t>0098938060</t>
  </si>
  <si>
    <t>RAFI IKHSAN ALRASYID</t>
  </si>
  <si>
    <t>a6caf28e-52a6-11e5-abfb-374f91fb61d9</t>
  </si>
  <si>
    <t>0ae2d1b2-3349-4bd1-8307-ded45a719770</t>
  </si>
  <si>
    <t>0094992588</t>
  </si>
  <si>
    <t>RAISYA ANGELIA</t>
  </si>
  <si>
    <t>aef0588e-4aca-11e5-af34-ebf5124d04e5</t>
  </si>
  <si>
    <t>b7b27903-a98e-4a31-a662-266093060c0c</t>
  </si>
  <si>
    <t>0083968805</t>
  </si>
  <si>
    <t>SAFFANAH PUTRI KAMILAH</t>
  </si>
  <si>
    <t>180ca571-1e60-11ec-a3a1-42010aba8125</t>
  </si>
  <si>
    <t>94e6f09b-4141-4c6d-aa41-8c4fed9721f3</t>
  </si>
  <si>
    <t>0086315065</t>
  </si>
  <si>
    <t>SILMI AGHNIYA AZ-ZAHRA</t>
  </si>
  <si>
    <t>fd8eb944-4643-11e5-a8a9-4398ece0c84b</t>
  </si>
  <si>
    <t>1c6c894f-975c-4f6e-9d4c-13b2a6da7f70</t>
  </si>
  <si>
    <t>0099942370</t>
  </si>
  <si>
    <t>TANTI AZIZAH PUTRI JAMALUDIN</t>
  </si>
  <si>
    <t>5a81d0ec-5043-11e5-b1d9-87023c46d9e4</t>
  </si>
  <si>
    <t>b0f91b91-21dd-43bb-8441-5f66cdc5351a</t>
  </si>
  <si>
    <t>0092641855</t>
  </si>
  <si>
    <t>TASYA ASTI AURELIA</t>
  </si>
  <si>
    <t>KETERANGAN :</t>
  </si>
  <si>
    <t xml:space="preserve"> &gt; TP.1112 : Informatika masa kini dan masa depan</t>
  </si>
  <si>
    <t xml:space="preserve"> &gt; TP.1113 : strategi algoritmik serta menuliskan program sederhana</t>
  </si>
  <si>
    <t xml:space="preserve"> &gt; TP.1114 : mengidentifikasi dan mengevaluasi dampak sosial informatika untuk mengembangkan solusi yang tepat</t>
  </si>
  <si>
    <t>Catatan Validasi:</t>
  </si>
  <si>
    <t xml:space="preserve"> &gt; Jika Nilai Rapor Siswa kurang dari 100, silahkah dipilih Tujuan Pembelajaran mana saja yang masih perlu peningkatan (minimal 1)</t>
  </si>
  <si>
    <t xml:space="preserve"> &gt; Selain memilih Tujuan Pembelajaran yang masih perlu peningkatan, pilih juga Tujuan Pembelajaran yang mana saja sudah dicapai dengan sangat optimal (minimal 1)</t>
  </si>
  <si>
    <t xml:space="preserve"> &gt; Tidak mesti semua Tujuan Pembelajaran yarus dipilih, minimal pilih satu yang paling optimal dan satu yang paling minimal</t>
  </si>
  <si>
    <t xml:space="preserve"> &gt; Pahami Konsep Pembelajaran dan Asesmen sebagaimana telah dimuat pada Buku Panduan PPA agar tidak keliru dalam memahami format nilai rapor ini.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</si>
</sst>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rgb="FF000000"/>
      <name val="Calibri"/>
      <charset val="134"/>
    </font>
    <font>
      <b/>
      <sz val="14"/>
      <color rgb="FF000000"/>
      <name val="Calibri"/>
      <charset val="134"/>
    </font>
    <font>
      <b/>
      <sz val="12"/>
      <color rgb="FFFFFFFF"/>
      <name val="Calibri"/>
      <charset val="134"/>
    </font>
    <font>
      <b/>
      <sz val="11"/>
      <color rgb="FFFFFFFF"/>
      <name val="Calibri"/>
      <charset val="134"/>
    </font>
    <font>
      <b/>
      <sz val="12"/>
      <color rgb="FF000000"/>
      <name val="Calibri"/>
      <charset val="134"/>
    </font>
    <font>
      <b/>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4F81BD"/>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xf numFmtId="0" fontId="1" fillId="0" borderId="0" xfId="0" applyFont="1" applyProtection="1"/>
    <xf numFmtId="0" fontId="0" fillId="0" borderId="0" xfId="0" applyProtection="1"/>
    <xf numFmtId="0" fontId="2" fillId="2" borderId="1" xfId="0" applyFont="1" applyFill="1" applyBorder="1" applyAlignment="1" applyProtection="1">
      <alignment horizontal="center" vertical="center"/>
    </xf>
    <xf numFmtId="0" fontId="3" fillId="2" borderId="1" xfId="0" applyFont="1" applyFill="1" applyBorder="1" applyAlignment="1" applyProtection="1">
      <alignment horizontal="center" vertical="top" wrapText="1"/>
    </xf>
    <xf numFmtId="0" fontId="0" fillId="0" borderId="1" xfId="0" applyBorder="1" applyAlignment="1" applyProtection="1">
      <alignment vertical="top" wrapText="1"/>
    </xf>
    <xf numFmtId="0" fontId="4" fillId="0" borderId="0" xfId="0" applyFont="1"/>
    <xf numFmtId="0" fontId="5" fillId="0" borderId="0" xfId="0" applyFont="1"/>
    <xf numFmtId="0" fontId="3" fillId="2" borderId="1" xfId="0" applyFont="1" applyFill="1" applyBorder="1" applyAlignment="1" applyProtection="1">
      <alignment horizontal="center" vertical="top" wrapText="1"/>
      <protection locked="0"/>
    </xf>
    <xf numFmtId="0" fontId="0" fillId="0" borderId="1" xfId="0" applyBorder="1" applyAlignment="1" applyProtection="1">
      <alignment horizontal="center" vertical="top" wrapText="1"/>
      <protection locked="0"/>
    </xf>
    <xf numFmtId="0" fontId="0" fillId="0" borderId="1" xfId="0" applyBorder="1" applyAlignment="1" applyProtection="1">
      <alignment horizontal="center" vertical="top" wrapText="1"/>
    </xf>
    <xf numFmtId="0" fontId="0" fillId="0" borderId="1" xfId="0" applyBorder="1" applyAlignment="1" applyProtection="1">
      <alignment vertical="top" wrapText="1"/>
      <protection hidden="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52"/>
  <sheetViews>
    <sheetView tabSelected="1" topLeftCell="A9" workbookViewId="0">
      <selection activeCell="O15" sqref="O15"/>
    </sheetView>
  </sheetViews>
  <sheetFormatPr defaultColWidth="9" defaultRowHeight="14.4"/>
  <cols>
    <col min="1" max="1" width="5" customWidth="1"/>
    <col min="2" max="4" width="9" hidden="1" customWidth="1"/>
    <col min="5" max="5" width="13" customWidth="1"/>
    <col min="6" max="6" width="37.7083333333333" customWidth="1"/>
    <col min="7" max="7" width="17.7083333333333" customWidth="1"/>
    <col min="8" max="10" width="10" customWidth="1"/>
    <col min="11" max="12" width="9" hidden="1" customWidth="1"/>
    <col min="13" max="13" width="15" customWidth="1"/>
  </cols>
  <sheetData>
    <row r="1" ht="17.4" spans="1:52">
      <c r="A1" s="1" t="s">
        <v>0</v>
      </c>
      <c r="B1" s="2">
        <v>13</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c r="B2" s="2">
        <v>42</v>
      </c>
      <c r="C2" s="2" t="s">
        <v>1</v>
      </c>
      <c r="D2" s="2">
        <v>700106100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ht="25" customHeight="1" spans="1:52">
      <c r="A3" s="3" t="s">
        <v>2</v>
      </c>
      <c r="B3" s="3" t="s">
        <v>3</v>
      </c>
      <c r="C3" s="3" t="s">
        <v>3</v>
      </c>
      <c r="D3" s="3" t="s">
        <v>3</v>
      </c>
      <c r="E3" s="3" t="s">
        <v>4</v>
      </c>
      <c r="F3" s="3" t="s">
        <v>5</v>
      </c>
      <c r="G3" s="3" t="s">
        <v>6</v>
      </c>
      <c r="H3" s="3" t="s">
        <v>7</v>
      </c>
      <c r="I3" s="3"/>
      <c r="J3" s="3"/>
      <c r="K3" s="3" t="s">
        <v>8</v>
      </c>
      <c r="L3" s="3"/>
      <c r="M3" s="3"/>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hidden="1" customHeight="1" spans="1:52">
      <c r="A4" s="4"/>
      <c r="B4" s="4"/>
      <c r="C4" s="4"/>
      <c r="D4" s="4"/>
      <c r="E4" s="4"/>
      <c r="F4" s="4"/>
      <c r="G4" s="8"/>
      <c r="H4" s="8" t="s">
        <v>9</v>
      </c>
      <c r="I4" s="8" t="s">
        <v>10</v>
      </c>
      <c r="J4" s="8" t="s">
        <v>11</v>
      </c>
      <c r="K4" s="4"/>
      <c r="L4" s="4"/>
      <c r="M4" s="4"/>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hidden="1" customHeight="1" spans="1:52">
      <c r="A5" s="4"/>
      <c r="B5" s="4"/>
      <c r="C5" s="4"/>
      <c r="D5" s="4"/>
      <c r="E5" s="4"/>
      <c r="F5" s="4"/>
      <c r="G5" s="8"/>
      <c r="H5" s="8" t="s">
        <v>12</v>
      </c>
      <c r="I5" s="8" t="s">
        <v>13</v>
      </c>
      <c r="J5" s="8" t="s">
        <v>14</v>
      </c>
      <c r="K5" s="4"/>
      <c r="L5" s="4"/>
      <c r="M5" s="4"/>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ht="15" spans="1:52">
      <c r="A6" s="4"/>
      <c r="B6" s="4"/>
      <c r="C6" s="4"/>
      <c r="D6" s="4"/>
      <c r="E6" s="4"/>
      <c r="F6" s="4"/>
      <c r="G6" s="8"/>
      <c r="H6" s="8" t="s">
        <v>15</v>
      </c>
      <c r="I6" s="8" t="s">
        <v>16</v>
      </c>
      <c r="J6" s="8" t="s">
        <v>17</v>
      </c>
      <c r="K6" s="4" t="s">
        <v>18</v>
      </c>
      <c r="L6" s="4" t="s">
        <v>19</v>
      </c>
      <c r="M6" s="4" t="s">
        <v>20</v>
      </c>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ht="20" customHeight="1" spans="1:52">
      <c r="A7" s="5">
        <v>1</v>
      </c>
      <c r="B7" s="5" t="s">
        <v>21</v>
      </c>
      <c r="C7" s="5" t="s">
        <v>22</v>
      </c>
      <c r="D7" s="5">
        <v>16</v>
      </c>
      <c r="E7" s="5" t="s">
        <v>23</v>
      </c>
      <c r="F7" s="5" t="s">
        <v>24</v>
      </c>
      <c r="G7" s="9">
        <v>90.3305011271025</v>
      </c>
      <c r="H7" s="9" t="s">
        <v>25</v>
      </c>
      <c r="I7" s="9" t="s">
        <v>26</v>
      </c>
      <c r="J7" s="9" t="s">
        <v>25</v>
      </c>
      <c r="K7" s="10">
        <f t="shared" ref="K7:K42" si="0">COUNTIF(H7:J7,"R")</f>
        <v>1</v>
      </c>
      <c r="L7" s="10">
        <f t="shared" ref="L7:L42" si="1">COUNTIF(H7:J7,"T")</f>
        <v>2</v>
      </c>
      <c r="M7" s="11" t="str">
        <f t="shared" ref="M7:M42" si="2">IF(G7="","",IF(G7=100,IF(K7&gt;0,"Tidak Valid",IF((K7+L7)&gt;0,"Valid","Tidak Valid")),IF(K7=0,"Tidak Valid",IF((K7+L7)&gt;0,"Valid","Tidak Valid"))))</f>
        <v>Valid</v>
      </c>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ht="20" customHeight="1" spans="1:52">
      <c r="A8" s="5">
        <v>2</v>
      </c>
      <c r="B8" s="5" t="s">
        <v>27</v>
      </c>
      <c r="C8" s="5" t="s">
        <v>28</v>
      </c>
      <c r="D8" s="5">
        <v>16</v>
      </c>
      <c r="E8" s="5" t="s">
        <v>29</v>
      </c>
      <c r="F8" s="5" t="s">
        <v>30</v>
      </c>
      <c r="G8" s="9">
        <v>88.9467660828854</v>
      </c>
      <c r="H8" s="9" t="s">
        <v>25</v>
      </c>
      <c r="I8" s="9" t="s">
        <v>26</v>
      </c>
      <c r="J8" s="9" t="s">
        <v>25</v>
      </c>
      <c r="K8" s="10">
        <f t="shared" si="0"/>
        <v>1</v>
      </c>
      <c r="L8" s="10">
        <f t="shared" si="1"/>
        <v>2</v>
      </c>
      <c r="M8" s="11" t="str">
        <f t="shared" si="2"/>
        <v>Valid</v>
      </c>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ht="20" customHeight="1" spans="1:52">
      <c r="A9" s="5">
        <v>3</v>
      </c>
      <c r="B9" s="5" t="s">
        <v>31</v>
      </c>
      <c r="C9" s="5" t="s">
        <v>32</v>
      </c>
      <c r="D9" s="5">
        <v>16</v>
      </c>
      <c r="E9" s="5" t="s">
        <v>33</v>
      </c>
      <c r="F9" s="5" t="s">
        <v>34</v>
      </c>
      <c r="G9" s="9">
        <v>89.9011617825559</v>
      </c>
      <c r="H9" s="9" t="s">
        <v>25</v>
      </c>
      <c r="I9" s="9" t="s">
        <v>26</v>
      </c>
      <c r="J9" s="9" t="s">
        <v>25</v>
      </c>
      <c r="K9" s="10">
        <f t="shared" si="0"/>
        <v>1</v>
      </c>
      <c r="L9" s="10">
        <f t="shared" si="1"/>
        <v>2</v>
      </c>
      <c r="M9" s="11" t="str">
        <f t="shared" si="2"/>
        <v>Valid</v>
      </c>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ht="20" customHeight="1" spans="1:52">
      <c r="A10" s="5">
        <v>4</v>
      </c>
      <c r="B10" s="5" t="s">
        <v>35</v>
      </c>
      <c r="C10" s="5" t="s">
        <v>36</v>
      </c>
      <c r="D10" s="5">
        <v>16</v>
      </c>
      <c r="E10" s="5" t="s">
        <v>37</v>
      </c>
      <c r="F10" s="5" t="s">
        <v>38</v>
      </c>
      <c r="G10" s="9">
        <v>91.4229235304318</v>
      </c>
      <c r="H10" s="9" t="s">
        <v>25</v>
      </c>
      <c r="I10" s="9" t="s">
        <v>26</v>
      </c>
      <c r="J10" s="9" t="s">
        <v>25</v>
      </c>
      <c r="K10" s="10">
        <f t="shared" si="0"/>
        <v>1</v>
      </c>
      <c r="L10" s="10">
        <f t="shared" si="1"/>
        <v>2</v>
      </c>
      <c r="M10" s="11" t="str">
        <f t="shared" si="2"/>
        <v>Valid</v>
      </c>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ht="20" customHeight="1" spans="1:52">
      <c r="A11" s="5">
        <v>5</v>
      </c>
      <c r="B11" s="5" t="s">
        <v>39</v>
      </c>
      <c r="C11" s="5" t="s">
        <v>40</v>
      </c>
      <c r="D11" s="5">
        <v>16</v>
      </c>
      <c r="E11" s="5" t="s">
        <v>41</v>
      </c>
      <c r="F11" s="5" t="s">
        <v>42</v>
      </c>
      <c r="G11" s="9">
        <v>87.4693948326686</v>
      </c>
      <c r="H11" s="9" t="s">
        <v>25</v>
      </c>
      <c r="I11" s="9" t="s">
        <v>26</v>
      </c>
      <c r="J11" s="9" t="s">
        <v>25</v>
      </c>
      <c r="K11" s="10">
        <f t="shared" si="0"/>
        <v>1</v>
      </c>
      <c r="L11" s="10">
        <f t="shared" si="1"/>
        <v>2</v>
      </c>
      <c r="M11" s="11" t="str">
        <f t="shared" si="2"/>
        <v>Valid</v>
      </c>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ht="20" customHeight="1" spans="1:52">
      <c r="A12" s="5">
        <v>6</v>
      </c>
      <c r="B12" s="5" t="s">
        <v>43</v>
      </c>
      <c r="C12" s="5" t="s">
        <v>44</v>
      </c>
      <c r="D12" s="5">
        <v>16</v>
      </c>
      <c r="E12" s="5" t="s">
        <v>45</v>
      </c>
      <c r="F12" s="5" t="s">
        <v>46</v>
      </c>
      <c r="G12" s="9">
        <v>88.6367262007976</v>
      </c>
      <c r="H12" s="9" t="s">
        <v>25</v>
      </c>
      <c r="I12" s="9" t="s">
        <v>26</v>
      </c>
      <c r="J12" s="9" t="s">
        <v>25</v>
      </c>
      <c r="K12" s="10">
        <f t="shared" si="0"/>
        <v>1</v>
      </c>
      <c r="L12" s="10">
        <f t="shared" si="1"/>
        <v>2</v>
      </c>
      <c r="M12" s="11" t="str">
        <f t="shared" si="2"/>
        <v>Valid</v>
      </c>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ht="20" customHeight="1" spans="1:52">
      <c r="A13" s="5">
        <v>7</v>
      </c>
      <c r="B13" s="5" t="s">
        <v>47</v>
      </c>
      <c r="C13" s="5" t="s">
        <v>48</v>
      </c>
      <c r="D13" s="5">
        <v>16</v>
      </c>
      <c r="E13" s="5" t="s">
        <v>49</v>
      </c>
      <c r="F13" s="5" t="s">
        <v>50</v>
      </c>
      <c r="G13" s="9">
        <v>87.7600138720305</v>
      </c>
      <c r="H13" s="9" t="s">
        <v>25</v>
      </c>
      <c r="I13" s="9" t="s">
        <v>26</v>
      </c>
      <c r="J13" s="9" t="s">
        <v>25</v>
      </c>
      <c r="K13" s="10">
        <f t="shared" si="0"/>
        <v>1</v>
      </c>
      <c r="L13" s="10">
        <f t="shared" si="1"/>
        <v>2</v>
      </c>
      <c r="M13" s="11" t="str">
        <f t="shared" si="2"/>
        <v>Valid</v>
      </c>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ht="20" customHeight="1" spans="1:52">
      <c r="A14" s="5">
        <v>8</v>
      </c>
      <c r="B14" s="5" t="s">
        <v>51</v>
      </c>
      <c r="C14" s="5" t="s">
        <v>52</v>
      </c>
      <c r="D14" s="5">
        <v>16</v>
      </c>
      <c r="E14" s="5" t="s">
        <v>53</v>
      </c>
      <c r="F14" s="5" t="s">
        <v>54</v>
      </c>
      <c r="G14" s="9">
        <v>89.773539101786</v>
      </c>
      <c r="H14" s="9" t="s">
        <v>25</v>
      </c>
      <c r="I14" s="9" t="s">
        <v>26</v>
      </c>
      <c r="J14" s="9" t="s">
        <v>25</v>
      </c>
      <c r="K14" s="10">
        <f t="shared" si="0"/>
        <v>1</v>
      </c>
      <c r="L14" s="10">
        <f t="shared" si="1"/>
        <v>2</v>
      </c>
      <c r="M14" s="11" t="str">
        <f t="shared" si="2"/>
        <v>Valid</v>
      </c>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ht="20" customHeight="1" spans="1:52">
      <c r="A15" s="5">
        <v>9</v>
      </c>
      <c r="B15" s="5" t="s">
        <v>55</v>
      </c>
      <c r="C15" s="5" t="s">
        <v>56</v>
      </c>
      <c r="D15" s="5">
        <v>16</v>
      </c>
      <c r="E15" s="5" t="s">
        <v>57</v>
      </c>
      <c r="F15" s="5" t="s">
        <v>58</v>
      </c>
      <c r="G15" s="9">
        <v>89.9011617825559</v>
      </c>
      <c r="H15" s="9" t="s">
        <v>25</v>
      </c>
      <c r="I15" s="9" t="s">
        <v>26</v>
      </c>
      <c r="J15" s="9" t="s">
        <v>25</v>
      </c>
      <c r="K15" s="10">
        <f t="shared" si="0"/>
        <v>1</v>
      </c>
      <c r="L15" s="10">
        <f t="shared" si="1"/>
        <v>2</v>
      </c>
      <c r="M15" s="11" t="str">
        <f t="shared" si="2"/>
        <v>Valid</v>
      </c>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ht="20" customHeight="1" spans="1:52">
      <c r="A16" s="5">
        <v>10</v>
      </c>
      <c r="B16" s="5" t="s">
        <v>59</v>
      </c>
      <c r="C16" s="5" t="s">
        <v>60</v>
      </c>
      <c r="D16" s="5">
        <v>16</v>
      </c>
      <c r="E16" s="5" t="s">
        <v>61</v>
      </c>
      <c r="F16" s="5" t="s">
        <v>62</v>
      </c>
      <c r="G16" s="9">
        <v>86</v>
      </c>
      <c r="H16" s="9" t="s">
        <v>25</v>
      </c>
      <c r="I16" s="9" t="s">
        <v>26</v>
      </c>
      <c r="J16" s="9" t="s">
        <v>25</v>
      </c>
      <c r="K16" s="10">
        <f t="shared" si="0"/>
        <v>1</v>
      </c>
      <c r="L16" s="10">
        <f t="shared" si="1"/>
        <v>2</v>
      </c>
      <c r="M16" s="11" t="str">
        <f t="shared" si="2"/>
        <v>Valid</v>
      </c>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ht="20" customHeight="1" spans="1:52">
      <c r="A17" s="5">
        <v>11</v>
      </c>
      <c r="B17" s="5" t="s">
        <v>63</v>
      </c>
      <c r="C17" s="5" t="s">
        <v>64</v>
      </c>
      <c r="D17" s="5">
        <v>16</v>
      </c>
      <c r="E17" s="5" t="s">
        <v>65</v>
      </c>
      <c r="F17" s="5" t="s">
        <v>66</v>
      </c>
      <c r="G17" s="9">
        <v>88.986301369863</v>
      </c>
      <c r="H17" s="9" t="s">
        <v>25</v>
      </c>
      <c r="I17" s="9" t="s">
        <v>26</v>
      </c>
      <c r="J17" s="9" t="s">
        <v>25</v>
      </c>
      <c r="K17" s="10">
        <f t="shared" si="0"/>
        <v>1</v>
      </c>
      <c r="L17" s="10">
        <f t="shared" si="1"/>
        <v>2</v>
      </c>
      <c r="M17" s="11" t="str">
        <f t="shared" si="2"/>
        <v>Valid</v>
      </c>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ht="20" customHeight="1" spans="1:52">
      <c r="A18" s="5">
        <v>12</v>
      </c>
      <c r="B18" s="5" t="s">
        <v>67</v>
      </c>
      <c r="C18" s="5" t="s">
        <v>68</v>
      </c>
      <c r="D18" s="5">
        <v>16</v>
      </c>
      <c r="E18" s="5" t="s">
        <v>69</v>
      </c>
      <c r="F18" s="5" t="s">
        <v>70</v>
      </c>
      <c r="G18" s="9">
        <v>89.7589734697416</v>
      </c>
      <c r="H18" s="9" t="s">
        <v>25</v>
      </c>
      <c r="I18" s="9" t="s">
        <v>26</v>
      </c>
      <c r="J18" s="9" t="s">
        <v>25</v>
      </c>
      <c r="K18" s="10">
        <f t="shared" si="0"/>
        <v>1</v>
      </c>
      <c r="L18" s="10">
        <f t="shared" si="1"/>
        <v>2</v>
      </c>
      <c r="M18" s="11" t="str">
        <f t="shared" si="2"/>
        <v>Valid</v>
      </c>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ht="20" customHeight="1" spans="1:52">
      <c r="A19" s="5">
        <v>13</v>
      </c>
      <c r="B19" s="5" t="s">
        <v>71</v>
      </c>
      <c r="C19" s="5" t="s">
        <v>72</v>
      </c>
      <c r="D19" s="5">
        <v>16</v>
      </c>
      <c r="E19" s="5" t="s">
        <v>73</v>
      </c>
      <c r="F19" s="5" t="s">
        <v>74</v>
      </c>
      <c r="G19" s="9">
        <v>88.4036760880874</v>
      </c>
      <c r="H19" s="9" t="s">
        <v>25</v>
      </c>
      <c r="I19" s="9" t="s">
        <v>26</v>
      </c>
      <c r="J19" s="9" t="s">
        <v>25</v>
      </c>
      <c r="K19" s="10">
        <f t="shared" si="0"/>
        <v>1</v>
      </c>
      <c r="L19" s="10">
        <f t="shared" si="1"/>
        <v>2</v>
      </c>
      <c r="M19" s="11" t="str">
        <f t="shared" si="2"/>
        <v>Valid</v>
      </c>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ht="20" customHeight="1" spans="1:52">
      <c r="A20" s="5">
        <v>14</v>
      </c>
      <c r="B20" s="5" t="s">
        <v>75</v>
      </c>
      <c r="C20" s="5" t="s">
        <v>76</v>
      </c>
      <c r="D20" s="5">
        <v>16</v>
      </c>
      <c r="E20" s="5" t="s">
        <v>77</v>
      </c>
      <c r="F20" s="5" t="s">
        <v>78</v>
      </c>
      <c r="G20" s="9">
        <v>92</v>
      </c>
      <c r="H20" s="9" t="s">
        <v>25</v>
      </c>
      <c r="I20" s="9" t="s">
        <v>26</v>
      </c>
      <c r="J20" s="9" t="s">
        <v>25</v>
      </c>
      <c r="K20" s="10">
        <f t="shared" si="0"/>
        <v>1</v>
      </c>
      <c r="L20" s="10">
        <f t="shared" si="1"/>
        <v>2</v>
      </c>
      <c r="M20" s="11" t="str">
        <f t="shared" si="2"/>
        <v>Valid</v>
      </c>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ht="20" customHeight="1" spans="1:52">
      <c r="A21" s="5">
        <v>15</v>
      </c>
      <c r="B21" s="5" t="s">
        <v>79</v>
      </c>
      <c r="C21" s="5" t="s">
        <v>80</v>
      </c>
      <c r="D21" s="5">
        <v>16</v>
      </c>
      <c r="E21" s="5" t="s">
        <v>81</v>
      </c>
      <c r="F21" s="5" t="s">
        <v>82</v>
      </c>
      <c r="G21" s="9">
        <v>89.6258019767644</v>
      </c>
      <c r="H21" s="9" t="s">
        <v>25</v>
      </c>
      <c r="I21" s="9" t="s">
        <v>26</v>
      </c>
      <c r="J21" s="9" t="s">
        <v>25</v>
      </c>
      <c r="K21" s="10">
        <f t="shared" si="0"/>
        <v>1</v>
      </c>
      <c r="L21" s="10">
        <f t="shared" si="1"/>
        <v>2</v>
      </c>
      <c r="M21" s="11" t="str">
        <f t="shared" si="2"/>
        <v>Valid</v>
      </c>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ht="20" customHeight="1" spans="1:52">
      <c r="A22" s="5">
        <v>16</v>
      </c>
      <c r="B22" s="5" t="s">
        <v>83</v>
      </c>
      <c r="C22" s="5" t="s">
        <v>84</v>
      </c>
      <c r="D22" s="5">
        <v>16</v>
      </c>
      <c r="E22" s="5" t="s">
        <v>85</v>
      </c>
      <c r="F22" s="5" t="s">
        <v>86</v>
      </c>
      <c r="G22" s="9">
        <v>91.1565805444772</v>
      </c>
      <c r="H22" s="9" t="s">
        <v>25</v>
      </c>
      <c r="I22" s="9" t="s">
        <v>26</v>
      </c>
      <c r="J22" s="9" t="s">
        <v>25</v>
      </c>
      <c r="K22" s="10">
        <f t="shared" si="0"/>
        <v>1</v>
      </c>
      <c r="L22" s="10">
        <f t="shared" si="1"/>
        <v>2</v>
      </c>
      <c r="M22" s="11" t="str">
        <f t="shared" si="2"/>
        <v>Valid</v>
      </c>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ht="20" customHeight="1" spans="1:52">
      <c r="A23" s="5">
        <v>17</v>
      </c>
      <c r="B23" s="5" t="s">
        <v>87</v>
      </c>
      <c r="C23" s="5" t="s">
        <v>88</v>
      </c>
      <c r="D23" s="5">
        <v>16</v>
      </c>
      <c r="E23" s="5" t="s">
        <v>89</v>
      </c>
      <c r="F23" s="5" t="s">
        <v>90</v>
      </c>
      <c r="G23" s="9">
        <v>89.4447719784984</v>
      </c>
      <c r="H23" s="9" t="s">
        <v>25</v>
      </c>
      <c r="I23" s="9" t="s">
        <v>26</v>
      </c>
      <c r="J23" s="9" t="s">
        <v>25</v>
      </c>
      <c r="K23" s="10">
        <f t="shared" si="0"/>
        <v>1</v>
      </c>
      <c r="L23" s="10">
        <f t="shared" si="1"/>
        <v>2</v>
      </c>
      <c r="M23" s="11" t="str">
        <f t="shared" si="2"/>
        <v>Valid</v>
      </c>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ht="20" customHeight="1" spans="1:52">
      <c r="A24" s="5">
        <v>18</v>
      </c>
      <c r="B24" s="5" t="s">
        <v>91</v>
      </c>
      <c r="C24" s="5" t="s">
        <v>92</v>
      </c>
      <c r="D24" s="5">
        <v>16</v>
      </c>
      <c r="E24" s="5" t="s">
        <v>93</v>
      </c>
      <c r="F24" s="5" t="s">
        <v>94</v>
      </c>
      <c r="G24" s="9">
        <v>87.8044043696896</v>
      </c>
      <c r="H24" s="9" t="s">
        <v>25</v>
      </c>
      <c r="I24" s="9" t="s">
        <v>26</v>
      </c>
      <c r="J24" s="9" t="s">
        <v>25</v>
      </c>
      <c r="K24" s="10">
        <f t="shared" si="0"/>
        <v>1</v>
      </c>
      <c r="L24" s="10">
        <f t="shared" si="1"/>
        <v>2</v>
      </c>
      <c r="M24" s="11" t="str">
        <f t="shared" si="2"/>
        <v>Valid</v>
      </c>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ht="20" customHeight="1" spans="1:52">
      <c r="A25" s="5">
        <v>19</v>
      </c>
      <c r="B25" s="5" t="s">
        <v>95</v>
      </c>
      <c r="C25" s="5" t="s">
        <v>96</v>
      </c>
      <c r="D25" s="5">
        <v>16</v>
      </c>
      <c r="E25" s="5" t="s">
        <v>97</v>
      </c>
      <c r="F25" s="5" t="s">
        <v>98</v>
      </c>
      <c r="G25" s="9">
        <v>89.1728801803364</v>
      </c>
      <c r="H25" s="9" t="s">
        <v>25</v>
      </c>
      <c r="I25" s="9" t="s">
        <v>26</v>
      </c>
      <c r="J25" s="9" t="s">
        <v>25</v>
      </c>
      <c r="K25" s="10">
        <f t="shared" si="0"/>
        <v>1</v>
      </c>
      <c r="L25" s="10">
        <f t="shared" si="1"/>
        <v>2</v>
      </c>
      <c r="M25" s="11" t="str">
        <f t="shared" si="2"/>
        <v>Valid</v>
      </c>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ht="20" customHeight="1" spans="1:52">
      <c r="A26" s="5">
        <v>20</v>
      </c>
      <c r="B26" s="5" t="s">
        <v>99</v>
      </c>
      <c r="C26" s="5" t="s">
        <v>100</v>
      </c>
      <c r="D26" s="5">
        <v>16</v>
      </c>
      <c r="E26" s="5" t="s">
        <v>101</v>
      </c>
      <c r="F26" s="5" t="s">
        <v>102</v>
      </c>
      <c r="G26" s="9">
        <v>89.8865961505115</v>
      </c>
      <c r="H26" s="9" t="s">
        <v>25</v>
      </c>
      <c r="I26" s="9" t="s">
        <v>26</v>
      </c>
      <c r="J26" s="9" t="s">
        <v>25</v>
      </c>
      <c r="K26" s="10">
        <f t="shared" si="0"/>
        <v>1</v>
      </c>
      <c r="L26" s="10">
        <f t="shared" si="1"/>
        <v>2</v>
      </c>
      <c r="M26" s="11" t="str">
        <f t="shared" si="2"/>
        <v>Valid</v>
      </c>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ht="20" customHeight="1" spans="1:52">
      <c r="A27" s="5">
        <v>21</v>
      </c>
      <c r="B27" s="5" t="s">
        <v>103</v>
      </c>
      <c r="C27" s="5" t="s">
        <v>104</v>
      </c>
      <c r="D27" s="5">
        <v>16</v>
      </c>
      <c r="E27" s="5" t="s">
        <v>105</v>
      </c>
      <c r="F27" s="5" t="s">
        <v>106</v>
      </c>
      <c r="G27" s="9">
        <v>89.0452574995665</v>
      </c>
      <c r="H27" s="9" t="s">
        <v>25</v>
      </c>
      <c r="I27" s="9" t="s">
        <v>26</v>
      </c>
      <c r="J27" s="9" t="s">
        <v>25</v>
      </c>
      <c r="K27" s="10">
        <f t="shared" si="0"/>
        <v>1</v>
      </c>
      <c r="L27" s="10">
        <f t="shared" si="1"/>
        <v>2</v>
      </c>
      <c r="M27" s="11" t="str">
        <f t="shared" si="2"/>
        <v>Valid</v>
      </c>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ht="20" customHeight="1" spans="1:52">
      <c r="A28" s="5">
        <v>22</v>
      </c>
      <c r="B28" s="5" t="s">
        <v>107</v>
      </c>
      <c r="C28" s="5" t="s">
        <v>108</v>
      </c>
      <c r="D28" s="5">
        <v>16</v>
      </c>
      <c r="E28" s="5" t="s">
        <v>109</v>
      </c>
      <c r="F28" s="5" t="s">
        <v>110</v>
      </c>
      <c r="G28" s="9">
        <v>89.0251430553147</v>
      </c>
      <c r="H28" s="9" t="s">
        <v>25</v>
      </c>
      <c r="I28" s="9" t="s">
        <v>26</v>
      </c>
      <c r="J28" s="9" t="s">
        <v>25</v>
      </c>
      <c r="K28" s="10">
        <f t="shared" si="0"/>
        <v>1</v>
      </c>
      <c r="L28" s="10">
        <f t="shared" si="1"/>
        <v>2</v>
      </c>
      <c r="M28" s="11" t="str">
        <f t="shared" si="2"/>
        <v>Valid</v>
      </c>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ht="20" customHeight="1" spans="1:52">
      <c r="A29" s="5">
        <v>23</v>
      </c>
      <c r="B29" s="5" t="s">
        <v>111</v>
      </c>
      <c r="C29" s="5" t="s">
        <v>112</v>
      </c>
      <c r="D29" s="5">
        <v>16</v>
      </c>
      <c r="E29" s="5" t="s">
        <v>113</v>
      </c>
      <c r="F29" s="5" t="s">
        <v>114</v>
      </c>
      <c r="G29" s="9">
        <v>88.6755678862494</v>
      </c>
      <c r="H29" s="9" t="s">
        <v>25</v>
      </c>
      <c r="I29" s="9" t="s">
        <v>26</v>
      </c>
      <c r="J29" s="9" t="s">
        <v>25</v>
      </c>
      <c r="K29" s="10">
        <f t="shared" si="0"/>
        <v>1</v>
      </c>
      <c r="L29" s="10">
        <f t="shared" si="1"/>
        <v>2</v>
      </c>
      <c r="M29" s="11" t="str">
        <f t="shared" si="2"/>
        <v>Valid</v>
      </c>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ht="20" customHeight="1" spans="1:52">
      <c r="A30" s="5">
        <v>24</v>
      </c>
      <c r="B30" s="5" t="s">
        <v>115</v>
      </c>
      <c r="C30" s="5" t="s">
        <v>116</v>
      </c>
      <c r="D30" s="5">
        <v>16</v>
      </c>
      <c r="E30" s="5" t="s">
        <v>117</v>
      </c>
      <c r="F30" s="5" t="s">
        <v>118</v>
      </c>
      <c r="G30" s="9">
        <v>89.2027050459511</v>
      </c>
      <c r="H30" s="9" t="s">
        <v>25</v>
      </c>
      <c r="I30" s="9" t="s">
        <v>26</v>
      </c>
      <c r="J30" s="9" t="s">
        <v>25</v>
      </c>
      <c r="K30" s="10">
        <f t="shared" si="0"/>
        <v>1</v>
      </c>
      <c r="L30" s="10">
        <f t="shared" si="1"/>
        <v>2</v>
      </c>
      <c r="M30" s="11" t="str">
        <f t="shared" si="2"/>
        <v>Valid</v>
      </c>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ht="20" customHeight="1" spans="1:52">
      <c r="A31" s="5">
        <v>25</v>
      </c>
      <c r="B31" s="5" t="s">
        <v>119</v>
      </c>
      <c r="C31" s="5" t="s">
        <v>120</v>
      </c>
      <c r="D31" s="5">
        <v>16</v>
      </c>
      <c r="E31" s="5" t="s">
        <v>121</v>
      </c>
      <c r="F31" s="5" t="s">
        <v>122</v>
      </c>
      <c r="G31" s="9">
        <v>89.5224553494018</v>
      </c>
      <c r="H31" s="9" t="s">
        <v>25</v>
      </c>
      <c r="I31" s="9" t="s">
        <v>26</v>
      </c>
      <c r="J31" s="9" t="s">
        <v>25</v>
      </c>
      <c r="K31" s="10">
        <f t="shared" si="0"/>
        <v>1</v>
      </c>
      <c r="L31" s="10">
        <f t="shared" si="1"/>
        <v>2</v>
      </c>
      <c r="M31" s="11" t="str">
        <f t="shared" si="2"/>
        <v>Valid</v>
      </c>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ht="20" customHeight="1" spans="1:52">
      <c r="A32" s="5">
        <v>26</v>
      </c>
      <c r="B32" s="5" t="s">
        <v>123</v>
      </c>
      <c r="C32" s="5" t="s">
        <v>124</v>
      </c>
      <c r="D32" s="5">
        <v>16</v>
      </c>
      <c r="E32" s="5" t="s">
        <v>125</v>
      </c>
      <c r="F32" s="5" t="s">
        <v>126</v>
      </c>
      <c r="G32" s="9">
        <v>89.9954915900815</v>
      </c>
      <c r="H32" s="9" t="s">
        <v>25</v>
      </c>
      <c r="I32" s="9" t="s">
        <v>26</v>
      </c>
      <c r="J32" s="9" t="s">
        <v>25</v>
      </c>
      <c r="K32" s="10">
        <f t="shared" si="0"/>
        <v>1</v>
      </c>
      <c r="L32" s="10">
        <f t="shared" si="1"/>
        <v>2</v>
      </c>
      <c r="M32" s="11" t="str">
        <f t="shared" si="2"/>
        <v>Valid</v>
      </c>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ht="20" customHeight="1" spans="1:52">
      <c r="A33" s="5">
        <v>27</v>
      </c>
      <c r="B33" s="5" t="s">
        <v>127</v>
      </c>
      <c r="C33" s="5" t="s">
        <v>128</v>
      </c>
      <c r="D33" s="5">
        <v>16</v>
      </c>
      <c r="E33" s="5" t="s">
        <v>129</v>
      </c>
      <c r="F33" s="5" t="s">
        <v>130</v>
      </c>
      <c r="G33" s="9">
        <v>88.5923357031385</v>
      </c>
      <c r="H33" s="9" t="s">
        <v>25</v>
      </c>
      <c r="I33" s="9" t="s">
        <v>26</v>
      </c>
      <c r="J33" s="9" t="s">
        <v>25</v>
      </c>
      <c r="K33" s="10">
        <f t="shared" si="0"/>
        <v>1</v>
      </c>
      <c r="L33" s="10">
        <f t="shared" si="1"/>
        <v>2</v>
      </c>
      <c r="M33" s="11" t="str">
        <f t="shared" si="2"/>
        <v>Valid</v>
      </c>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ht="20" customHeight="1" spans="1:52">
      <c r="A34" s="5">
        <v>28</v>
      </c>
      <c r="B34" s="5" t="s">
        <v>131</v>
      </c>
      <c r="C34" s="5" t="s">
        <v>132</v>
      </c>
      <c r="D34" s="5">
        <v>16</v>
      </c>
      <c r="E34" s="5" t="s">
        <v>133</v>
      </c>
      <c r="F34" s="5" t="s">
        <v>134</v>
      </c>
      <c r="G34" s="9">
        <v>89.4093983006763</v>
      </c>
      <c r="H34" s="9" t="s">
        <v>25</v>
      </c>
      <c r="I34" s="9" t="s">
        <v>26</v>
      </c>
      <c r="J34" s="9" t="s">
        <v>25</v>
      </c>
      <c r="K34" s="10">
        <f t="shared" si="0"/>
        <v>1</v>
      </c>
      <c r="L34" s="10">
        <f t="shared" si="1"/>
        <v>2</v>
      </c>
      <c r="M34" s="11" t="str">
        <f t="shared" si="2"/>
        <v>Valid</v>
      </c>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ht="20" customHeight="1" spans="1:52">
      <c r="A35" s="5">
        <v>29</v>
      </c>
      <c r="B35" s="5" t="s">
        <v>135</v>
      </c>
      <c r="C35" s="5" t="s">
        <v>136</v>
      </c>
      <c r="D35" s="5">
        <v>16</v>
      </c>
      <c r="E35" s="5" t="s">
        <v>137</v>
      </c>
      <c r="F35" s="5" t="s">
        <v>138</v>
      </c>
      <c r="G35" s="9">
        <v>89.3802670365875</v>
      </c>
      <c r="H35" s="9" t="s">
        <v>25</v>
      </c>
      <c r="I35" s="9" t="s">
        <v>26</v>
      </c>
      <c r="J35" s="9" t="s">
        <v>25</v>
      </c>
      <c r="K35" s="10">
        <f t="shared" si="0"/>
        <v>1</v>
      </c>
      <c r="L35" s="10">
        <f t="shared" si="1"/>
        <v>2</v>
      </c>
      <c r="M35" s="11" t="str">
        <f t="shared" si="2"/>
        <v>Valid</v>
      </c>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ht="20" customHeight="1" spans="1:52">
      <c r="A36" s="5">
        <v>30</v>
      </c>
      <c r="B36" s="5" t="s">
        <v>139</v>
      </c>
      <c r="C36" s="5" t="s">
        <v>140</v>
      </c>
      <c r="D36" s="5">
        <v>16</v>
      </c>
      <c r="E36" s="5" t="s">
        <v>141</v>
      </c>
      <c r="F36" s="5" t="s">
        <v>142</v>
      </c>
      <c r="G36" s="9">
        <v>89.3358765389284</v>
      </c>
      <c r="H36" s="9" t="s">
        <v>25</v>
      </c>
      <c r="I36" s="9" t="s">
        <v>26</v>
      </c>
      <c r="J36" s="9" t="s">
        <v>25</v>
      </c>
      <c r="K36" s="10">
        <f t="shared" si="0"/>
        <v>1</v>
      </c>
      <c r="L36" s="10">
        <f t="shared" si="1"/>
        <v>2</v>
      </c>
      <c r="M36" s="11" t="str">
        <f t="shared" si="2"/>
        <v>Valid</v>
      </c>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ht="20" customHeight="1" spans="1:52">
      <c r="A37" s="5">
        <v>31</v>
      </c>
      <c r="B37" s="5" t="s">
        <v>143</v>
      </c>
      <c r="C37" s="5" t="s">
        <v>144</v>
      </c>
      <c r="D37" s="5">
        <v>16</v>
      </c>
      <c r="E37" s="5" t="s">
        <v>145</v>
      </c>
      <c r="F37" s="5" t="s">
        <v>146</v>
      </c>
      <c r="G37" s="9">
        <v>89.6757412866308</v>
      </c>
      <c r="H37" s="9" t="s">
        <v>25</v>
      </c>
      <c r="I37" s="9" t="s">
        <v>26</v>
      </c>
      <c r="J37" s="9" t="s">
        <v>25</v>
      </c>
      <c r="K37" s="10">
        <f t="shared" si="0"/>
        <v>1</v>
      </c>
      <c r="L37" s="10">
        <f t="shared" si="1"/>
        <v>2</v>
      </c>
      <c r="M37" s="11" t="str">
        <f t="shared" si="2"/>
        <v>Valid</v>
      </c>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ht="20" customHeight="1" spans="1:52">
      <c r="A38" s="5">
        <v>32</v>
      </c>
      <c r="B38" s="5" t="s">
        <v>147</v>
      </c>
      <c r="C38" s="5" t="s">
        <v>148</v>
      </c>
      <c r="D38" s="5">
        <v>16</v>
      </c>
      <c r="E38" s="5" t="s">
        <v>149</v>
      </c>
      <c r="F38" s="5" t="s">
        <v>150</v>
      </c>
      <c r="G38" s="9">
        <v>89.6258019767644</v>
      </c>
      <c r="H38" s="9" t="s">
        <v>25</v>
      </c>
      <c r="I38" s="9" t="s">
        <v>26</v>
      </c>
      <c r="J38" s="9" t="s">
        <v>25</v>
      </c>
      <c r="K38" s="10">
        <f t="shared" si="0"/>
        <v>1</v>
      </c>
      <c r="L38" s="10">
        <f t="shared" si="1"/>
        <v>2</v>
      </c>
      <c r="M38" s="11" t="str">
        <f t="shared" si="2"/>
        <v>Valid</v>
      </c>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ht="20" customHeight="1" spans="1:52">
      <c r="A39" s="5">
        <v>33</v>
      </c>
      <c r="B39" s="5" t="s">
        <v>151</v>
      </c>
      <c r="C39" s="5" t="s">
        <v>152</v>
      </c>
      <c r="D39" s="5">
        <v>16</v>
      </c>
      <c r="E39" s="5" t="s">
        <v>153</v>
      </c>
      <c r="F39" s="5" t="s">
        <v>154</v>
      </c>
      <c r="G39" s="9">
        <v>87.3972602739726</v>
      </c>
      <c r="H39" s="9" t="s">
        <v>25</v>
      </c>
      <c r="I39" s="9" t="s">
        <v>26</v>
      </c>
      <c r="J39" s="9" t="s">
        <v>25</v>
      </c>
      <c r="K39" s="10">
        <f t="shared" si="0"/>
        <v>1</v>
      </c>
      <c r="L39" s="10">
        <f t="shared" si="1"/>
        <v>2</v>
      </c>
      <c r="M39" s="11" t="str">
        <f t="shared" si="2"/>
        <v>Valid</v>
      </c>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ht="20" customHeight="1" spans="1:52">
      <c r="A40" s="5">
        <v>34</v>
      </c>
      <c r="B40" s="5" t="s">
        <v>155</v>
      </c>
      <c r="C40" s="5" t="s">
        <v>156</v>
      </c>
      <c r="D40" s="5">
        <v>16</v>
      </c>
      <c r="E40" s="5" t="s">
        <v>157</v>
      </c>
      <c r="F40" s="5" t="s">
        <v>158</v>
      </c>
      <c r="G40" s="9">
        <v>88.3461071614358</v>
      </c>
      <c r="H40" s="9" t="s">
        <v>25</v>
      </c>
      <c r="I40" s="9" t="s">
        <v>26</v>
      </c>
      <c r="J40" s="9" t="s">
        <v>25</v>
      </c>
      <c r="K40" s="10">
        <f t="shared" si="0"/>
        <v>1</v>
      </c>
      <c r="L40" s="10">
        <f t="shared" si="1"/>
        <v>2</v>
      </c>
      <c r="M40" s="11" t="str">
        <f t="shared" si="2"/>
        <v>Valid</v>
      </c>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ht="20" customHeight="1" spans="1:52">
      <c r="A41" s="5">
        <v>35</v>
      </c>
      <c r="B41" s="5" t="s">
        <v>159</v>
      </c>
      <c r="C41" s="5" t="s">
        <v>160</v>
      </c>
      <c r="D41" s="5">
        <v>16</v>
      </c>
      <c r="E41" s="5" t="s">
        <v>161</v>
      </c>
      <c r="F41" s="5" t="s">
        <v>162</v>
      </c>
      <c r="G41" s="9">
        <v>89.5224553494018</v>
      </c>
      <c r="H41" s="9" t="s">
        <v>25</v>
      </c>
      <c r="I41" s="9" t="s">
        <v>26</v>
      </c>
      <c r="J41" s="9" t="s">
        <v>25</v>
      </c>
      <c r="K41" s="10">
        <f t="shared" si="0"/>
        <v>1</v>
      </c>
      <c r="L41" s="10">
        <f t="shared" si="1"/>
        <v>2</v>
      </c>
      <c r="M41" s="11" t="str">
        <f t="shared" si="2"/>
        <v>Valid</v>
      </c>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ht="20" customHeight="1" spans="1:52">
      <c r="A42" s="5">
        <v>36</v>
      </c>
      <c r="B42" s="5" t="s">
        <v>163</v>
      </c>
      <c r="C42" s="5" t="s">
        <v>164</v>
      </c>
      <c r="D42" s="5">
        <v>16</v>
      </c>
      <c r="E42" s="5" t="s">
        <v>165</v>
      </c>
      <c r="F42" s="5" t="s">
        <v>166</v>
      </c>
      <c r="G42" s="9">
        <v>90.3305011271025</v>
      </c>
      <c r="H42" s="9" t="s">
        <v>25</v>
      </c>
      <c r="I42" s="9" t="s">
        <v>26</v>
      </c>
      <c r="J42" s="9" t="s">
        <v>25</v>
      </c>
      <c r="K42" s="10">
        <f t="shared" si="0"/>
        <v>1</v>
      </c>
      <c r="L42" s="10">
        <f t="shared" si="1"/>
        <v>2</v>
      </c>
      <c r="M42" s="11" t="str">
        <f t="shared" si="2"/>
        <v>Valid</v>
      </c>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4" ht="15.15" spans="1:1">
      <c r="A44" s="6" t="s">
        <v>167</v>
      </c>
    </row>
    <row r="45" spans="1:1">
      <c r="A45" t="s">
        <v>168</v>
      </c>
    </row>
    <row r="46" spans="1:1">
      <c r="A46" t="s">
        <v>169</v>
      </c>
    </row>
    <row r="47" spans="1:1">
      <c r="A47" t="s">
        <v>170</v>
      </c>
    </row>
    <row r="48" spans="1:1">
      <c r="A48" s="7" t="s">
        <v>171</v>
      </c>
    </row>
    <row r="49" spans="1:1">
      <c r="A49" t="s">
        <v>172</v>
      </c>
    </row>
    <row r="50" spans="1:1">
      <c r="A50" t="s">
        <v>173</v>
      </c>
    </row>
    <row r="51" spans="1:1">
      <c r="A51" t="s">
        <v>174</v>
      </c>
    </row>
    <row r="52" spans="1:1">
      <c r="A52" t="s">
        <v>175</v>
      </c>
    </row>
  </sheetData>
  <sheetProtection password="E249" sheet="1"/>
  <mergeCells count="9">
    <mergeCell ref="H3:J3"/>
    <mergeCell ref="K3:M3"/>
    <mergeCell ref="A3:A6"/>
    <mergeCell ref="B3:B6"/>
    <mergeCell ref="C3:C6"/>
    <mergeCell ref="D3:D6"/>
    <mergeCell ref="E3:E6"/>
    <mergeCell ref="F3:F6"/>
    <mergeCell ref="G3:G6"/>
  </mergeCells>
  <dataValidations count="2">
    <dataValidation type="whole" operator="between" showInputMessage="1" showErrorMessage="1" errorTitle="Input Salah" error="Hanya boleh memasukkan angka antara 1 dan 100." promptTitle="Input Angka" prompt="Masukkan angka antara 1 dan 100." sqref="G7 G8 G9 G10 G11 G12 G13 G14 G15 G16 G17 G18 G19 G20 G21 G22 G23 G24 G25 G26 G27 G28 G29 G30 G31 G32 G33 G34 G35 G36 G37 G38 G39 G40 G41 G42">
      <formula1>1</formula1>
      <formula2>100</formula2>
    </dataValidation>
    <dataValidation type="list" showInputMessage="1" showErrorMessage="1" errorTitle="Input Error" error="Data tidak sesuai list, Silahkan isi dengan T untuk Pencapaian Sangat Optimal atau R untuk Pencapaian yang Perlu Peningkatan" promptTitle="Ketercapaian TP " prompt="T = TP dicapai dengan Sangat Optimal, R = TP masih Perlu Peningkatan" sqref="H7 I7 J7 H8 I8 J8 H9 I9 J9 H10 I10 J10 H11 I11 J11 H12 I12 J12 H13 I13 J13 H14 I14 J14 H15 I15 J15 H16 I16 J16 H17 I17 J17 H18 I18 J18 H19 I19 J19 H20 I20 J20 H21 I21 J21 H22 I22 J22 H23 I23 J23 H24 I24 J24 H25 I25 J25 H26 I26 J26 H27 I27 J27 H28 I28 J28 H29 I29 J29 H30 I30 J30 H31 I31 J31 H32 I32 J32 H33 I33 J33 H34 I34 J34 H35 I35 J35 H36 I36 J36 H37 I37 J37 H38 I38 J38 H39 I39 J39 H40 I40 J40 H41 I41 J41 H42 I42 J42">
      <formula1>"T,R"</formula1>
    </dataValidation>
  </dataValidation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daniarsyah</cp:lastModifiedBy>
  <dcterms:created xsi:type="dcterms:W3CDTF">2025-12-07T12:57:33Z</dcterms:created>
  <dcterms:modified xsi:type="dcterms:W3CDTF">2025-12-07T13:00:52Z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015F3F441E329CDA141835692FC4C86B_42</vt:lpwstr>
  </property>
  <property fmtid="{D5CDD505-2E9C-101B-9397-08002B2CF9AE}" pid="3" name="KSOProductBuildVer">
    <vt:lpwstr>1033-12.1.2.22571</vt:lpwstr>
  </property>
</Properties>
</file>