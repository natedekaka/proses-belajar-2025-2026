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750" windowHeight="1195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<sst xmlns="http://schemas.openxmlformats.org/spreadsheetml/2006/main" count="420" uniqueCount="228">
  <si>
    <t xml:space="preserve">FORMAT IMPORT NILAI RAPOR INFORMATIKA, KELAS  X-02 </t>
  </si>
  <si>
    <t>a1b48e9d-df96-4a27-8c3f-7fc6afa8befb</t>
  </si>
  <si>
    <t>NO</t>
  </si>
  <si>
    <t>NILRPT</t>
  </si>
  <si>
    <t>NISN</t>
  </si>
  <si>
    <t>NAMA SISWA</t>
  </si>
  <si>
    <t>NILAI RAPOR</t>
  </si>
  <si>
    <t>TINGKAT KETERCAPAIAN TP</t>
  </si>
  <si>
    <t>VALIDASI</t>
  </si>
  <si>
    <t>8d504eb0-60c1-4af1-98b6-db3f0d9e0565</t>
  </si>
  <si>
    <t>28085350-99e4-464c-a0b3-1e5ddb14a275</t>
  </si>
  <si>
    <t>164fa34c-94aa-43d3-b024-85af37e6fd8b</t>
  </si>
  <si>
    <t>4034a132-83e7-498b-9272-fa35be2ef877</t>
  </si>
  <si>
    <t>Informatika dan Kemampuan Umum</t>
  </si>
  <si>
    <t>Berpikir Komputasional</t>
  </si>
  <si>
    <t>Teknologi Informasi dan Komunikasi</t>
  </si>
  <si>
    <t>Sistem Komputer</t>
  </si>
  <si>
    <t>TP.1015</t>
  </si>
  <si>
    <t>TP.1016</t>
  </si>
  <si>
    <t>TP.1017</t>
  </si>
  <si>
    <t>TP.1018</t>
  </si>
  <si>
    <t>TR</t>
  </si>
  <si>
    <t>OP</t>
  </si>
  <si>
    <t>NILAI</t>
  </si>
  <si>
    <t>58de6b79-9100-494d-84d6-2c28807ba70f</t>
  </si>
  <si>
    <t>e900e0a1-92b9-40df-bccb-a19017652cdb</t>
  </si>
  <si>
    <t>0102013454</t>
  </si>
  <si>
    <t>AGHNIYA NURUL AENI</t>
  </si>
  <si>
    <t>T</t>
  </si>
  <si>
    <t>R</t>
  </si>
  <si>
    <t>06372c09-5b13-484b-a60a-f99c304f5d80</t>
  </si>
  <si>
    <t>88670356-b4f9-4f2b-8c08-37b8dcb2c2a2</t>
  </si>
  <si>
    <t>0093890203</t>
  </si>
  <si>
    <t>ALIF KHOLIFAH KHOIRUN NISA</t>
  </si>
  <si>
    <t>ba4e34cc-f4ef-4761-a00f-8cf89a0b49d9</t>
  </si>
  <si>
    <t>7d386cf7-58d2-4ee7-a496-36a64c493d81</t>
  </si>
  <si>
    <t>0092320462</t>
  </si>
  <si>
    <t>ANUGRAH ROLAS MARTUA MANALU</t>
  </si>
  <si>
    <t>08c0ebf9-17ce-4f92-99c8-cd2c71e5edd3</t>
  </si>
  <si>
    <t>0c5b3d4c-6e37-47c1-a524-a8bd78574a79</t>
  </si>
  <si>
    <t>0094702205</t>
  </si>
  <si>
    <t>ARGA DEVRIKA HUSAENI</t>
  </si>
  <si>
    <t>d4c09c22-ed4e-4287-a5d7-05576820b31d</t>
  </si>
  <si>
    <t>a411c05a-007d-454f-8704-77bf7da228ba</t>
  </si>
  <si>
    <t>0098240286</t>
  </si>
  <si>
    <t>ASHILA MARSA AULIA</t>
  </si>
  <si>
    <t>26ab6631-3371-487d-b2f0-dcee66ece9e0</t>
  </si>
  <si>
    <t>bbf6b57a-e913-4e13-af75-9f124e2d927c</t>
  </si>
  <si>
    <t>0096630461</t>
  </si>
  <si>
    <t>AYESSHA PUTRI RINALDI</t>
  </si>
  <si>
    <t>f8f1e903-c01f-4a87-bd4e-fb62788e1ad4</t>
  </si>
  <si>
    <t>0ac9f6ce-eddd-44c0-9ba9-166cba3df642</t>
  </si>
  <si>
    <t>0095113644</t>
  </si>
  <si>
    <t>BELLA ANASTASYA HENDRYANI</t>
  </si>
  <si>
    <t>98f0a39e-7d12-4c9d-8cb9-60552de12473</t>
  </si>
  <si>
    <t>18802a3f-6c90-414c-ada8-bcb77b7a956d</t>
  </si>
  <si>
    <t>0099517775</t>
  </si>
  <si>
    <t>BERLI</t>
  </si>
  <si>
    <t>195cca0a-7014-41dc-ad8a-448a6f4d3a81</t>
  </si>
  <si>
    <t>2b8b5154-f4ea-4128-8f16-94b5fc9167af</t>
  </si>
  <si>
    <t>0099418434</t>
  </si>
  <si>
    <t>CUT KEYLA KITAMI</t>
  </si>
  <si>
    <t>c28035d2-c546-4995-810a-da8e72794ccf</t>
  </si>
  <si>
    <t>cd5d8ea0-a1f7-481d-8ea7-06f2cde5a4d3</t>
  </si>
  <si>
    <t>0106582840</t>
  </si>
  <si>
    <t>DAVINA ARDIA ANASTASYA PUTRI</t>
  </si>
  <si>
    <t>8243fbe6-96aa-4d57-82a3-7f9fb1d161f9</t>
  </si>
  <si>
    <t>391149e7-7f88-4ca2-8961-68b212821469</t>
  </si>
  <si>
    <t>0092251221</t>
  </si>
  <si>
    <t>DEA SEPTIANI</t>
  </si>
  <si>
    <t>f930cb46-c1b1-451d-b229-bf620eafa684</t>
  </si>
  <si>
    <t>98c78436-1af0-412c-8ffe-527abd25dd5f</t>
  </si>
  <si>
    <t>0099957477</t>
  </si>
  <si>
    <t>DEVIN RIZKY SETIYO PRANOTO</t>
  </si>
  <si>
    <t>2ba4eec9-46f3-44fd-8d2a-e1e3f49844a4</t>
  </si>
  <si>
    <t>404c621b-b675-43b4-8f1d-17433168b95d</t>
  </si>
  <si>
    <t>0109066312</t>
  </si>
  <si>
    <t>FADIL FADILAH</t>
  </si>
  <si>
    <t>4d9ab917-ec84-46bd-87d9-956e688943b4</t>
  </si>
  <si>
    <t>4194e184-e9fa-4404-99fc-8c076550a2ea</t>
  </si>
  <si>
    <t>0095321713</t>
  </si>
  <si>
    <t>FRISCA CECILIA</t>
  </si>
  <si>
    <t>9c93f323-06c2-4fdb-984b-e2b5da3ac452</t>
  </si>
  <si>
    <t>f195d1e6-80b7-4074-8550-ac6c4f0da5be</t>
  </si>
  <si>
    <t>0106561979</t>
  </si>
  <si>
    <t>GABRIELA FUNNY TAMBUNAN</t>
  </si>
  <si>
    <t>debf03d3-e893-4ed1-854c-2c879fa6456f</t>
  </si>
  <si>
    <t>a33302cb-7b42-4ac7-bc28-e74a3c73893a</t>
  </si>
  <si>
    <t>0104553910</t>
  </si>
  <si>
    <t>GIO RAY ANDHIKA ANWAR</t>
  </si>
  <si>
    <t>c2b5e92e-4c76-45f8-9b3c-fe7b152d8655</t>
  </si>
  <si>
    <t>07cf0b63-298f-47e5-964b-5dbfbb51e662</t>
  </si>
  <si>
    <t>0095257514</t>
  </si>
  <si>
    <t>HABIB RISKI AL BHANI</t>
  </si>
  <si>
    <t>e3298c81-5836-4d85-804a-c89809212ee2</t>
  </si>
  <si>
    <t>de50521b-be6e-436d-85ff-83e13affac76</t>
  </si>
  <si>
    <t>0097147868</t>
  </si>
  <si>
    <t>IKHSAN NUR SALEH</t>
  </si>
  <si>
    <t>ef48cd3b-8581-4cca-92d1-5a347578abce</t>
  </si>
  <si>
    <t>97a8cecc-43bd-4aff-8491-3e7ad367883b</t>
  </si>
  <si>
    <t>0094086248</t>
  </si>
  <si>
    <t>IKRAM GIBRAN DZIAULHAQ</t>
  </si>
  <si>
    <t>92c4e792-f487-4295-b6c0-70dc92cabd5b</t>
  </si>
  <si>
    <t>839729a2-d583-4fc5-b38e-2542b6298e72</t>
  </si>
  <si>
    <t>0104612361</t>
  </si>
  <si>
    <t>IREN SYAFITRI</t>
  </si>
  <si>
    <t>bb5bffd9-7125-419e-8473-180bca3a8958</t>
  </si>
  <si>
    <t>637c71e3-6ed6-4678-9815-4068727dbfdd</t>
  </si>
  <si>
    <t>0093546032</t>
  </si>
  <si>
    <t>LAILA FITRIA</t>
  </si>
  <si>
    <t>c4b5387c-e996-42f6-bf25-acc27c42f6a6</t>
  </si>
  <si>
    <t>6a1b6102-d386-4393-b522-a142e9d504ce</t>
  </si>
  <si>
    <t>0101777497</t>
  </si>
  <si>
    <t>MEIKAL PUTRA BANI PERDANA</t>
  </si>
  <si>
    <t>a03d0b80-37f0-4bcb-a58b-581bb8955176</t>
  </si>
  <si>
    <t>0e21f44d-d499-4a41-9d6d-d02f39c11125</t>
  </si>
  <si>
    <t>0104986863</t>
  </si>
  <si>
    <t>MOHAMAD ARIF NURROHMAN</t>
  </si>
  <si>
    <t>e59e8bee-a18e-4ba1-b689-42b1519ccb33</t>
  </si>
  <si>
    <t>6e6eb6c2-1947-46d7-9cb9-78e472ec5173</t>
  </si>
  <si>
    <t>0096457486</t>
  </si>
  <si>
    <t>MUHAMMAD DHAFIN AR RAZI</t>
  </si>
  <si>
    <t>3ea30e8f-a9b0-42b5-b6c7-9a9fae791251</t>
  </si>
  <si>
    <t>7159306a-9725-452c-8ca6-8fd87584fbad</t>
  </si>
  <si>
    <t>0099964275</t>
  </si>
  <si>
    <t>MUHAMMAD RAIHAN</t>
  </si>
  <si>
    <t>36a1578f-f2c3-4b1d-95a9-5f288744c4bf</t>
  </si>
  <si>
    <t>30230d22-14c3-42c9-822d-8ca3f4c6581b</t>
  </si>
  <si>
    <t>3096412917</t>
  </si>
  <si>
    <t>MUHAMMAD REZA ABDILLAH</t>
  </si>
  <si>
    <t>bd1cc04b-3b5e-4787-9054-7123096bbcd0</t>
  </si>
  <si>
    <t>ec4782fc-f0cd-4bf0-969d-30893adf3b43</t>
  </si>
  <si>
    <t>0097960712</t>
  </si>
  <si>
    <t>NABILA MUFIDA WIBOWO</t>
  </si>
  <si>
    <t>96d8191d-1dc5-40ac-afaf-7875da460cba</t>
  </si>
  <si>
    <t>335d9936-0192-4af0-8709-f32a12ce5354</t>
  </si>
  <si>
    <t>0093285040</t>
  </si>
  <si>
    <t>NABILLA PUTRI RAHAYU</t>
  </si>
  <si>
    <t>f15d6161-576e-4107-8767-4a0f51722670</t>
  </si>
  <si>
    <t>a2946ab0-1e58-44fe-967e-6ab1cc780365</t>
  </si>
  <si>
    <t>0104093360</t>
  </si>
  <si>
    <t>NADIVA NURUL ASYIFA</t>
  </si>
  <si>
    <t>3f72b625-dd8a-4c0b-8905-bda02966358e</t>
  </si>
  <si>
    <t>20cb7b75-df61-4d0f-9452-00b6eeb154c7</t>
  </si>
  <si>
    <t>0106946745</t>
  </si>
  <si>
    <t>NAFA HANIFAH FEBRIANI</t>
  </si>
  <si>
    <t>ecb2b69e-83c5-47fd-b800-b8e69e65bc5d</t>
  </si>
  <si>
    <t>30be4205-cf7f-40ea-af49-237dc8702221</t>
  </si>
  <si>
    <t>0104433358</t>
  </si>
  <si>
    <t>NANDA SHAFA KIRANA</t>
  </si>
  <si>
    <t>981204df-958b-4d87-8143-9148cfb06396</t>
  </si>
  <si>
    <t>68b86fa4-b874-4bca-9895-8f015db1aea9</t>
  </si>
  <si>
    <t>0093682099</t>
  </si>
  <si>
    <t>NAZWA AULIA SALSABILA</t>
  </si>
  <si>
    <t>da4f62ea-3173-4abe-be88-88a1b7afe3be</t>
  </si>
  <si>
    <t>02cb1e77-3d82-4175-ba97-66a538f1d356</t>
  </si>
  <si>
    <t>0096301062</t>
  </si>
  <si>
    <t>NUR FADILLAH</t>
  </si>
  <si>
    <t>89f9c28a-b2e0-4cb8-a300-3352400af5b7</t>
  </si>
  <si>
    <t>507f36c1-4d98-4e65-ba6d-b00b3e22c360</t>
  </si>
  <si>
    <t>0106409372</t>
  </si>
  <si>
    <t>NURRAKHMANITA AZZAHRA</t>
  </si>
  <si>
    <t>18b6d2fc-32ef-48a9-915f-92d40f059bce</t>
  </si>
  <si>
    <t>8d178e1b-b0a9-48ca-947e-fc4075429102</t>
  </si>
  <si>
    <t>0092199743</t>
  </si>
  <si>
    <t>QEANO OKTAVIA SWARANANDA</t>
  </si>
  <si>
    <t>8fae35b0-d473-4d11-9f27-769dc6eb0003</t>
  </si>
  <si>
    <t>905402be-187d-42b5-9d6d-849de13cd1d1</t>
  </si>
  <si>
    <t>3098727235</t>
  </si>
  <si>
    <t>QIARA PUTRI AZURA</t>
  </si>
  <si>
    <t>70a26cb5-19e8-431f-9093-db5d8adcea2a</t>
  </si>
  <si>
    <t>057d8762-9ab6-4540-8292-1747fcd23eb5</t>
  </si>
  <si>
    <t>0097514805</t>
  </si>
  <si>
    <t>RAFLI ABDUL MAULANA</t>
  </si>
  <si>
    <t>99c1308e-d2d5-4628-af91-b88892c2e62d</t>
  </si>
  <si>
    <t>11cced7a-62e9-4dc5-9588-39642635c917</t>
  </si>
  <si>
    <t>0096988018</t>
  </si>
  <si>
    <t>RANGGA DWI KURNIYANTO</t>
  </si>
  <si>
    <t>3f3c40e6-973d-4460-aa9c-659d7805e904</t>
  </si>
  <si>
    <t>af4977f4-1842-458f-8937-f6b4155e2e4b</t>
  </si>
  <si>
    <t>0094538843</t>
  </si>
  <si>
    <t>REIYA AZREL KUNKEYRA</t>
  </si>
  <si>
    <t>a480b3a0-3542-4c6f-a023-25d0d5e16dda</t>
  </si>
  <si>
    <t>76d325cb-db11-41d6-b52e-bf7710aa9291</t>
  </si>
  <si>
    <t>0105716730</t>
  </si>
  <si>
    <t>REVINA FEBRIANTI</t>
  </si>
  <si>
    <t>042bc8a1-cc21-4a0c-b2b7-ea708cbe2034</t>
  </si>
  <si>
    <t>2f5c6031-e868-43c2-857d-ae8b3af7954d</t>
  </si>
  <si>
    <t>0091512312</t>
  </si>
  <si>
    <t>REYSA NUR'AENI</t>
  </si>
  <si>
    <t>86a0abb6-12ff-4d95-bd7c-9a2ef105fee4</t>
  </si>
  <si>
    <t>ee10ef05-0ea4-425d-bedd-e830efe351fc</t>
  </si>
  <si>
    <t>0097536978</t>
  </si>
  <si>
    <t>RICKY FIRMAN HERDIANSYAH</t>
  </si>
  <si>
    <t>fda09f52-7652-480e-a592-15ce1b27b1af</t>
  </si>
  <si>
    <t>9f26baf0-5a5d-4c00-9127-a411556c497d</t>
  </si>
  <si>
    <t>0109712566</t>
  </si>
  <si>
    <t>RINDU ZIDNI ZAKIA</t>
  </si>
  <si>
    <t>9f5acb23-28bf-4fee-b573-17f2ebd7840e</t>
  </si>
  <si>
    <t>f7eba2e1-5e8d-4b51-8b2d-690c3f1f58ee</t>
  </si>
  <si>
    <t>0102506916</t>
  </si>
  <si>
    <t>SAEFUDYN MUHAMMAD AF GHANY</t>
  </si>
  <si>
    <t>cf063d93-0aca-48e7-9013-6ab8c92c8a73</t>
  </si>
  <si>
    <t>925f4d1d-21f4-472c-b419-5db9f8e5a16a</t>
  </si>
  <si>
    <t>0091521030</t>
  </si>
  <si>
    <t>SHANDY AWALUDIN</t>
  </si>
  <si>
    <t>f0ecb842-e1b5-4629-9db2-781d7a8e8988</t>
  </si>
  <si>
    <t>9140dac5-e26e-4031-bdb5-c3172fcc42f0</t>
  </si>
  <si>
    <t>0093717009</t>
  </si>
  <si>
    <t>SINTIA NURAINI</t>
  </si>
  <si>
    <t>0a3357f5-b2d2-45a0-be3e-d1622562835a</t>
  </si>
  <si>
    <t>e3884f56-99e1-4a9a-be6a-85d3f3dcfd87</t>
  </si>
  <si>
    <t>0093085474</t>
  </si>
  <si>
    <t>SITI MAEMUNAH RAHMADANI</t>
  </si>
  <si>
    <t>37ce9903-f193-4351-bfa3-89c9626a503f</t>
  </si>
  <si>
    <t>36040054-34ed-4b95-8bc6-b600e28126d1</t>
  </si>
  <si>
    <t>0091819121</t>
  </si>
  <si>
    <t>SYAHRINY OKTAVIANI RAHAYU</t>
  </si>
  <si>
    <t>KETERANGAN :</t>
  </si>
  <si>
    <t xml:space="preserve"> &gt; TP.1015 : Informatika dan Kemampuan Umum</t>
  </si>
  <si>
    <t xml:space="preserve"> &gt; TP.1016 : Berpikir Komputasional</t>
  </si>
  <si>
    <t xml:space="preserve"> &gt; TP.1017 : Teknologi Informasi dan Komunikasi</t>
  </si>
  <si>
    <t xml:space="preserve"> &gt; TP.1018 : Sistem Komputer</t>
  </si>
  <si>
    <t>Catatan Validasi:</t>
  </si>
  <si>
    <t xml:space="preserve"> &gt; Jika Nilai Rapor Siswa kurang dari 100, silahkah dipilih Tujuan Pembelajaran mana saja yang masih perlu peningkatan (minimal 1)</t>
  </si>
  <si>
    <t xml:space="preserve"> &gt; Selain memilih Tujuan Pembelajaran yang masih perlu peningkatan, pilih juga Tujuan Pembelajaran yang mana saja sudah dicapai dengan sangat optimal (minimal 1)</t>
  </si>
  <si>
    <t xml:space="preserve"> &gt; Tidak mesti semua Tujuan Pembelajaran yarus dipilih, minimal pilih satu yang paling optimal dan satu yang paling minimal</t>
  </si>
  <si>
    <t xml:space="preserve"> &gt; Pahami Konsep Pembelajaran dan Asesmen sebagaimana telah dimuat pada Buku Panduan PPA agar tidak keliru dalam memahami format nilai rapor ini.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</si>
</sst>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rgb="FF000000"/>
      <name val="Calibri"/>
      <charset val="134"/>
    </font>
    <font>
      <b/>
      <sz val="14"/>
      <color rgb="FF000000"/>
      <name val="Calibri"/>
      <charset val="134"/>
    </font>
    <font>
      <b/>
      <sz val="12"/>
      <color rgb="FFFFFFFF"/>
      <name val="Calibri"/>
      <charset val="134"/>
    </font>
    <font>
      <b/>
      <sz val="11"/>
      <color rgb="FFFFFFFF"/>
      <name val="Calibri"/>
      <charset val="134"/>
    </font>
    <font>
      <b/>
      <sz val="12"/>
      <color rgb="FF000000"/>
      <name val="Calibri"/>
      <charset val="134"/>
    </font>
    <font>
      <b/>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4F81BD"/>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2">
    <xf numFmtId="0" fontId="0" fillId="0" borderId="0" xfId="0"/>
    <xf numFmtId="0" fontId="1" fillId="0" borderId="0" xfId="0" applyFont="1" applyProtection="1"/>
    <xf numFmtId="0" fontId="0" fillId="0" borderId="0" xfId="0" applyProtection="1"/>
    <xf numFmtId="0" fontId="2" fillId="2" borderId="1" xfId="0" applyFont="1" applyFill="1" applyBorder="1" applyAlignment="1" applyProtection="1">
      <alignment horizontal="center" vertical="center"/>
    </xf>
    <xf numFmtId="0" fontId="3" fillId="2" borderId="1" xfId="0" applyFont="1" applyFill="1" applyBorder="1" applyAlignment="1" applyProtection="1">
      <alignment horizontal="center" vertical="top" wrapText="1"/>
    </xf>
    <xf numFmtId="0" fontId="0" fillId="0" borderId="1" xfId="0" applyBorder="1" applyAlignment="1" applyProtection="1">
      <alignment vertical="top" wrapText="1"/>
    </xf>
    <xf numFmtId="0" fontId="4" fillId="0" borderId="0" xfId="0" applyFont="1"/>
    <xf numFmtId="0" fontId="5" fillId="0" borderId="0" xfId="0" applyFont="1"/>
    <xf numFmtId="0" fontId="3" fillId="2" borderId="1" xfId="0" applyFont="1" applyFill="1" applyBorder="1" applyAlignment="1" applyProtection="1">
      <alignment horizontal="center" vertical="top" wrapText="1"/>
      <protection locked="0"/>
    </xf>
    <xf numFmtId="0" fontId="0" fillId="0" borderId="1" xfId="0" applyBorder="1" applyAlignment="1" applyProtection="1">
      <alignment horizontal="center" vertical="top" wrapText="1"/>
      <protection locked="0"/>
    </xf>
    <xf numFmtId="0" fontId="0" fillId="0" borderId="1" xfId="0" applyBorder="1" applyAlignment="1" applyProtection="1">
      <alignment horizontal="center" vertical="top" wrapText="1"/>
    </xf>
    <xf numFmtId="0" fontId="0" fillId="0" borderId="1" xfId="0" applyBorder="1" applyAlignment="1" applyProtection="1">
      <alignment vertical="top" wrapText="1"/>
      <protection hidden="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65"/>
  <sheetViews>
    <sheetView tabSelected="1" workbookViewId="0">
      <selection activeCell="J16" sqref="J16"/>
    </sheetView>
  </sheetViews>
  <sheetFormatPr defaultColWidth="9" defaultRowHeight="14.4"/>
  <cols>
    <col min="1" max="1" width="5" customWidth="1"/>
    <col min="2" max="4" width="9" hidden="1" customWidth="1"/>
    <col min="5" max="5" width="13" customWidth="1"/>
    <col min="6" max="6" width="34.1333333333333" customWidth="1"/>
    <col min="7" max="7" width="17.7083333333333" customWidth="1"/>
    <col min="8" max="11" width="10" customWidth="1"/>
    <col min="12" max="13" width="9" hidden="1" customWidth="1"/>
    <col min="14" max="14" width="15" customWidth="1"/>
  </cols>
  <sheetData>
    <row r="1" ht="17.4" spans="1:52">
      <c r="A1" s="1" t="s">
        <v>0</v>
      </c>
      <c r="B1" s="2">
        <v>14</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s="2"/>
      <c r="B2" s="2">
        <v>54</v>
      </c>
      <c r="C2" s="2" t="s">
        <v>1</v>
      </c>
      <c r="D2" s="2">
        <v>700106100</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ht="25" customHeight="1" spans="1:52">
      <c r="A3" s="3" t="s">
        <v>2</v>
      </c>
      <c r="B3" s="3" t="s">
        <v>3</v>
      </c>
      <c r="C3" s="3" t="s">
        <v>3</v>
      </c>
      <c r="D3" s="3" t="s">
        <v>3</v>
      </c>
      <c r="E3" s="3" t="s">
        <v>4</v>
      </c>
      <c r="F3" s="3" t="s">
        <v>5</v>
      </c>
      <c r="G3" s="3" t="s">
        <v>6</v>
      </c>
      <c r="H3" s="3" t="s">
        <v>7</v>
      </c>
      <c r="I3" s="3"/>
      <c r="J3" s="3"/>
      <c r="K3" s="3"/>
      <c r="L3" s="3" t="s">
        <v>8</v>
      </c>
      <c r="M3" s="3"/>
      <c r="N3" s="3"/>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hidden="1" customHeight="1" spans="1:52">
      <c r="A4" s="4"/>
      <c r="B4" s="4"/>
      <c r="C4" s="4"/>
      <c r="D4" s="4"/>
      <c r="E4" s="4"/>
      <c r="F4" s="4"/>
      <c r="G4" s="8"/>
      <c r="H4" s="8" t="s">
        <v>9</v>
      </c>
      <c r="I4" s="8" t="s">
        <v>10</v>
      </c>
      <c r="J4" s="8" t="s">
        <v>11</v>
      </c>
      <c r="K4" s="8" t="s">
        <v>12</v>
      </c>
      <c r="L4" s="4"/>
      <c r="M4" s="4"/>
      <c r="N4" s="4"/>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hidden="1" customHeight="1" spans="1:52">
      <c r="A5" s="4"/>
      <c r="B5" s="4"/>
      <c r="C5" s="4"/>
      <c r="D5" s="4"/>
      <c r="E5" s="4"/>
      <c r="F5" s="4"/>
      <c r="G5" s="8"/>
      <c r="H5" s="8" t="s">
        <v>13</v>
      </c>
      <c r="I5" s="8" t="s">
        <v>14</v>
      </c>
      <c r="J5" s="8" t="s">
        <v>15</v>
      </c>
      <c r="K5" s="8" t="s">
        <v>16</v>
      </c>
      <c r="L5" s="4"/>
      <c r="M5" s="4"/>
      <c r="N5" s="4"/>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ht="15" spans="1:52">
      <c r="A6" s="4"/>
      <c r="B6" s="4"/>
      <c r="C6" s="4"/>
      <c r="D6" s="4"/>
      <c r="E6" s="4"/>
      <c r="F6" s="4"/>
      <c r="G6" s="8"/>
      <c r="H6" s="8" t="s">
        <v>17</v>
      </c>
      <c r="I6" s="8" t="s">
        <v>18</v>
      </c>
      <c r="J6" s="8" t="s">
        <v>19</v>
      </c>
      <c r="K6" s="8" t="s">
        <v>20</v>
      </c>
      <c r="L6" s="4" t="s">
        <v>21</v>
      </c>
      <c r="M6" s="4" t="s">
        <v>22</v>
      </c>
      <c r="N6" s="4" t="s">
        <v>23</v>
      </c>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ht="20" customHeight="1" spans="1:52">
      <c r="A7" s="5">
        <v>1</v>
      </c>
      <c r="B7" s="5" t="s">
        <v>24</v>
      </c>
      <c r="C7" s="5" t="s">
        <v>25</v>
      </c>
      <c r="D7" s="5">
        <v>1</v>
      </c>
      <c r="E7" s="5" t="s">
        <v>26</v>
      </c>
      <c r="F7" s="5" t="s">
        <v>27</v>
      </c>
      <c r="G7" s="9">
        <v>87.7804796082479</v>
      </c>
      <c r="H7" s="9" t="s">
        <v>28</v>
      </c>
      <c r="I7" s="9" t="s">
        <v>28</v>
      </c>
      <c r="J7" s="9" t="s">
        <v>29</v>
      </c>
      <c r="K7" s="9" t="s">
        <v>28</v>
      </c>
      <c r="L7" s="10">
        <f t="shared" ref="L7:L54" si="0">COUNTIF(H7:K7,"R")</f>
        <v>1</v>
      </c>
      <c r="M7" s="10">
        <f t="shared" ref="M7:M54" si="1">COUNTIF(H7:K7,"T")</f>
        <v>3</v>
      </c>
      <c r="N7" s="11" t="str">
        <f t="shared" ref="N7:N54" si="2">IF(G7="","",IF(G7=100,IF(L7&gt;0,"Tidak Valid",IF((L7+M7)&gt;0,"Valid","Tidak Valid")),IF(L7=0,"Tidak Valid",IF((L7+M7)&gt;0,"Valid","Tidak Valid"))))</f>
        <v>Valid</v>
      </c>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ht="20" customHeight="1" spans="1:52">
      <c r="A8" s="5">
        <v>2</v>
      </c>
      <c r="B8" s="5" t="s">
        <v>30</v>
      </c>
      <c r="C8" s="5" t="s">
        <v>31</v>
      </c>
      <c r="D8" s="5">
        <v>1</v>
      </c>
      <c r="E8" s="5" t="s">
        <v>32</v>
      </c>
      <c r="F8" s="5" t="s">
        <v>33</v>
      </c>
      <c r="G8" s="9">
        <v>89.0140185794186</v>
      </c>
      <c r="H8" s="9" t="s">
        <v>28</v>
      </c>
      <c r="I8" s="9" t="s">
        <v>28</v>
      </c>
      <c r="J8" s="9" t="s">
        <v>29</v>
      </c>
      <c r="K8" s="9" t="s">
        <v>28</v>
      </c>
      <c r="L8" s="10">
        <f t="shared" si="0"/>
        <v>1</v>
      </c>
      <c r="M8" s="10">
        <f t="shared" si="1"/>
        <v>3</v>
      </c>
      <c r="N8" s="11" t="str">
        <f t="shared" si="2"/>
        <v>Valid</v>
      </c>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ht="20" customHeight="1" spans="1:52">
      <c r="A9" s="5">
        <v>3</v>
      </c>
      <c r="B9" s="5" t="s">
        <v>34</v>
      </c>
      <c r="C9" s="5" t="s">
        <v>35</v>
      </c>
      <c r="D9" s="5">
        <v>1</v>
      </c>
      <c r="E9" s="5" t="s">
        <v>36</v>
      </c>
      <c r="F9" s="5" t="s">
        <v>37</v>
      </c>
      <c r="G9" s="9">
        <v>87.8599822367316</v>
      </c>
      <c r="H9" s="9" t="s">
        <v>28</v>
      </c>
      <c r="I9" s="9" t="s">
        <v>28</v>
      </c>
      <c r="J9" s="9" t="s">
        <v>29</v>
      </c>
      <c r="K9" s="9" t="s">
        <v>28</v>
      </c>
      <c r="L9" s="10">
        <f t="shared" si="0"/>
        <v>1</v>
      </c>
      <c r="M9" s="10">
        <f t="shared" si="1"/>
        <v>3</v>
      </c>
      <c r="N9" s="11" t="str">
        <f t="shared" si="2"/>
        <v>Valid</v>
      </c>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ht="20" customHeight="1" spans="1:52">
      <c r="A10" s="5">
        <v>4</v>
      </c>
      <c r="B10" s="5" t="s">
        <v>38</v>
      </c>
      <c r="C10" s="5" t="s">
        <v>39</v>
      </c>
      <c r="D10" s="5">
        <v>1</v>
      </c>
      <c r="E10" s="5" t="s">
        <v>40</v>
      </c>
      <c r="F10" s="5" t="s">
        <v>41</v>
      </c>
      <c r="G10" s="9">
        <v>89.7597878009554</v>
      </c>
      <c r="H10" s="9" t="s">
        <v>28</v>
      </c>
      <c r="I10" s="9" t="s">
        <v>28</v>
      </c>
      <c r="J10" s="9" t="s">
        <v>29</v>
      </c>
      <c r="K10" s="9" t="s">
        <v>28</v>
      </c>
      <c r="L10" s="10">
        <f t="shared" si="0"/>
        <v>1</v>
      </c>
      <c r="M10" s="10">
        <f t="shared" si="1"/>
        <v>3</v>
      </c>
      <c r="N10" s="11" t="str">
        <f t="shared" si="2"/>
        <v>Valid</v>
      </c>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ht="20" customHeight="1" spans="1:52">
      <c r="A11" s="5">
        <v>5</v>
      </c>
      <c r="B11" s="5" t="s">
        <v>42</v>
      </c>
      <c r="C11" s="5" t="s">
        <v>43</v>
      </c>
      <c r="D11" s="5">
        <v>1</v>
      </c>
      <c r="E11" s="5" t="s">
        <v>44</v>
      </c>
      <c r="F11" s="5" t="s">
        <v>45</v>
      </c>
      <c r="G11" s="9">
        <v>87.5216159773398</v>
      </c>
      <c r="H11" s="9" t="s">
        <v>28</v>
      </c>
      <c r="I11" s="9" t="s">
        <v>28</v>
      </c>
      <c r="J11" s="9" t="s">
        <v>29</v>
      </c>
      <c r="K11" s="9" t="s">
        <v>28</v>
      </c>
      <c r="L11" s="10">
        <f t="shared" si="0"/>
        <v>1</v>
      </c>
      <c r="M11" s="10">
        <f t="shared" si="1"/>
        <v>3</v>
      </c>
      <c r="N11" s="11" t="str">
        <f t="shared" si="2"/>
        <v>Valid</v>
      </c>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ht="20" customHeight="1" spans="1:52">
      <c r="A12" s="5">
        <v>6</v>
      </c>
      <c r="B12" s="5" t="s">
        <v>46</v>
      </c>
      <c r="C12" s="5" t="s">
        <v>47</v>
      </c>
      <c r="D12" s="5">
        <v>1</v>
      </c>
      <c r="E12" s="5" t="s">
        <v>48</v>
      </c>
      <c r="F12" s="5" t="s">
        <v>49</v>
      </c>
      <c r="G12" s="9">
        <v>89.6013586499916</v>
      </c>
      <c r="H12" s="9" t="s">
        <v>28</v>
      </c>
      <c r="I12" s="9" t="s">
        <v>28</v>
      </c>
      <c r="J12" s="9" t="s">
        <v>29</v>
      </c>
      <c r="K12" s="9" t="s">
        <v>28</v>
      </c>
      <c r="L12" s="10">
        <f t="shared" si="0"/>
        <v>1</v>
      </c>
      <c r="M12" s="10">
        <f t="shared" si="1"/>
        <v>3</v>
      </c>
      <c r="N12" s="11" t="str">
        <f t="shared" si="2"/>
        <v>Valid</v>
      </c>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ht="20" customHeight="1" spans="1:52">
      <c r="A13" s="5">
        <v>7</v>
      </c>
      <c r="B13" s="5" t="s">
        <v>50</v>
      </c>
      <c r="C13" s="5" t="s">
        <v>51</v>
      </c>
      <c r="D13" s="5">
        <v>1</v>
      </c>
      <c r="E13" s="5" t="s">
        <v>52</v>
      </c>
      <c r="F13" s="5" t="s">
        <v>53</v>
      </c>
      <c r="G13" s="9">
        <v>89.3778295206318</v>
      </c>
      <c r="H13" s="9" t="s">
        <v>28</v>
      </c>
      <c r="I13" s="9" t="s">
        <v>28</v>
      </c>
      <c r="J13" s="9" t="s">
        <v>29</v>
      </c>
      <c r="K13" s="9" t="s">
        <v>28</v>
      </c>
      <c r="L13" s="10">
        <f t="shared" si="0"/>
        <v>1</v>
      </c>
      <c r="M13" s="10">
        <f t="shared" si="1"/>
        <v>3</v>
      </c>
      <c r="N13" s="11" t="str">
        <f t="shared" si="2"/>
        <v>Valid</v>
      </c>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ht="20" customHeight="1" spans="1:52">
      <c r="A14" s="5">
        <v>8</v>
      </c>
      <c r="B14" s="5" t="s">
        <v>54</v>
      </c>
      <c r="C14" s="5" t="s">
        <v>55</v>
      </c>
      <c r="D14" s="5">
        <v>1</v>
      </c>
      <c r="E14" s="5" t="s">
        <v>56</v>
      </c>
      <c r="F14" s="5" t="s">
        <v>57</v>
      </c>
      <c r="G14" s="9">
        <v>83.2164718308169</v>
      </c>
      <c r="H14" s="9" t="s">
        <v>28</v>
      </c>
      <c r="I14" s="9" t="s">
        <v>28</v>
      </c>
      <c r="J14" s="9" t="s">
        <v>29</v>
      </c>
      <c r="K14" s="9" t="s">
        <v>28</v>
      </c>
      <c r="L14" s="10">
        <f t="shared" si="0"/>
        <v>1</v>
      </c>
      <c r="M14" s="10">
        <f t="shared" si="1"/>
        <v>3</v>
      </c>
      <c r="N14" s="11" t="str">
        <f t="shared" si="2"/>
        <v>Valid</v>
      </c>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ht="20" customHeight="1" spans="1:52">
      <c r="A15" s="5">
        <v>9</v>
      </c>
      <c r="B15" s="5" t="s">
        <v>58</v>
      </c>
      <c r="C15" s="5" t="s">
        <v>59</v>
      </c>
      <c r="D15" s="5">
        <v>1</v>
      </c>
      <c r="E15" s="5" t="s">
        <v>60</v>
      </c>
      <c r="F15" s="5" t="s">
        <v>61</v>
      </c>
      <c r="G15" s="9">
        <v>89.7096665786505</v>
      </c>
      <c r="H15" s="9" t="s">
        <v>28</v>
      </c>
      <c r="I15" s="9" t="s">
        <v>28</v>
      </c>
      <c r="J15" s="9" t="s">
        <v>29</v>
      </c>
      <c r="K15" s="9" t="s">
        <v>28</v>
      </c>
      <c r="L15" s="10">
        <f t="shared" si="0"/>
        <v>1</v>
      </c>
      <c r="M15" s="10">
        <f t="shared" si="1"/>
        <v>3</v>
      </c>
      <c r="N15" s="11" t="str">
        <f t="shared" si="2"/>
        <v>Valid</v>
      </c>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ht="20" customHeight="1" spans="1:52">
      <c r="A16" s="5">
        <v>10</v>
      </c>
      <c r="B16" s="5" t="s">
        <v>62</v>
      </c>
      <c r="C16" s="5" t="s">
        <v>63</v>
      </c>
      <c r="D16" s="5">
        <v>1</v>
      </c>
      <c r="E16" s="5" t="s">
        <v>64</v>
      </c>
      <c r="F16" s="5" t="s">
        <v>65</v>
      </c>
      <c r="G16" s="9">
        <v>89.5005400993783</v>
      </c>
      <c r="H16" s="9" t="s">
        <v>28</v>
      </c>
      <c r="I16" s="9" t="s">
        <v>28</v>
      </c>
      <c r="J16" s="9" t="s">
        <v>29</v>
      </c>
      <c r="K16" s="9" t="s">
        <v>28</v>
      </c>
      <c r="L16" s="10">
        <f t="shared" si="0"/>
        <v>1</v>
      </c>
      <c r="M16" s="10">
        <f t="shared" si="1"/>
        <v>3</v>
      </c>
      <c r="N16" s="11" t="str">
        <f t="shared" si="2"/>
        <v>Valid</v>
      </c>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ht="20" customHeight="1" spans="1:52">
      <c r="A17" s="5">
        <v>11</v>
      </c>
      <c r="B17" s="5" t="s">
        <v>66</v>
      </c>
      <c r="C17" s="5" t="s">
        <v>67</v>
      </c>
      <c r="D17" s="5">
        <v>1</v>
      </c>
      <c r="E17" s="5" t="s">
        <v>68</v>
      </c>
      <c r="F17" s="5" t="s">
        <v>69</v>
      </c>
      <c r="G17" s="9">
        <v>89.6612016611057</v>
      </c>
      <c r="H17" s="9" t="s">
        <v>28</v>
      </c>
      <c r="I17" s="9" t="s">
        <v>28</v>
      </c>
      <c r="J17" s="9" t="s">
        <v>29</v>
      </c>
      <c r="K17" s="9" t="s">
        <v>28</v>
      </c>
      <c r="L17" s="10">
        <f t="shared" si="0"/>
        <v>1</v>
      </c>
      <c r="M17" s="10">
        <f t="shared" si="1"/>
        <v>3</v>
      </c>
      <c r="N17" s="11" t="str">
        <f t="shared" si="2"/>
        <v>Valid</v>
      </c>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ht="20" customHeight="1" spans="1:52">
      <c r="A18" s="5">
        <v>12</v>
      </c>
      <c r="B18" s="5" t="s">
        <v>70</v>
      </c>
      <c r="C18" s="5" t="s">
        <v>71</v>
      </c>
      <c r="D18" s="5">
        <v>1</v>
      </c>
      <c r="E18" s="5" t="s">
        <v>72</v>
      </c>
      <c r="F18" s="5" t="s">
        <v>73</v>
      </c>
      <c r="G18" s="9">
        <v>89.8104851292638</v>
      </c>
      <c r="H18" s="9" t="s">
        <v>28</v>
      </c>
      <c r="I18" s="9" t="s">
        <v>28</v>
      </c>
      <c r="J18" s="9" t="s">
        <v>29</v>
      </c>
      <c r="K18" s="9" t="s">
        <v>28</v>
      </c>
      <c r="L18" s="10">
        <f t="shared" si="0"/>
        <v>1</v>
      </c>
      <c r="M18" s="10">
        <f t="shared" si="1"/>
        <v>3</v>
      </c>
      <c r="N18" s="11" t="str">
        <f t="shared" si="2"/>
        <v>Valid</v>
      </c>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ht="20" customHeight="1" spans="1:52">
      <c r="A19" s="5">
        <v>13</v>
      </c>
      <c r="B19" s="5" t="s">
        <v>74</v>
      </c>
      <c r="C19" s="5" t="s">
        <v>75</v>
      </c>
      <c r="D19" s="5">
        <v>1</v>
      </c>
      <c r="E19" s="5" t="s">
        <v>76</v>
      </c>
      <c r="F19" s="5" t="s">
        <v>77</v>
      </c>
      <c r="G19" s="9">
        <v>87.8581819054706</v>
      </c>
      <c r="H19" s="9" t="s">
        <v>28</v>
      </c>
      <c r="I19" s="9" t="s">
        <v>28</v>
      </c>
      <c r="J19" s="9" t="s">
        <v>29</v>
      </c>
      <c r="K19" s="9" t="s">
        <v>28</v>
      </c>
      <c r="L19" s="10">
        <f t="shared" si="0"/>
        <v>1</v>
      </c>
      <c r="M19" s="10">
        <f t="shared" si="1"/>
        <v>3</v>
      </c>
      <c r="N19" s="11" t="str">
        <f t="shared" si="2"/>
        <v>Valid</v>
      </c>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ht="20" customHeight="1" spans="1:52">
      <c r="A20" s="5">
        <v>14</v>
      </c>
      <c r="B20" s="5" t="s">
        <v>78</v>
      </c>
      <c r="C20" s="5" t="s">
        <v>79</v>
      </c>
      <c r="D20" s="5">
        <v>1</v>
      </c>
      <c r="E20" s="5" t="s">
        <v>80</v>
      </c>
      <c r="F20" s="5" t="s">
        <v>81</v>
      </c>
      <c r="G20" s="9">
        <v>89.4679901101803</v>
      </c>
      <c r="H20" s="9" t="s">
        <v>28</v>
      </c>
      <c r="I20" s="9" t="s">
        <v>28</v>
      </c>
      <c r="J20" s="9" t="s">
        <v>29</v>
      </c>
      <c r="K20" s="9" t="s">
        <v>28</v>
      </c>
      <c r="L20" s="10">
        <f t="shared" si="0"/>
        <v>1</v>
      </c>
      <c r="M20" s="10">
        <f t="shared" si="1"/>
        <v>3</v>
      </c>
      <c r="N20" s="11" t="str">
        <f t="shared" si="2"/>
        <v>Valid</v>
      </c>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ht="20" customHeight="1" spans="1:52">
      <c r="A21" s="5">
        <v>15</v>
      </c>
      <c r="B21" s="5" t="s">
        <v>82</v>
      </c>
      <c r="C21" s="5" t="s">
        <v>83</v>
      </c>
      <c r="D21" s="5">
        <v>1</v>
      </c>
      <c r="E21" s="5" t="s">
        <v>84</v>
      </c>
      <c r="F21" s="5" t="s">
        <v>85</v>
      </c>
      <c r="G21" s="9">
        <v>84.6968962289061</v>
      </c>
      <c r="H21" s="9" t="s">
        <v>28</v>
      </c>
      <c r="I21" s="9" t="s">
        <v>28</v>
      </c>
      <c r="J21" s="9" t="s">
        <v>29</v>
      </c>
      <c r="K21" s="9" t="s">
        <v>28</v>
      </c>
      <c r="L21" s="10">
        <f t="shared" si="0"/>
        <v>1</v>
      </c>
      <c r="M21" s="10">
        <f t="shared" si="1"/>
        <v>3</v>
      </c>
      <c r="N21" s="11" t="str">
        <f t="shared" si="2"/>
        <v>Valid</v>
      </c>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ht="20" customHeight="1" spans="1:52">
      <c r="A22" s="5">
        <v>16</v>
      </c>
      <c r="B22" s="5" t="s">
        <v>86</v>
      </c>
      <c r="C22" s="5" t="s">
        <v>87</v>
      </c>
      <c r="D22" s="5">
        <v>1</v>
      </c>
      <c r="E22" s="5" t="s">
        <v>88</v>
      </c>
      <c r="F22" s="5" t="s">
        <v>89</v>
      </c>
      <c r="G22" s="9">
        <v>87.2717059939029</v>
      </c>
      <c r="H22" s="9" t="s">
        <v>28</v>
      </c>
      <c r="I22" s="9" t="s">
        <v>28</v>
      </c>
      <c r="J22" s="9" t="s">
        <v>29</v>
      </c>
      <c r="K22" s="9" t="s">
        <v>28</v>
      </c>
      <c r="L22" s="10">
        <f t="shared" si="0"/>
        <v>1</v>
      </c>
      <c r="M22" s="10">
        <f t="shared" si="1"/>
        <v>3</v>
      </c>
      <c r="N22" s="11" t="str">
        <f t="shared" si="2"/>
        <v>Valid</v>
      </c>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ht="20" customHeight="1" spans="1:52">
      <c r="A23" s="5">
        <v>17</v>
      </c>
      <c r="B23" s="5" t="s">
        <v>90</v>
      </c>
      <c r="C23" s="5" t="s">
        <v>91</v>
      </c>
      <c r="D23" s="5">
        <v>1</v>
      </c>
      <c r="E23" s="5" t="s">
        <v>92</v>
      </c>
      <c r="F23" s="5" t="s">
        <v>93</v>
      </c>
      <c r="G23" s="9">
        <v>88.7345351544684</v>
      </c>
      <c r="H23" s="9" t="s">
        <v>28</v>
      </c>
      <c r="I23" s="9" t="s">
        <v>28</v>
      </c>
      <c r="J23" s="9" t="s">
        <v>29</v>
      </c>
      <c r="K23" s="9" t="s">
        <v>28</v>
      </c>
      <c r="L23" s="10">
        <f t="shared" si="0"/>
        <v>1</v>
      </c>
      <c r="M23" s="10">
        <f t="shared" si="1"/>
        <v>3</v>
      </c>
      <c r="N23" s="11" t="str">
        <f t="shared" si="2"/>
        <v>Valid</v>
      </c>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ht="20" customHeight="1" spans="1:52">
      <c r="A24" s="5">
        <v>18</v>
      </c>
      <c r="B24" s="5" t="s">
        <v>94</v>
      </c>
      <c r="C24" s="5" t="s">
        <v>95</v>
      </c>
      <c r="D24" s="5">
        <v>1</v>
      </c>
      <c r="E24" s="5" t="s">
        <v>96</v>
      </c>
      <c r="F24" s="5" t="s">
        <v>97</v>
      </c>
      <c r="G24" s="9">
        <v>85.6467750066012</v>
      </c>
      <c r="H24" s="9" t="s">
        <v>28</v>
      </c>
      <c r="I24" s="9" t="s">
        <v>28</v>
      </c>
      <c r="J24" s="9" t="s">
        <v>29</v>
      </c>
      <c r="K24" s="9" t="s">
        <v>28</v>
      </c>
      <c r="L24" s="10">
        <f t="shared" si="0"/>
        <v>1</v>
      </c>
      <c r="M24" s="10">
        <f t="shared" si="1"/>
        <v>3</v>
      </c>
      <c r="N24" s="11" t="str">
        <f t="shared" si="2"/>
        <v>Valid</v>
      </c>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ht="20" customHeight="1" spans="1:52">
      <c r="A25" s="5">
        <v>19</v>
      </c>
      <c r="B25" s="5" t="s">
        <v>98</v>
      </c>
      <c r="C25" s="5" t="s">
        <v>99</v>
      </c>
      <c r="D25" s="5">
        <v>1</v>
      </c>
      <c r="E25" s="5" t="s">
        <v>100</v>
      </c>
      <c r="F25" s="5" t="s">
        <v>101</v>
      </c>
      <c r="G25" s="9">
        <v>88.5219520391752</v>
      </c>
      <c r="H25" s="9" t="s">
        <v>28</v>
      </c>
      <c r="I25" s="9" t="s">
        <v>28</v>
      </c>
      <c r="J25" s="9" t="s">
        <v>29</v>
      </c>
      <c r="K25" s="9" t="s">
        <v>28</v>
      </c>
      <c r="L25" s="10">
        <f t="shared" si="0"/>
        <v>1</v>
      </c>
      <c r="M25" s="10">
        <f t="shared" si="1"/>
        <v>3</v>
      </c>
      <c r="N25" s="11" t="str">
        <f t="shared" si="2"/>
        <v>Valid</v>
      </c>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ht="20" customHeight="1" spans="1:52">
      <c r="A26" s="5">
        <v>20</v>
      </c>
      <c r="B26" s="5" t="s">
        <v>102</v>
      </c>
      <c r="C26" s="5" t="s">
        <v>103</v>
      </c>
      <c r="D26" s="5">
        <v>1</v>
      </c>
      <c r="E26" s="5" t="s">
        <v>104</v>
      </c>
      <c r="F26" s="5" t="s">
        <v>105</v>
      </c>
      <c r="G26" s="9">
        <v>89.2554069948871</v>
      </c>
      <c r="H26" s="9" t="s">
        <v>28</v>
      </c>
      <c r="I26" s="9" t="s">
        <v>28</v>
      </c>
      <c r="J26" s="9" t="s">
        <v>29</v>
      </c>
      <c r="K26" s="9" t="s">
        <v>28</v>
      </c>
      <c r="L26" s="10">
        <f t="shared" si="0"/>
        <v>1</v>
      </c>
      <c r="M26" s="10">
        <f t="shared" si="1"/>
        <v>3</v>
      </c>
      <c r="N26" s="11" t="str">
        <f t="shared" si="2"/>
        <v>Valid</v>
      </c>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ht="20" customHeight="1" spans="1:52">
      <c r="A27" s="5">
        <v>21</v>
      </c>
      <c r="B27" s="5" t="s">
        <v>106</v>
      </c>
      <c r="C27" s="5" t="s">
        <v>107</v>
      </c>
      <c r="D27" s="5">
        <v>1</v>
      </c>
      <c r="E27" s="5" t="s">
        <v>108</v>
      </c>
      <c r="F27" s="5" t="s">
        <v>109</v>
      </c>
      <c r="G27" s="9">
        <v>89.1436424302072</v>
      </c>
      <c r="H27" s="9" t="s">
        <v>28</v>
      </c>
      <c r="I27" s="9" t="s">
        <v>28</v>
      </c>
      <c r="J27" s="9" t="s">
        <v>29</v>
      </c>
      <c r="K27" s="9" t="s">
        <v>28</v>
      </c>
      <c r="L27" s="10">
        <f t="shared" si="0"/>
        <v>1</v>
      </c>
      <c r="M27" s="10">
        <f t="shared" si="1"/>
        <v>3</v>
      </c>
      <c r="N27" s="11" t="str">
        <f t="shared" si="2"/>
        <v>Valid</v>
      </c>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ht="20" customHeight="1" spans="1:52">
      <c r="A28" s="5">
        <v>22</v>
      </c>
      <c r="B28" s="5" t="s">
        <v>110</v>
      </c>
      <c r="C28" s="5" t="s">
        <v>111</v>
      </c>
      <c r="D28" s="5">
        <v>1</v>
      </c>
      <c r="E28" s="5" t="s">
        <v>112</v>
      </c>
      <c r="F28" s="5" t="s">
        <v>113</v>
      </c>
      <c r="G28" s="9">
        <v>89.2432847643966</v>
      </c>
      <c r="H28" s="9" t="s">
        <v>28</v>
      </c>
      <c r="I28" s="9" t="s">
        <v>28</v>
      </c>
      <c r="J28" s="9" t="s">
        <v>29</v>
      </c>
      <c r="K28" s="9" t="s">
        <v>28</v>
      </c>
      <c r="L28" s="10">
        <f t="shared" si="0"/>
        <v>1</v>
      </c>
      <c r="M28" s="10">
        <f t="shared" si="1"/>
        <v>3</v>
      </c>
      <c r="N28" s="11" t="str">
        <f t="shared" si="2"/>
        <v>Valid</v>
      </c>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ht="20" customHeight="1" spans="1:52">
      <c r="A29" s="5">
        <v>23</v>
      </c>
      <c r="B29" s="5" t="s">
        <v>114</v>
      </c>
      <c r="C29" s="5" t="s">
        <v>115</v>
      </c>
      <c r="D29" s="5">
        <v>1</v>
      </c>
      <c r="E29" s="5" t="s">
        <v>116</v>
      </c>
      <c r="F29" s="5" t="s">
        <v>117</v>
      </c>
      <c r="G29" s="9">
        <v>86.0921289517271</v>
      </c>
      <c r="H29" s="9" t="s">
        <v>28</v>
      </c>
      <c r="I29" s="9" t="s">
        <v>28</v>
      </c>
      <c r="J29" s="9" t="s">
        <v>29</v>
      </c>
      <c r="K29" s="9" t="s">
        <v>28</v>
      </c>
      <c r="L29" s="10">
        <f t="shared" si="0"/>
        <v>1</v>
      </c>
      <c r="M29" s="10">
        <f t="shared" si="1"/>
        <v>3</v>
      </c>
      <c r="N29" s="11" t="str">
        <f t="shared" si="2"/>
        <v>Valid</v>
      </c>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ht="20" customHeight="1" spans="1:52">
      <c r="A30" s="5">
        <v>24</v>
      </c>
      <c r="B30" s="5" t="s">
        <v>118</v>
      </c>
      <c r="C30" s="5" t="s">
        <v>119</v>
      </c>
      <c r="D30" s="5">
        <v>1</v>
      </c>
      <c r="E30" s="5" t="s">
        <v>120</v>
      </c>
      <c r="F30" s="5" t="s">
        <v>121</v>
      </c>
      <c r="G30" s="9">
        <v>87.0854077150196</v>
      </c>
      <c r="H30" s="9" t="s">
        <v>28</v>
      </c>
      <c r="I30" s="9" t="s">
        <v>28</v>
      </c>
      <c r="J30" s="9" t="s">
        <v>29</v>
      </c>
      <c r="K30" s="9" t="s">
        <v>28</v>
      </c>
      <c r="L30" s="10">
        <f t="shared" si="0"/>
        <v>1</v>
      </c>
      <c r="M30" s="10">
        <f t="shared" si="1"/>
        <v>3</v>
      </c>
      <c r="N30" s="11" t="str">
        <f t="shared" si="2"/>
        <v>Valid</v>
      </c>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ht="20" customHeight="1" spans="1:52">
      <c r="A31" s="5">
        <v>25</v>
      </c>
      <c r="B31" s="5" t="s">
        <v>122</v>
      </c>
      <c r="C31" s="5" t="s">
        <v>123</v>
      </c>
      <c r="D31" s="5">
        <v>1</v>
      </c>
      <c r="E31" s="5" t="s">
        <v>124</v>
      </c>
      <c r="F31" s="5" t="s">
        <v>125</v>
      </c>
      <c r="G31" s="9">
        <v>86.3089368443794</v>
      </c>
      <c r="H31" s="9" t="s">
        <v>28</v>
      </c>
      <c r="I31" s="9" t="s">
        <v>28</v>
      </c>
      <c r="J31" s="9" t="s">
        <v>29</v>
      </c>
      <c r="K31" s="9" t="s">
        <v>28</v>
      </c>
      <c r="L31" s="10">
        <f t="shared" si="0"/>
        <v>1</v>
      </c>
      <c r="M31" s="10">
        <f t="shared" si="1"/>
        <v>3</v>
      </c>
      <c r="N31" s="11" t="str">
        <f t="shared" si="2"/>
        <v>Valid</v>
      </c>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ht="20" customHeight="1" spans="1:52">
      <c r="A32" s="5">
        <v>26</v>
      </c>
      <c r="B32" s="5" t="s">
        <v>126</v>
      </c>
      <c r="C32" s="5" t="s">
        <v>127</v>
      </c>
      <c r="D32" s="5">
        <v>1</v>
      </c>
      <c r="E32" s="5" t="s">
        <v>128</v>
      </c>
      <c r="F32" s="5" t="s">
        <v>129</v>
      </c>
      <c r="G32" s="9">
        <v>87.8672795794426</v>
      </c>
      <c r="H32" s="9" t="s">
        <v>28</v>
      </c>
      <c r="I32" s="9" t="s">
        <v>28</v>
      </c>
      <c r="J32" s="9" t="s">
        <v>29</v>
      </c>
      <c r="K32" s="9" t="s">
        <v>28</v>
      </c>
      <c r="L32" s="10">
        <f t="shared" si="0"/>
        <v>1</v>
      </c>
      <c r="M32" s="10">
        <f t="shared" si="1"/>
        <v>3</v>
      </c>
      <c r="N32" s="11" t="str">
        <f t="shared" si="2"/>
        <v>Valid</v>
      </c>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ht="20" customHeight="1" spans="1:52">
      <c r="A33" s="5">
        <v>27</v>
      </c>
      <c r="B33" s="5" t="s">
        <v>130</v>
      </c>
      <c r="C33" s="5" t="s">
        <v>131</v>
      </c>
      <c r="D33" s="5">
        <v>1</v>
      </c>
      <c r="E33" s="5" t="s">
        <v>132</v>
      </c>
      <c r="F33" s="5" t="s">
        <v>133</v>
      </c>
      <c r="G33" s="9">
        <v>89.7096665786505</v>
      </c>
      <c r="H33" s="9" t="s">
        <v>28</v>
      </c>
      <c r="I33" s="9" t="s">
        <v>28</v>
      </c>
      <c r="J33" s="9" t="s">
        <v>29</v>
      </c>
      <c r="K33" s="9" t="s">
        <v>28</v>
      </c>
      <c r="L33" s="10">
        <f t="shared" si="0"/>
        <v>1</v>
      </c>
      <c r="M33" s="10">
        <f t="shared" si="1"/>
        <v>3</v>
      </c>
      <c r="N33" s="11" t="str">
        <f t="shared" si="2"/>
        <v>Valid</v>
      </c>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ht="20" customHeight="1" spans="1:52">
      <c r="A34" s="5">
        <v>28</v>
      </c>
      <c r="B34" s="5" t="s">
        <v>134</v>
      </c>
      <c r="C34" s="5" t="s">
        <v>135</v>
      </c>
      <c r="D34" s="5">
        <v>1</v>
      </c>
      <c r="E34" s="5" t="s">
        <v>136</v>
      </c>
      <c r="F34" s="5" t="s">
        <v>137</v>
      </c>
      <c r="G34" s="9">
        <v>89.8882354353201</v>
      </c>
      <c r="H34" s="9" t="s">
        <v>28</v>
      </c>
      <c r="I34" s="9" t="s">
        <v>28</v>
      </c>
      <c r="J34" s="9" t="s">
        <v>29</v>
      </c>
      <c r="K34" s="9" t="s">
        <v>28</v>
      </c>
      <c r="L34" s="10">
        <f t="shared" si="0"/>
        <v>1</v>
      </c>
      <c r="M34" s="10">
        <f t="shared" si="1"/>
        <v>3</v>
      </c>
      <c r="N34" s="11" t="str">
        <f t="shared" si="2"/>
        <v>Valid</v>
      </c>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ht="20" customHeight="1" spans="1:52">
      <c r="A35" s="5">
        <v>29</v>
      </c>
      <c r="B35" s="5" t="s">
        <v>138</v>
      </c>
      <c r="C35" s="5" t="s">
        <v>139</v>
      </c>
      <c r="D35" s="5">
        <v>1</v>
      </c>
      <c r="E35" s="5" t="s">
        <v>140</v>
      </c>
      <c r="F35" s="5" t="s">
        <v>141</v>
      </c>
      <c r="G35" s="9">
        <v>90</v>
      </c>
      <c r="H35" s="9" t="s">
        <v>28</v>
      </c>
      <c r="I35" s="9" t="s">
        <v>28</v>
      </c>
      <c r="J35" s="9" t="s">
        <v>29</v>
      </c>
      <c r="K35" s="9" t="s">
        <v>28</v>
      </c>
      <c r="L35" s="10">
        <f t="shared" si="0"/>
        <v>1</v>
      </c>
      <c r="M35" s="10">
        <f t="shared" si="1"/>
        <v>3</v>
      </c>
      <c r="N35" s="11" t="str">
        <f t="shared" si="2"/>
        <v>Valid</v>
      </c>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ht="20" customHeight="1" spans="1:52">
      <c r="A36" s="5">
        <v>30</v>
      </c>
      <c r="B36" s="5" t="s">
        <v>142</v>
      </c>
      <c r="C36" s="5" t="s">
        <v>143</v>
      </c>
      <c r="D36" s="5">
        <v>1</v>
      </c>
      <c r="E36" s="5" t="s">
        <v>144</v>
      </c>
      <c r="F36" s="5" t="s">
        <v>145</v>
      </c>
      <c r="G36" s="9">
        <v>85.6049833169303</v>
      </c>
      <c r="H36" s="9" t="s">
        <v>28</v>
      </c>
      <c r="I36" s="9" t="s">
        <v>28</v>
      </c>
      <c r="J36" s="9" t="s">
        <v>29</v>
      </c>
      <c r="K36" s="9" t="s">
        <v>28</v>
      </c>
      <c r="L36" s="10">
        <f t="shared" si="0"/>
        <v>1</v>
      </c>
      <c r="M36" s="10">
        <f t="shared" si="1"/>
        <v>3</v>
      </c>
      <c r="N36" s="11" t="str">
        <f t="shared" si="2"/>
        <v>Valid</v>
      </c>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ht="20" customHeight="1" spans="1:52">
      <c r="A37" s="5">
        <v>31</v>
      </c>
      <c r="B37" s="5" t="s">
        <v>146</v>
      </c>
      <c r="C37" s="5" t="s">
        <v>147</v>
      </c>
      <c r="D37" s="5">
        <v>1</v>
      </c>
      <c r="E37" s="5" t="s">
        <v>148</v>
      </c>
      <c r="F37" s="5" t="s">
        <v>149</v>
      </c>
      <c r="G37" s="9">
        <v>89.607335749778</v>
      </c>
      <c r="H37" s="9" t="s">
        <v>28</v>
      </c>
      <c r="I37" s="9" t="s">
        <v>28</v>
      </c>
      <c r="J37" s="9" t="s">
        <v>29</v>
      </c>
      <c r="K37" s="9" t="s">
        <v>28</v>
      </c>
      <c r="L37" s="10">
        <f t="shared" si="0"/>
        <v>1</v>
      </c>
      <c r="M37" s="10">
        <f t="shared" si="1"/>
        <v>3</v>
      </c>
      <c r="N37" s="11" t="str">
        <f t="shared" si="2"/>
        <v>Valid</v>
      </c>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ht="20" customHeight="1" spans="1:52">
      <c r="A38" s="5">
        <v>32</v>
      </c>
      <c r="B38" s="5" t="s">
        <v>150</v>
      </c>
      <c r="C38" s="5" t="s">
        <v>151</v>
      </c>
      <c r="D38" s="5">
        <v>1</v>
      </c>
      <c r="E38" s="5" t="s">
        <v>152</v>
      </c>
      <c r="F38" s="5" t="s">
        <v>153</v>
      </c>
      <c r="G38" s="9">
        <v>89.8608944045704</v>
      </c>
      <c r="H38" s="9" t="s">
        <v>28</v>
      </c>
      <c r="I38" s="9" t="s">
        <v>28</v>
      </c>
      <c r="J38" s="9" t="s">
        <v>29</v>
      </c>
      <c r="K38" s="9" t="s">
        <v>28</v>
      </c>
      <c r="L38" s="10">
        <f t="shared" si="0"/>
        <v>1</v>
      </c>
      <c r="M38" s="10">
        <f t="shared" si="1"/>
        <v>3</v>
      </c>
      <c r="N38" s="11" t="str">
        <f t="shared" si="2"/>
        <v>Valid</v>
      </c>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ht="20" customHeight="1" spans="1:52">
      <c r="A39" s="5">
        <v>33</v>
      </c>
      <c r="B39" s="5" t="s">
        <v>154</v>
      </c>
      <c r="C39" s="5" t="s">
        <v>155</v>
      </c>
      <c r="D39" s="5">
        <v>1</v>
      </c>
      <c r="E39" s="5" t="s">
        <v>156</v>
      </c>
      <c r="F39" s="5" t="s">
        <v>157</v>
      </c>
      <c r="G39" s="9">
        <v>89.8320891043952</v>
      </c>
      <c r="H39" s="9" t="s">
        <v>28</v>
      </c>
      <c r="I39" s="9" t="s">
        <v>28</v>
      </c>
      <c r="J39" s="9" t="s">
        <v>29</v>
      </c>
      <c r="K39" s="9" t="s">
        <v>28</v>
      </c>
      <c r="L39" s="10">
        <f t="shared" si="0"/>
        <v>1</v>
      </c>
      <c r="M39" s="10">
        <f t="shared" si="1"/>
        <v>3</v>
      </c>
      <c r="N39" s="11" t="str">
        <f t="shared" si="2"/>
        <v>Valid</v>
      </c>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ht="20" customHeight="1" spans="1:52">
      <c r="A40" s="5">
        <v>34</v>
      </c>
      <c r="B40" s="5" t="s">
        <v>158</v>
      </c>
      <c r="C40" s="5" t="s">
        <v>159</v>
      </c>
      <c r="D40" s="5">
        <v>1</v>
      </c>
      <c r="E40" s="5" t="s">
        <v>160</v>
      </c>
      <c r="F40" s="5" t="s">
        <v>161</v>
      </c>
      <c r="G40" s="9">
        <v>89.3743728846108</v>
      </c>
      <c r="H40" s="9" t="s">
        <v>28</v>
      </c>
      <c r="I40" s="9" t="s">
        <v>28</v>
      </c>
      <c r="J40" s="9" t="s">
        <v>29</v>
      </c>
      <c r="K40" s="9" t="s">
        <v>28</v>
      </c>
      <c r="L40" s="10">
        <f t="shared" si="0"/>
        <v>1</v>
      </c>
      <c r="M40" s="10">
        <f t="shared" si="1"/>
        <v>3</v>
      </c>
      <c r="N40" s="11" t="str">
        <f t="shared" si="2"/>
        <v>Valid</v>
      </c>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ht="20" customHeight="1" spans="1:52">
      <c r="A41" s="5">
        <v>35</v>
      </c>
      <c r="B41" s="5" t="s">
        <v>162</v>
      </c>
      <c r="C41" s="5" t="s">
        <v>163</v>
      </c>
      <c r="D41" s="5">
        <v>1</v>
      </c>
      <c r="E41" s="5" t="s">
        <v>164</v>
      </c>
      <c r="F41" s="5" t="s">
        <v>165</v>
      </c>
      <c r="G41" s="9">
        <v>84.8607743824864</v>
      </c>
      <c r="H41" s="9" t="s">
        <v>28</v>
      </c>
      <c r="I41" s="9" t="s">
        <v>28</v>
      </c>
      <c r="J41" s="9" t="s">
        <v>29</v>
      </c>
      <c r="K41" s="9" t="s">
        <v>28</v>
      </c>
      <c r="L41" s="10">
        <f t="shared" si="0"/>
        <v>1</v>
      </c>
      <c r="M41" s="10">
        <f t="shared" si="1"/>
        <v>3</v>
      </c>
      <c r="N41" s="11" t="str">
        <f t="shared" si="2"/>
        <v>Valid</v>
      </c>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ht="20" customHeight="1" spans="1:52">
      <c r="A42" s="5">
        <v>36</v>
      </c>
      <c r="B42" s="5" t="s">
        <v>166</v>
      </c>
      <c r="C42" s="5" t="s">
        <v>167</v>
      </c>
      <c r="D42" s="5">
        <v>1</v>
      </c>
      <c r="E42" s="5" t="s">
        <v>168</v>
      </c>
      <c r="F42" s="5" t="s">
        <v>169</v>
      </c>
      <c r="G42" s="9">
        <v>89.5656400777743</v>
      </c>
      <c r="H42" s="9" t="s">
        <v>28</v>
      </c>
      <c r="I42" s="9" t="s">
        <v>28</v>
      </c>
      <c r="J42" s="9" t="s">
        <v>29</v>
      </c>
      <c r="K42" s="9" t="s">
        <v>28</v>
      </c>
      <c r="L42" s="10">
        <f t="shared" si="0"/>
        <v>1</v>
      </c>
      <c r="M42" s="10">
        <f t="shared" si="1"/>
        <v>3</v>
      </c>
      <c r="N42" s="11" t="str">
        <f t="shared" si="2"/>
        <v>Valid</v>
      </c>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ht="20" customHeight="1" spans="1:52">
      <c r="A43" s="5">
        <v>37</v>
      </c>
      <c r="B43" s="5" t="s">
        <v>170</v>
      </c>
      <c r="C43" s="5" t="s">
        <v>171</v>
      </c>
      <c r="D43" s="5">
        <v>1</v>
      </c>
      <c r="E43" s="5" t="s">
        <v>172</v>
      </c>
      <c r="F43" s="5" t="s">
        <v>173</v>
      </c>
      <c r="G43" s="9">
        <v>87.9846371732399</v>
      </c>
      <c r="H43" s="9" t="s">
        <v>28</v>
      </c>
      <c r="I43" s="9" t="s">
        <v>28</v>
      </c>
      <c r="J43" s="9" t="s">
        <v>29</v>
      </c>
      <c r="K43" s="9" t="s">
        <v>28</v>
      </c>
      <c r="L43" s="10">
        <f t="shared" si="0"/>
        <v>1</v>
      </c>
      <c r="M43" s="10">
        <f t="shared" si="1"/>
        <v>3</v>
      </c>
      <c r="N43" s="11" t="str">
        <f t="shared" si="2"/>
        <v>Valid</v>
      </c>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ht="20" customHeight="1" spans="1:52">
      <c r="A44" s="5">
        <v>38</v>
      </c>
      <c r="B44" s="5" t="s">
        <v>174</v>
      </c>
      <c r="C44" s="5" t="s">
        <v>175</v>
      </c>
      <c r="D44" s="5">
        <v>1</v>
      </c>
      <c r="E44" s="5" t="s">
        <v>176</v>
      </c>
      <c r="F44" s="5" t="s">
        <v>177</v>
      </c>
      <c r="G44" s="9">
        <v>88.1900669723229</v>
      </c>
      <c r="H44" s="9" t="s">
        <v>28</v>
      </c>
      <c r="I44" s="9" t="s">
        <v>28</v>
      </c>
      <c r="J44" s="9" t="s">
        <v>29</v>
      </c>
      <c r="K44" s="9" t="s">
        <v>28</v>
      </c>
      <c r="L44" s="10">
        <f t="shared" si="0"/>
        <v>1</v>
      </c>
      <c r="M44" s="10">
        <f t="shared" si="1"/>
        <v>3</v>
      </c>
      <c r="N44" s="11" t="str">
        <f t="shared" si="2"/>
        <v>Valid</v>
      </c>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ht="20" customHeight="1" spans="1:52">
      <c r="A45" s="5">
        <v>39</v>
      </c>
      <c r="B45" s="5" t="s">
        <v>178</v>
      </c>
      <c r="C45" s="5" t="s">
        <v>179</v>
      </c>
      <c r="D45" s="5">
        <v>1</v>
      </c>
      <c r="E45" s="5" t="s">
        <v>180</v>
      </c>
      <c r="F45" s="5" t="s">
        <v>181</v>
      </c>
      <c r="G45" s="9">
        <v>89.7240692287381</v>
      </c>
      <c r="H45" s="9" t="s">
        <v>28</v>
      </c>
      <c r="I45" s="9" t="s">
        <v>28</v>
      </c>
      <c r="J45" s="9" t="s">
        <v>29</v>
      </c>
      <c r="K45" s="9" t="s">
        <v>28</v>
      </c>
      <c r="L45" s="10">
        <f t="shared" si="0"/>
        <v>1</v>
      </c>
      <c r="M45" s="10">
        <f t="shared" si="1"/>
        <v>3</v>
      </c>
      <c r="N45" s="11" t="str">
        <f t="shared" si="2"/>
        <v>Valid</v>
      </c>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ht="20" customHeight="1" spans="1:52">
      <c r="A46" s="5">
        <v>40</v>
      </c>
      <c r="B46" s="5" t="s">
        <v>182</v>
      </c>
      <c r="C46" s="5" t="s">
        <v>183</v>
      </c>
      <c r="D46" s="5">
        <v>1</v>
      </c>
      <c r="E46" s="5" t="s">
        <v>184</v>
      </c>
      <c r="F46" s="5" t="s">
        <v>185</v>
      </c>
      <c r="G46" s="9">
        <v>85.0692287380878</v>
      </c>
      <c r="H46" s="9" t="s">
        <v>28</v>
      </c>
      <c r="I46" s="9" t="s">
        <v>28</v>
      </c>
      <c r="J46" s="9" t="s">
        <v>29</v>
      </c>
      <c r="K46" s="9" t="s">
        <v>28</v>
      </c>
      <c r="L46" s="10">
        <f t="shared" si="0"/>
        <v>1</v>
      </c>
      <c r="M46" s="10">
        <f t="shared" si="1"/>
        <v>3</v>
      </c>
      <c r="N46" s="11" t="str">
        <f t="shared" si="2"/>
        <v>Valid</v>
      </c>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ht="20" customHeight="1" spans="1:52">
      <c r="A47" s="5">
        <v>41</v>
      </c>
      <c r="B47" s="5" t="s">
        <v>186</v>
      </c>
      <c r="C47" s="5" t="s">
        <v>187</v>
      </c>
      <c r="D47" s="5">
        <v>1</v>
      </c>
      <c r="E47" s="5" t="s">
        <v>188</v>
      </c>
      <c r="F47" s="5" t="s">
        <v>189</v>
      </c>
      <c r="G47" s="9">
        <v>89.2698096449747</v>
      </c>
      <c r="H47" s="9" t="s">
        <v>28</v>
      </c>
      <c r="I47" s="9" t="s">
        <v>28</v>
      </c>
      <c r="J47" s="9" t="s">
        <v>29</v>
      </c>
      <c r="K47" s="9" t="s">
        <v>28</v>
      </c>
      <c r="L47" s="10">
        <f t="shared" si="0"/>
        <v>1</v>
      </c>
      <c r="M47" s="10">
        <f t="shared" si="1"/>
        <v>3</v>
      </c>
      <c r="N47" s="11" t="str">
        <f t="shared" si="2"/>
        <v>Valid</v>
      </c>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ht="20" customHeight="1" spans="1:52">
      <c r="A48" s="5">
        <v>42</v>
      </c>
      <c r="B48" s="5" t="s">
        <v>190</v>
      </c>
      <c r="C48" s="5" t="s">
        <v>191</v>
      </c>
      <c r="D48" s="5">
        <v>1</v>
      </c>
      <c r="E48" s="5" t="s">
        <v>192</v>
      </c>
      <c r="F48" s="5" t="s">
        <v>193</v>
      </c>
      <c r="G48" s="9">
        <v>77</v>
      </c>
      <c r="H48" s="9" t="s">
        <v>28</v>
      </c>
      <c r="I48" s="9" t="s">
        <v>28</v>
      </c>
      <c r="J48" s="9" t="s">
        <v>29</v>
      </c>
      <c r="K48" s="9" t="s">
        <v>28</v>
      </c>
      <c r="L48" s="10">
        <f t="shared" si="0"/>
        <v>1</v>
      </c>
      <c r="M48" s="10">
        <f t="shared" si="1"/>
        <v>3</v>
      </c>
      <c r="N48" s="11" t="str">
        <f t="shared" si="2"/>
        <v>Valid</v>
      </c>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ht="20" customHeight="1" spans="1:52">
      <c r="A49" s="5">
        <v>43</v>
      </c>
      <c r="B49" s="5" t="s">
        <v>194</v>
      </c>
      <c r="C49" s="5" t="s">
        <v>195</v>
      </c>
      <c r="D49" s="5">
        <v>1</v>
      </c>
      <c r="E49" s="5" t="s">
        <v>196</v>
      </c>
      <c r="F49" s="5" t="s">
        <v>197</v>
      </c>
      <c r="G49" s="9">
        <v>89.150843755251</v>
      </c>
      <c r="H49" s="9" t="s">
        <v>28</v>
      </c>
      <c r="I49" s="9" t="s">
        <v>28</v>
      </c>
      <c r="J49" s="9" t="s">
        <v>29</v>
      </c>
      <c r="K49" s="9" t="s">
        <v>28</v>
      </c>
      <c r="L49" s="10">
        <f t="shared" si="0"/>
        <v>1</v>
      </c>
      <c r="M49" s="10">
        <f t="shared" si="1"/>
        <v>3</v>
      </c>
      <c r="N49" s="11" t="str">
        <f t="shared" si="2"/>
        <v>Valid</v>
      </c>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ht="20" customHeight="1" spans="1:52">
      <c r="A50" s="5">
        <v>44</v>
      </c>
      <c r="B50" s="5" t="s">
        <v>198</v>
      </c>
      <c r="C50" s="5" t="s">
        <v>199</v>
      </c>
      <c r="D50" s="5">
        <v>1</v>
      </c>
      <c r="E50" s="5" t="s">
        <v>200</v>
      </c>
      <c r="F50" s="5" t="s">
        <v>201</v>
      </c>
      <c r="G50" s="9">
        <v>81.9750834153484</v>
      </c>
      <c r="H50" s="9" t="s">
        <v>28</v>
      </c>
      <c r="I50" s="9" t="s">
        <v>28</v>
      </c>
      <c r="J50" s="9" t="s">
        <v>29</v>
      </c>
      <c r="K50" s="9" t="s">
        <v>28</v>
      </c>
      <c r="L50" s="10">
        <f t="shared" si="0"/>
        <v>1</v>
      </c>
      <c r="M50" s="10">
        <f t="shared" si="1"/>
        <v>3</v>
      </c>
      <c r="N50" s="11" t="str">
        <f t="shared" si="2"/>
        <v>Valid</v>
      </c>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ht="20" customHeight="1" spans="1:52">
      <c r="A51" s="5">
        <v>45</v>
      </c>
      <c r="B51" s="5" t="s">
        <v>202</v>
      </c>
      <c r="C51" s="5" t="s">
        <v>203</v>
      </c>
      <c r="D51" s="5">
        <v>1</v>
      </c>
      <c r="E51" s="5" t="s">
        <v>204</v>
      </c>
      <c r="F51" s="5" t="s">
        <v>205</v>
      </c>
      <c r="G51" s="9">
        <v>88.2151275834754</v>
      </c>
      <c r="H51" s="9" t="s">
        <v>28</v>
      </c>
      <c r="I51" s="9" t="s">
        <v>28</v>
      </c>
      <c r="J51" s="9" t="s">
        <v>29</v>
      </c>
      <c r="K51" s="9" t="s">
        <v>28</v>
      </c>
      <c r="L51" s="10">
        <f t="shared" si="0"/>
        <v>1</v>
      </c>
      <c r="M51" s="10">
        <f t="shared" si="1"/>
        <v>3</v>
      </c>
      <c r="N51" s="11" t="str">
        <f t="shared" si="2"/>
        <v>Valid</v>
      </c>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ht="20" customHeight="1" spans="1:52">
      <c r="A52" s="5">
        <v>46</v>
      </c>
      <c r="B52" s="5" t="s">
        <v>206</v>
      </c>
      <c r="C52" s="5" t="s">
        <v>207</v>
      </c>
      <c r="D52" s="5">
        <v>1</v>
      </c>
      <c r="E52" s="5" t="s">
        <v>208</v>
      </c>
      <c r="F52" s="5" t="s">
        <v>209</v>
      </c>
      <c r="G52" s="9">
        <v>89.1724477303824</v>
      </c>
      <c r="H52" s="9" t="s">
        <v>28</v>
      </c>
      <c r="I52" s="9" t="s">
        <v>28</v>
      </c>
      <c r="J52" s="9" t="s">
        <v>29</v>
      </c>
      <c r="K52" s="9" t="s">
        <v>28</v>
      </c>
      <c r="L52" s="10">
        <f t="shared" si="0"/>
        <v>1</v>
      </c>
      <c r="M52" s="10">
        <f t="shared" si="1"/>
        <v>3</v>
      </c>
      <c r="N52" s="11" t="str">
        <f t="shared" si="2"/>
        <v>Valid</v>
      </c>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ht="20" customHeight="1" spans="1:52">
      <c r="A53" s="5">
        <v>47</v>
      </c>
      <c r="B53" s="5" t="s">
        <v>210</v>
      </c>
      <c r="C53" s="5" t="s">
        <v>211</v>
      </c>
      <c r="D53" s="5">
        <v>1</v>
      </c>
      <c r="E53" s="5" t="s">
        <v>212</v>
      </c>
      <c r="F53" s="5" t="s">
        <v>213</v>
      </c>
      <c r="G53" s="9">
        <v>89.8559734991238</v>
      </c>
      <c r="H53" s="9" t="s">
        <v>28</v>
      </c>
      <c r="I53" s="9" t="s">
        <v>28</v>
      </c>
      <c r="J53" s="9" t="s">
        <v>29</v>
      </c>
      <c r="K53" s="9" t="s">
        <v>28</v>
      </c>
      <c r="L53" s="10">
        <f t="shared" si="0"/>
        <v>1</v>
      </c>
      <c r="M53" s="10">
        <f t="shared" si="1"/>
        <v>3</v>
      </c>
      <c r="N53" s="11" t="str">
        <f t="shared" si="2"/>
        <v>Valid</v>
      </c>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ht="20" customHeight="1" spans="1:52">
      <c r="A54" s="5">
        <v>48</v>
      </c>
      <c r="B54" s="5" t="s">
        <v>214</v>
      </c>
      <c r="C54" s="5" t="s">
        <v>215</v>
      </c>
      <c r="D54" s="5">
        <v>1</v>
      </c>
      <c r="E54" s="5" t="s">
        <v>216</v>
      </c>
      <c r="F54" s="5" t="s">
        <v>217</v>
      </c>
      <c r="G54" s="9">
        <v>85.747017451211</v>
      </c>
      <c r="H54" s="9" t="s">
        <v>28</v>
      </c>
      <c r="I54" s="9" t="s">
        <v>28</v>
      </c>
      <c r="J54" s="9" t="s">
        <v>29</v>
      </c>
      <c r="K54" s="9" t="s">
        <v>28</v>
      </c>
      <c r="L54" s="10">
        <f t="shared" si="0"/>
        <v>1</v>
      </c>
      <c r="M54" s="10">
        <f t="shared" si="1"/>
        <v>3</v>
      </c>
      <c r="N54" s="11" t="str">
        <f t="shared" si="2"/>
        <v>Valid</v>
      </c>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6" ht="15.15" spans="1:1">
      <c r="A56" s="6" t="s">
        <v>218</v>
      </c>
    </row>
    <row r="57" spans="1:1">
      <c r="A57" t="s">
        <v>219</v>
      </c>
    </row>
    <row r="58" spans="1:1">
      <c r="A58" t="s">
        <v>220</v>
      </c>
    </row>
    <row r="59" spans="1:1">
      <c r="A59" t="s">
        <v>221</v>
      </c>
    </row>
    <row r="60" spans="1:1">
      <c r="A60" t="s">
        <v>222</v>
      </c>
    </row>
    <row r="61" spans="1:1">
      <c r="A61" s="7" t="s">
        <v>223</v>
      </c>
    </row>
    <row r="62" spans="1:1">
      <c r="A62" t="s">
        <v>224</v>
      </c>
    </row>
    <row r="63" spans="1:1">
      <c r="A63" t="s">
        <v>225</v>
      </c>
    </row>
    <row r="64" spans="1:1">
      <c r="A64" t="s">
        <v>226</v>
      </c>
    </row>
    <row r="65" spans="1:1">
      <c r="A65" t="s">
        <v>227</v>
      </c>
    </row>
  </sheetData>
  <sheetProtection password="E249" sheet="1"/>
  <mergeCells count="9">
    <mergeCell ref="H3:K3"/>
    <mergeCell ref="L3:N3"/>
    <mergeCell ref="A3:A6"/>
    <mergeCell ref="B3:B6"/>
    <mergeCell ref="C3:C6"/>
    <mergeCell ref="D3:D6"/>
    <mergeCell ref="E3:E6"/>
    <mergeCell ref="F3:F6"/>
    <mergeCell ref="G3:G6"/>
  </mergeCells>
  <dataValidations count="2">
    <dataValidation type="whole" operator="between" showInputMessage="1" showErrorMessage="1" errorTitle="Input Salah" error="Hanya boleh memasukkan angka antara 1 dan 100." promptTitle="Input Angka" prompt="Masukkan angka antara 1 dan 100." sqref="G7 G8 G9 G10 G11 G12 G13 G14 G15 G16 G17 G18 G19 G20 G21 G22 G23 G24 G25 G26 G27 G28 G29 G30 G31 G32 G33 G34 G35 G36 G37 G38 G39 G40 G41 G42 G43 G44 G45 G46 G47 G48 G49 G50 G51 G52 G53 G54">
      <formula1>1</formula1>
      <formula2>100</formula2>
    </dataValidation>
    <dataValidation type="list" showInputMessage="1" showErrorMessage="1" errorTitle="Input Error" error="Data tidak sesuai list, Silahkan isi dengan T untuk Pencapaian Sangat Optimal atau R untuk Pencapaian yang Perlu Peningkatan" promptTitle="Ketercapaian TP " prompt="T = TP dicapai dengan Sangat Optimal, R = TP masih Perlu Peningkatan" sqref="H7 I7 J7 K7 H8 I8 J8 K8 H9 I9 J9 K9 H10 I10 J10 K10 H11 I11 J11 K11 H12 I12 J12 K12 H13 I13 J13 K13 H14 I14 J14 K14 H15 I15 J15 K15 H16 I16 J16 K16 H17 I17 J17 K17 H18 I18 J18 K18 H19 I19 J19 K19 H20 I20 J20 K20 H21 I21 J21 K21 H22 I22 J22 K22 H23 I23 J23 K23 H24 I24 J24 K24 H25 I25 J25 K25 H26 I26 J26 K26 H27 I27 J27 K27 H28 I28 J28 K28 H29 I29 J29 K29 H30 I30 J30 K30 H31 I31 J31 K31 H32 I32 J32 K32 H33 I33 J33 K33 H34 I34 J34 K34 H35 I35 J35 K35 H36 I36 J36 K36 H37 I37 J37 K37 H38 I38 J38 K38 H39 I39 J39 K39 H40 I40 J40 K40 H41 I41 J41 K41 H42 I42 J42 K42 H43 I43 J43 K43 H44 I44 J44 K44 H45 I45 J45 K45 H46 I46 J46 K46 H47 I47 J47 K47 H48 I48 J48 K48 H49 I49 J49 K49 H50 I50 J50 K50 H51 I51 J51 K51 H52 I52 J52 K52 H53 I53 J53 K53 H54 I54 J54 K54">
      <formula1>"T,R"</formula1>
    </dataValidation>
  </dataValidation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daniarsyah</cp:lastModifiedBy>
  <dcterms:created xsi:type="dcterms:W3CDTF">2025-12-07T13:12:56Z</dcterms:created>
  <dcterms:modified xsi:type="dcterms:W3CDTF">2025-12-07T13:14:55Z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51B1428710BD37EA5F1B35692F854BD3_42</vt:lpwstr>
  </property>
  <property fmtid="{D5CDD505-2E9C-101B-9397-08002B2CF9AE}" pid="3" name="KSOProductBuildVer">
    <vt:lpwstr>1033-12.1.2.22571</vt:lpwstr>
  </property>
</Properties>
</file>