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750" windowHeight="11950"/>
  </bookViews>
  <sheets>
    <sheet name="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<sst xmlns="http://schemas.openxmlformats.org/spreadsheetml/2006/main" count="420" uniqueCount="228">
  <si>
    <t xml:space="preserve">FORMAT IMPORT NILAI RAPOR INFORMATIKA, KELAS  X-03 </t>
  </si>
  <si>
    <t>e0c68ef1-ca33-465d-a37f-8cd87d8d2d42</t>
  </si>
  <si>
    <t>NO</t>
  </si>
  <si>
    <t>NILRPT</t>
  </si>
  <si>
    <t>NISN</t>
  </si>
  <si>
    <t>NAMA SISWA</t>
  </si>
  <si>
    <t>NILAI RAPOR</t>
  </si>
  <si>
    <t>TINGKAT KETERCAPAIAN TP</t>
  </si>
  <si>
    <t>VALIDASI</t>
  </si>
  <si>
    <t>8d504eb0-60c1-4af1-98b6-db3f0d9e0565</t>
  </si>
  <si>
    <t>28085350-99e4-464c-a0b3-1e5ddb14a275</t>
  </si>
  <si>
    <t>164fa34c-94aa-43d3-b024-85af37e6fd8b</t>
  </si>
  <si>
    <t>4034a132-83e7-498b-9272-fa35be2ef877</t>
  </si>
  <si>
    <t>Informatika dan Kemampuan Umum</t>
  </si>
  <si>
    <t>Berpikir Komputasional</t>
  </si>
  <si>
    <t>Teknologi Informasi dan Komunikasi</t>
  </si>
  <si>
    <t>Sistem Komputer</t>
  </si>
  <si>
    <t>TP.1015</t>
  </si>
  <si>
    <t>TP.1016</t>
  </si>
  <si>
    <t>TP.1017</t>
  </si>
  <si>
    <t>TP.1018</t>
  </si>
  <si>
    <t>TR</t>
  </si>
  <si>
    <t>OP</t>
  </si>
  <si>
    <t>NILAI</t>
  </si>
  <si>
    <t>10468544-f21c-400b-bce5-4cf9ffaeaded</t>
  </si>
  <si>
    <t>8c7e3177-9d40-4711-9431-9da4c8242a4b</t>
  </si>
  <si>
    <t>0102533234</t>
  </si>
  <si>
    <t>ADAM RIDHO NUR AKBAR</t>
  </si>
  <si>
    <t>T</t>
  </si>
  <si>
    <t>R</t>
  </si>
  <si>
    <t>78bcab37-badc-4b98-b27e-255ebf0d7b46</t>
  </si>
  <si>
    <t>bf0c4957-f79b-4193-8097-6f5b42f90155</t>
  </si>
  <si>
    <t>0095812253</t>
  </si>
  <si>
    <t>ALIIFAH NURSASMITA</t>
  </si>
  <si>
    <t>35897cc2-8a7d-401c-bc24-4cfeea0f8755</t>
  </si>
  <si>
    <t>0b0ab90f-c35c-4b58-b836-27a838bfb03a</t>
  </si>
  <si>
    <t>0103717465</t>
  </si>
  <si>
    <t>ALISHA NATHA MARSELA</t>
  </si>
  <si>
    <t>0fcea4b9-0abb-4608-bc18-215e0de1352a</t>
  </si>
  <si>
    <t>fdae05e2-ca0a-497f-89c0-d5abe8227910</t>
  </si>
  <si>
    <t>0103349724</t>
  </si>
  <si>
    <t>ARKAN KHAIRY RAHMAN</t>
  </si>
  <si>
    <t>10c71e52-6611-4415-9bf0-2cb85302ab5d</t>
  </si>
  <si>
    <t>37bb1262-a9f3-426c-bed2-56bff7d14514</t>
  </si>
  <si>
    <t>0092780358</t>
  </si>
  <si>
    <t>AYU ARIYANTI</t>
  </si>
  <si>
    <t>451bc95e-e347-4a11-900a-0f4b6a02822a</t>
  </si>
  <si>
    <t>c1f5d70c-fec8-4686-a422-2f64e3bdafe3</t>
  </si>
  <si>
    <t>0106796556</t>
  </si>
  <si>
    <t>CAHAYA SRI MAHADEWI</t>
  </si>
  <si>
    <t>135a458e-6666-4bb3-b5d7-4216376a6397</t>
  </si>
  <si>
    <t>ce9b9761-87e1-45d8-b3e3-3888fd28ad15</t>
  </si>
  <si>
    <t>0104430518</t>
  </si>
  <si>
    <t>CALVIN NAIBAHO</t>
  </si>
  <si>
    <t>11eb526d-2103-406f-ae8c-8dd225b5ce2f</t>
  </si>
  <si>
    <t>aa14239f-dfa3-4307-a587-99efe261d404</t>
  </si>
  <si>
    <t>0098332774</t>
  </si>
  <si>
    <t>CANDRA SANI ANANDA</t>
  </si>
  <si>
    <t>8815600d-ed1c-4fd1-9d6c-3c4ddb874084</t>
  </si>
  <si>
    <t>57c49762-4441-4d6b-ba81-126691bbbc79</t>
  </si>
  <si>
    <t>0096700921</t>
  </si>
  <si>
    <t>DAANISH SHAZIYA DESTRIAR RAHMAT</t>
  </si>
  <si>
    <t>aa0f0a2a-4828-4863-8604-eaf1d2a4acf8</t>
  </si>
  <si>
    <t>4604aea7-0767-440b-8b57-a8626ed4e17b</t>
  </si>
  <si>
    <t>3099740259</t>
  </si>
  <si>
    <t>DARA ELVARIA ZULIA</t>
  </si>
  <si>
    <t>ab6e4bf4-2856-44b3-b41b-36fa7247b1ad</t>
  </si>
  <si>
    <t>6ea1b92b-dcba-43a2-97d8-9f8f71f80567</t>
  </si>
  <si>
    <t>3105837808</t>
  </si>
  <si>
    <t>DELLA SITI MUNAZAH MARDIAH</t>
  </si>
  <si>
    <t>d829d191-f5b0-40d0-9f5d-0658d2c291ce</t>
  </si>
  <si>
    <t>e23ed6dd-974f-4359-899a-6c6e90561d67</t>
  </si>
  <si>
    <t>0094909590</t>
  </si>
  <si>
    <t>DEVIA ANATASYA</t>
  </si>
  <si>
    <t>afacab83-9bdf-48b1-a914-7716b4f35bc5</t>
  </si>
  <si>
    <t>59b0b547-1f28-4fc0-9274-5014f2c1d8d5</t>
  </si>
  <si>
    <t>0092173922</t>
  </si>
  <si>
    <t>DHAFIN RAZAQA PUTRA</t>
  </si>
  <si>
    <t>e71e6ec0-0f21-4e4d-8310-8f0317503934</t>
  </si>
  <si>
    <t>79dc751e-0c4d-49d1-9209-787eda732eea</t>
  </si>
  <si>
    <t>0096181737</t>
  </si>
  <si>
    <t>FIDELA DIDRIKA NARESWARI</t>
  </si>
  <si>
    <t>d039888d-5a7d-4ddf-a590-c5d4a311be09</t>
  </si>
  <si>
    <t>d2b90e9f-c42c-49fb-9f79-f4f3641438c0</t>
  </si>
  <si>
    <t>0095959355</t>
  </si>
  <si>
    <t>GHIANDA CETTA DESTRIANTI</t>
  </si>
  <si>
    <t>93fba517-2a6b-45ed-9879-cbbfc2edf237</t>
  </si>
  <si>
    <t>50b8da8a-ae88-49c0-8f84-513be890dc02</t>
  </si>
  <si>
    <t>3104934369</t>
  </si>
  <si>
    <t>GRACE RACHEL</t>
  </si>
  <si>
    <t>5f37db8b-ba06-4277-8fde-2001f95f345b</t>
  </si>
  <si>
    <t>86b7534d-b48b-436b-9a4b-88f2b45d994c</t>
  </si>
  <si>
    <t>0093796158</t>
  </si>
  <si>
    <t>HARTA AL KINDI</t>
  </si>
  <si>
    <t>0501189f-bb2a-4e6c-a98d-14f4bf7143cc</t>
  </si>
  <si>
    <t>b926402f-49f1-43ce-a299-87d230c7335e</t>
  </si>
  <si>
    <t>0099717769</t>
  </si>
  <si>
    <t>HELGA DESNATALIA ZEGA</t>
  </si>
  <si>
    <t>83b9c6e5-6127-486d-8b90-57f2bbadb719</t>
  </si>
  <si>
    <t>8baea1ce-91e2-4f1d-8e4d-6da6c0564bbd</t>
  </si>
  <si>
    <t>0105807615</t>
  </si>
  <si>
    <t>ISAIAH KENNETH ONGGELENG</t>
  </si>
  <si>
    <t>375dac72-700c-44f4-8120-9b3612510c73</t>
  </si>
  <si>
    <t>82fa126e-84d7-4fef-aba8-9559298fab82</t>
  </si>
  <si>
    <t>0108284559</t>
  </si>
  <si>
    <t>KAMELIA ARBA INARUS</t>
  </si>
  <si>
    <t>904fd610-376d-47d5-9ed9-7c903bc8121b</t>
  </si>
  <si>
    <t>955b490e-d24d-4ece-9c33-40725df0d1ae</t>
  </si>
  <si>
    <t>0104062616</t>
  </si>
  <si>
    <t>KEYLA PUTRI APRILIA</t>
  </si>
  <si>
    <t>04c14dac-5909-4905-a001-f6ede18a6f4b</t>
  </si>
  <si>
    <t>973ac7aa-a81b-4f0a-a0b0-73bbee75c1a3</t>
  </si>
  <si>
    <t>0107159648</t>
  </si>
  <si>
    <t>LAYLA NUR ANNISAH</t>
  </si>
  <si>
    <t>db49cbd8-de11-4f0e-abec-e9a218f04d58</t>
  </si>
  <si>
    <t>34c7b615-78e0-41bf-9b43-49029aa2f18c</t>
  </si>
  <si>
    <t>0098464619</t>
  </si>
  <si>
    <t>MOCHAMAD IRWAN BEARLIANA</t>
  </si>
  <si>
    <t>3adf3c77-0b84-4b04-b39c-cbce04f63641</t>
  </si>
  <si>
    <t>c2cfb64a-855d-414f-8f07-55b2acb66fae</t>
  </si>
  <si>
    <t>0099445241</t>
  </si>
  <si>
    <t>MUHAMAD BAGAS JULIAN FAHREZI</t>
  </si>
  <si>
    <t>096d918f-11d5-406f-9bca-de49d36d8fc0</t>
  </si>
  <si>
    <t>349dfc55-cdb0-40a5-9e2e-8f93503149af</t>
  </si>
  <si>
    <t>0105108878</t>
  </si>
  <si>
    <t>MUHAMMAD LEVIDHYA KERTYA PRATAMA</t>
  </si>
  <si>
    <t>c4dd3b4b-ce8c-4dc1-8e01-d60c0cd92385</t>
  </si>
  <si>
    <t>e563a750-1c6f-4b55-838f-ea729603d597</t>
  </si>
  <si>
    <t>0108380586</t>
  </si>
  <si>
    <t>MUHAMMAD NUR GHANI</t>
  </si>
  <si>
    <t>396ef0bd-dc86-419a-997b-f09503ae9389</t>
  </si>
  <si>
    <t>55e3837a-c6c9-482f-b12b-3dacb6044ac7</t>
  </si>
  <si>
    <t>0095300849</t>
  </si>
  <si>
    <t>MUHAMMAD REZKY SAID PUTRA RAMADHAN</t>
  </si>
  <si>
    <t>6265bed5-2d19-405e-9c8a-101304284444</t>
  </si>
  <si>
    <t>d254149e-004d-4ecb-bd38-4aec0e38858c</t>
  </si>
  <si>
    <t>0094789529</t>
  </si>
  <si>
    <t>MUTIARA RAHMADEWI</t>
  </si>
  <si>
    <t>cc8b42e5-8543-45f2-a594-7f54d8580f59</t>
  </si>
  <si>
    <t>43d41f1c-ee7b-4f6a-bef0-0affd0534b29</t>
  </si>
  <si>
    <t>0098911128</t>
  </si>
  <si>
    <t>NAFISAH NAILAL HUSNA</t>
  </si>
  <si>
    <t>7107cc45-0c0c-4dba-a3dd-f7f86cc85020</t>
  </si>
  <si>
    <t>32d33565-1fe5-40c8-863d-b11549f4b01f</t>
  </si>
  <si>
    <t>0104468091</t>
  </si>
  <si>
    <t>NAILA IKRIMATUN NISA</t>
  </si>
  <si>
    <t>e78cd685-a728-46e7-a090-176be844934d</t>
  </si>
  <si>
    <t>fe1d8668-9bc1-4bb9-b24b-d6d3a3057a42</t>
  </si>
  <si>
    <t>0101695135</t>
  </si>
  <si>
    <t>NATASYA AMELIA PUTRI</t>
  </si>
  <si>
    <t>be1544bb-ee87-459d-82ab-56815a25aaed</t>
  </si>
  <si>
    <t>6a7c990c-0c7a-4775-8cd8-ba6c4b2e4721</t>
  </si>
  <si>
    <t>0099405495</t>
  </si>
  <si>
    <t>NAZWA NUR AMELIA</t>
  </si>
  <si>
    <t>5adb8330-4a98-4897-8f1f-da0f646ec913</t>
  </si>
  <si>
    <t>b5549031-10b3-43a2-b1f4-90400d60bdd5</t>
  </si>
  <si>
    <t>0096265739</t>
  </si>
  <si>
    <t>PUTRA PERMANA SIDIK</t>
  </si>
  <si>
    <t>709d2981-8d86-4e21-b82b-7ec650994484</t>
  </si>
  <si>
    <t>f3179b0b-a7cc-43ce-8979-37b8f6939eaf</t>
  </si>
  <si>
    <t>0092976783</t>
  </si>
  <si>
    <t>QONITA NAILA HAZNA</t>
  </si>
  <si>
    <t>318dfbc0-d38c-44c6-ab00-36ce1154e0c4</t>
  </si>
  <si>
    <t>96d1e11b-5c17-4825-b5d2-40dd963ec03f</t>
  </si>
  <si>
    <t>0091854312</t>
  </si>
  <si>
    <t>RAAFI DWI PRADIPTA</t>
  </si>
  <si>
    <t>2bf03625-52e7-49bd-b24f-31c1dbdb0158</t>
  </si>
  <si>
    <t>90936c0e-ca67-4bdc-a53e-00e58e12b90a</t>
  </si>
  <si>
    <t>0093910542</t>
  </si>
  <si>
    <t>RASYA PRIATNA PUTRA</t>
  </si>
  <si>
    <t>ad984d83-d156-420a-94c7-33ff27ac1691</t>
  </si>
  <si>
    <t>a6faa3d7-2a5b-4862-9aef-c8d23c5a2a14</t>
  </si>
  <si>
    <t>0109568036</t>
  </si>
  <si>
    <t>REYHAN FAJAR JUNIAN</t>
  </si>
  <si>
    <t>a31e3293-ed6c-4630-9cee-244b1db29f6a</t>
  </si>
  <si>
    <t>1361bba3-6136-4193-b425-4b3cd06602a4</t>
  </si>
  <si>
    <t>0104732085</t>
  </si>
  <si>
    <t>REZQI NURASSYIFA RAMADHANI</t>
  </si>
  <si>
    <t>c020f5c6-81b3-4d20-ade3-3e98955eca99</t>
  </si>
  <si>
    <t>b4d19c9f-53c9-4ae4-bde9-f966157d69e7</t>
  </si>
  <si>
    <t>0107321707</t>
  </si>
  <si>
    <t>RIFKI RADITYA</t>
  </si>
  <si>
    <t>ba83ce0e-5ee6-406e-b658-fc821e93612d</t>
  </si>
  <si>
    <t>1f4bedb4-88e6-443e-b6cc-508febb16a58</t>
  </si>
  <si>
    <t>0092574917</t>
  </si>
  <si>
    <t>RISKI JULIANSYAH</t>
  </si>
  <si>
    <t>ff118acd-8dbd-4412-9995-ec2b426fde33</t>
  </si>
  <si>
    <t>85fc503b-3d18-45ac-b732-e1b5579016bd</t>
  </si>
  <si>
    <t>0103181045</t>
  </si>
  <si>
    <t>RISMA ANZANI FITRIANI</t>
  </si>
  <si>
    <t>3a8f5ec0-0827-4a7f-88ef-10ab8cf40469</t>
  </si>
  <si>
    <t>67c5e0aa-a2da-446b-bd6a-e03348dc8239</t>
  </si>
  <si>
    <t>0096278562</t>
  </si>
  <si>
    <t>RIYANI RAHMADANI</t>
  </si>
  <si>
    <t>4f70c9b2-1563-4f19-bd69-399b1636996d</t>
  </si>
  <si>
    <t>4057b1ad-9aa8-4512-8882-26da5a755833</t>
  </si>
  <si>
    <t>0096561146</t>
  </si>
  <si>
    <t>SABRINA NOVANTI</t>
  </si>
  <si>
    <t>2ff36f58-9947-44ca-a411-d3ed9f689bd4</t>
  </si>
  <si>
    <t>b2024b2b-b8d4-479b-87d9-017f10205b34</t>
  </si>
  <si>
    <t>0093627667</t>
  </si>
  <si>
    <t>SISIL NOVITA HEMANINGSIH</t>
  </si>
  <si>
    <t>ce2fe63e-d3ae-408b-b49f-12031fb08ab0</t>
  </si>
  <si>
    <t>6c6c790d-d255-4e33-a84e-db718734ff05</t>
  </si>
  <si>
    <t>0096456159</t>
  </si>
  <si>
    <t>SITI MARWAH SOLIHAH</t>
  </si>
  <si>
    <t>be78eee1-8e7a-496f-8686-956b6ea7f6b7</t>
  </si>
  <si>
    <t>76ec0c59-986e-4361-bfd6-c7aa223b1c66</t>
  </si>
  <si>
    <t>0096593185</t>
  </si>
  <si>
    <t>SYAHRIEL ALMUKHNIANSYAH</t>
  </si>
  <si>
    <t>576fae16-ba7b-4712-9f91-7422a060f434</t>
  </si>
  <si>
    <t>a24f0368-05f5-46f6-8556-2fe805863014</t>
  </si>
  <si>
    <t>0109791707</t>
  </si>
  <si>
    <t>SYERA AURELIA AZAHRA AZKIYA KURNIAWAN</t>
  </si>
  <si>
    <t>e08c689e-5347-4619-a152-601e2efc59ea</t>
  </si>
  <si>
    <t>6ecebca2-89ad-4030-974e-d2fead836251</t>
  </si>
  <si>
    <t>3091779992</t>
  </si>
  <si>
    <t>WULAN AULIA</t>
  </si>
  <si>
    <t>KETERANGAN :</t>
  </si>
  <si>
    <t xml:space="preserve"> &gt; TP.1015 : Informatika dan Kemampuan Umum</t>
  </si>
  <si>
    <t xml:space="preserve"> &gt; TP.1016 : Berpikir Komputasional</t>
  </si>
  <si>
    <t xml:space="preserve"> &gt; TP.1017 : Teknologi Informasi dan Komunikasi</t>
  </si>
  <si>
    <t xml:space="preserve"> &gt; TP.1018 : Sistem Komputer</t>
  </si>
  <si>
    <t>Catatan Validasi:</t>
  </si>
  <si>
    <t xml:space="preserve"> &gt; Jika Nilai Rapor Siswa kurang dari 100, silahkah dipilih Tujuan Pembelajaran mana saja yang masih perlu peningkatan (minimal 1)</t>
  </si>
  <si>
    <t xml:space="preserve"> &gt; Selain memilih Tujuan Pembelajaran yang masih perlu peningkatan, pilih juga Tujuan Pembelajaran yang mana saja sudah dicapai dengan sangat optimal (minimal 1)</t>
  </si>
  <si>
    <t xml:space="preserve"> &gt; Tidak mesti semua Tujuan Pembelajaran yarus dipilih, minimal pilih satu yang paling optimal dan satu yang paling minimal</t>
  </si>
  <si>
    <t xml:space="preserve"> &gt; Pahami Konsep Pembelajaran dan Asesmen sebagaimana telah dimuat pada Buku Panduan PPA agar tidak keliru dalam memahami format nilai rapor ini.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</si>
</sst>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rgb="FF000000"/>
      <name val="Calibri"/>
      <charset val="134"/>
    </font>
    <font>
      <b/>
      <sz val="14"/>
      <color rgb="FF000000"/>
      <name val="Calibri"/>
      <charset val="134"/>
    </font>
    <font>
      <b/>
      <sz val="12"/>
      <color rgb="FFFFFFFF"/>
      <name val="Calibri"/>
      <charset val="134"/>
    </font>
    <font>
      <b/>
      <sz val="11"/>
      <color rgb="FFFFFFFF"/>
      <name val="Calibri"/>
      <charset val="134"/>
    </font>
    <font>
      <b/>
      <sz val="12"/>
      <color rgb="FF000000"/>
      <name val="Calibri"/>
      <charset val="134"/>
    </font>
    <font>
      <b/>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4F81BD"/>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2">
    <xf numFmtId="0" fontId="0" fillId="0" borderId="0" xfId="0"/>
    <xf numFmtId="0" fontId="1" fillId="0" borderId="0" xfId="0" applyFont="1" applyProtection="1"/>
    <xf numFmtId="0" fontId="0" fillId="0" borderId="0" xfId="0" applyProtection="1"/>
    <xf numFmtId="0" fontId="2" fillId="2" borderId="1" xfId="0" applyFont="1" applyFill="1" applyBorder="1" applyAlignment="1" applyProtection="1">
      <alignment horizontal="center" vertical="center"/>
    </xf>
    <xf numFmtId="0" fontId="3" fillId="2" borderId="1" xfId="0" applyFont="1" applyFill="1" applyBorder="1" applyAlignment="1" applyProtection="1">
      <alignment horizontal="center" vertical="top" wrapText="1"/>
    </xf>
    <xf numFmtId="0" fontId="0" fillId="0" borderId="1" xfId="0" applyBorder="1" applyAlignment="1" applyProtection="1">
      <alignment vertical="top" wrapText="1"/>
    </xf>
    <xf numFmtId="0" fontId="4" fillId="0" borderId="0" xfId="0" applyFont="1"/>
    <xf numFmtId="0" fontId="5" fillId="0" borderId="0" xfId="0" applyFont="1"/>
    <xf numFmtId="0" fontId="3" fillId="2" borderId="1" xfId="0" applyFont="1" applyFill="1" applyBorder="1" applyAlignment="1" applyProtection="1">
      <alignment horizontal="center" vertical="top" wrapText="1"/>
      <protection locked="0"/>
    </xf>
    <xf numFmtId="0" fontId="0" fillId="0" borderId="1" xfId="0" applyBorder="1" applyAlignment="1" applyProtection="1">
      <alignment horizontal="center" vertical="top" wrapText="1"/>
      <protection locked="0"/>
    </xf>
    <xf numFmtId="0" fontId="0" fillId="0" borderId="1" xfId="0" applyBorder="1" applyAlignment="1" applyProtection="1">
      <alignment horizontal="center" vertical="top" wrapText="1"/>
    </xf>
    <xf numFmtId="0" fontId="0" fillId="0" borderId="1" xfId="0" applyBorder="1" applyAlignment="1" applyProtection="1">
      <alignment vertical="top" wrapText="1"/>
      <protection hidden="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65"/>
  <sheetViews>
    <sheetView tabSelected="1" workbookViewId="0">
      <selection activeCell="P19" sqref="P19"/>
    </sheetView>
  </sheetViews>
  <sheetFormatPr defaultColWidth="9" defaultRowHeight="14.4"/>
  <cols>
    <col min="1" max="1" width="5" customWidth="1"/>
    <col min="2" max="4" width="9" hidden="1" customWidth="1"/>
    <col min="5" max="5" width="13" customWidth="1"/>
    <col min="6" max="6" width="44.7" customWidth="1"/>
    <col min="7" max="7" width="17.7083333333333" customWidth="1"/>
    <col min="8" max="11" width="10" customWidth="1"/>
    <col min="12" max="13" width="9" hidden="1" customWidth="1"/>
    <col min="14" max="14" width="15" customWidth="1"/>
  </cols>
  <sheetData>
    <row r="1" ht="17.4" spans="1:52">
      <c r="A1" s="1" t="s">
        <v>0</v>
      </c>
      <c r="B1" s="2">
        <v>14</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c r="A2" s="2"/>
      <c r="B2" s="2">
        <v>54</v>
      </c>
      <c r="C2" s="2" t="s">
        <v>1</v>
      </c>
      <c r="D2" s="2">
        <v>700106100</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ht="25" customHeight="1" spans="1:52">
      <c r="A3" s="3" t="s">
        <v>2</v>
      </c>
      <c r="B3" s="3" t="s">
        <v>3</v>
      </c>
      <c r="C3" s="3" t="s">
        <v>3</v>
      </c>
      <c r="D3" s="3" t="s">
        <v>3</v>
      </c>
      <c r="E3" s="3" t="s">
        <v>4</v>
      </c>
      <c r="F3" s="3" t="s">
        <v>5</v>
      </c>
      <c r="G3" s="3" t="s">
        <v>6</v>
      </c>
      <c r="H3" s="3" t="s">
        <v>7</v>
      </c>
      <c r="I3" s="3"/>
      <c r="J3" s="3"/>
      <c r="K3" s="3"/>
      <c r="L3" s="3" t="s">
        <v>8</v>
      </c>
      <c r="M3" s="3"/>
      <c r="N3" s="3"/>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hidden="1" customHeight="1" spans="1:52">
      <c r="A4" s="4"/>
      <c r="B4" s="4"/>
      <c r="C4" s="4"/>
      <c r="D4" s="4"/>
      <c r="E4" s="4"/>
      <c r="F4" s="4"/>
      <c r="G4" s="8"/>
      <c r="H4" s="8" t="s">
        <v>9</v>
      </c>
      <c r="I4" s="8" t="s">
        <v>10</v>
      </c>
      <c r="J4" s="8" t="s">
        <v>11</v>
      </c>
      <c r="K4" s="8" t="s">
        <v>12</v>
      </c>
      <c r="L4" s="4"/>
      <c r="M4" s="4"/>
      <c r="N4" s="4"/>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hidden="1" customHeight="1" spans="1:52">
      <c r="A5" s="4"/>
      <c r="B5" s="4"/>
      <c r="C5" s="4"/>
      <c r="D5" s="4"/>
      <c r="E5" s="4"/>
      <c r="F5" s="4"/>
      <c r="G5" s="8"/>
      <c r="H5" s="8" t="s">
        <v>13</v>
      </c>
      <c r="I5" s="8" t="s">
        <v>14</v>
      </c>
      <c r="J5" s="8" t="s">
        <v>15</v>
      </c>
      <c r="K5" s="8" t="s">
        <v>16</v>
      </c>
      <c r="L5" s="4"/>
      <c r="M5" s="4"/>
      <c r="N5" s="4"/>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ht="15" spans="1:52">
      <c r="A6" s="4"/>
      <c r="B6" s="4"/>
      <c r="C6" s="4"/>
      <c r="D6" s="4"/>
      <c r="E6" s="4"/>
      <c r="F6" s="4"/>
      <c r="G6" s="8"/>
      <c r="H6" s="8" t="s">
        <v>17</v>
      </c>
      <c r="I6" s="8" t="s">
        <v>18</v>
      </c>
      <c r="J6" s="8" t="s">
        <v>19</v>
      </c>
      <c r="K6" s="8" t="s">
        <v>20</v>
      </c>
      <c r="L6" s="4" t="s">
        <v>21</v>
      </c>
      <c r="M6" s="4" t="s">
        <v>22</v>
      </c>
      <c r="N6" s="4" t="s">
        <v>23</v>
      </c>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ht="20" customHeight="1" spans="1:52">
      <c r="A7" s="5">
        <v>1</v>
      </c>
      <c r="B7" s="5" t="s">
        <v>24</v>
      </c>
      <c r="C7" s="5" t="s">
        <v>25</v>
      </c>
      <c r="D7" s="5">
        <v>1</v>
      </c>
      <c r="E7" s="5" t="s">
        <v>26</v>
      </c>
      <c r="F7" s="5" t="s">
        <v>27</v>
      </c>
      <c r="G7" s="9">
        <v>86.5000958772771</v>
      </c>
      <c r="H7" s="9" t="s">
        <v>28</v>
      </c>
      <c r="I7" s="9" t="s">
        <v>28</v>
      </c>
      <c r="J7" s="9" t="s">
        <v>29</v>
      </c>
      <c r="K7" s="9" t="s">
        <v>28</v>
      </c>
      <c r="L7" s="10">
        <f t="shared" ref="L7:L54" si="0">COUNTIF(H7:K7,"R")</f>
        <v>1</v>
      </c>
      <c r="M7" s="10">
        <f t="shared" ref="M7:M54" si="1">COUNTIF(H7:K7,"T")</f>
        <v>3</v>
      </c>
      <c r="N7" s="11" t="str">
        <f t="shared" ref="N7:N54" si="2">IF(G7="","",IF(G7=100,IF(L7&gt;0,"Tidak Valid",IF((L7+M7)&gt;0,"Valid","Tidak Valid")),IF(L7=0,"Tidak Valid",IF((L7+M7)&gt;0,"Valid","Tidak Valid"))))</f>
        <v>Valid</v>
      </c>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ht="20" customHeight="1" spans="1:52">
      <c r="A8" s="5">
        <v>2</v>
      </c>
      <c r="B8" s="5" t="s">
        <v>30</v>
      </c>
      <c r="C8" s="5" t="s">
        <v>31</v>
      </c>
      <c r="D8" s="5">
        <v>1</v>
      </c>
      <c r="E8" s="5" t="s">
        <v>32</v>
      </c>
      <c r="F8" s="5" t="s">
        <v>33</v>
      </c>
      <c r="G8" s="9">
        <v>82.1011185682327</v>
      </c>
      <c r="H8" s="9" t="s">
        <v>28</v>
      </c>
      <c r="I8" s="9" t="s">
        <v>28</v>
      </c>
      <c r="J8" s="9" t="s">
        <v>29</v>
      </c>
      <c r="K8" s="9" t="s">
        <v>28</v>
      </c>
      <c r="L8" s="10">
        <f t="shared" si="0"/>
        <v>1</v>
      </c>
      <c r="M8" s="10">
        <f t="shared" si="1"/>
        <v>3</v>
      </c>
      <c r="N8" s="11" t="str">
        <f t="shared" si="2"/>
        <v>Valid</v>
      </c>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ht="20" customHeight="1" spans="1:52">
      <c r="A9" s="5">
        <v>3</v>
      </c>
      <c r="B9" s="5" t="s">
        <v>34</v>
      </c>
      <c r="C9" s="5" t="s">
        <v>35</v>
      </c>
      <c r="D9" s="5">
        <v>1</v>
      </c>
      <c r="E9" s="5" t="s">
        <v>36</v>
      </c>
      <c r="F9" s="5" t="s">
        <v>37</v>
      </c>
      <c r="G9" s="9">
        <v>86.3746244806648</v>
      </c>
      <c r="H9" s="9" t="s">
        <v>28</v>
      </c>
      <c r="I9" s="9" t="s">
        <v>28</v>
      </c>
      <c r="J9" s="9" t="s">
        <v>29</v>
      </c>
      <c r="K9" s="9" t="s">
        <v>28</v>
      </c>
      <c r="L9" s="10">
        <f t="shared" si="0"/>
        <v>1</v>
      </c>
      <c r="M9" s="10">
        <f t="shared" si="1"/>
        <v>3</v>
      </c>
      <c r="N9" s="11" t="str">
        <f t="shared" si="2"/>
        <v>Valid</v>
      </c>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ht="20" customHeight="1" spans="1:52">
      <c r="A10" s="5">
        <v>4</v>
      </c>
      <c r="B10" s="5" t="s">
        <v>38</v>
      </c>
      <c r="C10" s="5" t="s">
        <v>39</v>
      </c>
      <c r="D10" s="5">
        <v>1</v>
      </c>
      <c r="E10" s="5" t="s">
        <v>40</v>
      </c>
      <c r="F10" s="5" t="s">
        <v>41</v>
      </c>
      <c r="G10" s="9">
        <v>89.6264940875679</v>
      </c>
      <c r="H10" s="9" t="s">
        <v>28</v>
      </c>
      <c r="I10" s="9" t="s">
        <v>28</v>
      </c>
      <c r="J10" s="9" t="s">
        <v>29</v>
      </c>
      <c r="K10" s="9" t="s">
        <v>28</v>
      </c>
      <c r="L10" s="10">
        <f t="shared" si="0"/>
        <v>1</v>
      </c>
      <c r="M10" s="10">
        <f t="shared" si="1"/>
        <v>3</v>
      </c>
      <c r="N10" s="11" t="str">
        <f t="shared" si="2"/>
        <v>Valid</v>
      </c>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ht="20" customHeight="1" spans="1:52">
      <c r="A11" s="5">
        <v>5</v>
      </c>
      <c r="B11" s="5" t="s">
        <v>42</v>
      </c>
      <c r="C11" s="5" t="s">
        <v>43</v>
      </c>
      <c r="D11" s="5">
        <v>1</v>
      </c>
      <c r="E11" s="5" t="s">
        <v>44</v>
      </c>
      <c r="F11" s="5" t="s">
        <v>45</v>
      </c>
      <c r="G11" s="9">
        <v>89.4146053052093</v>
      </c>
      <c r="H11" s="9" t="s">
        <v>28</v>
      </c>
      <c r="I11" s="9" t="s">
        <v>28</v>
      </c>
      <c r="J11" s="9" t="s">
        <v>29</v>
      </c>
      <c r="K11" s="9" t="s">
        <v>28</v>
      </c>
      <c r="L11" s="10">
        <f t="shared" si="0"/>
        <v>1</v>
      </c>
      <c r="M11" s="10">
        <f t="shared" si="1"/>
        <v>3</v>
      </c>
      <c r="N11" s="11" t="str">
        <f t="shared" si="2"/>
        <v>Valid</v>
      </c>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row>
    <row r="12" ht="20" customHeight="1" spans="1:52">
      <c r="A12" s="5">
        <v>6</v>
      </c>
      <c r="B12" s="5" t="s">
        <v>46</v>
      </c>
      <c r="C12" s="5" t="s">
        <v>47</v>
      </c>
      <c r="D12" s="5">
        <v>1</v>
      </c>
      <c r="E12" s="5" t="s">
        <v>48</v>
      </c>
      <c r="F12" s="5" t="s">
        <v>49</v>
      </c>
      <c r="G12" s="9">
        <v>89.4162671780122</v>
      </c>
      <c r="H12" s="9" t="s">
        <v>28</v>
      </c>
      <c r="I12" s="9" t="s">
        <v>28</v>
      </c>
      <c r="J12" s="9" t="s">
        <v>29</v>
      </c>
      <c r="K12" s="9" t="s">
        <v>28</v>
      </c>
      <c r="L12" s="10">
        <f t="shared" si="0"/>
        <v>1</v>
      </c>
      <c r="M12" s="10">
        <f t="shared" si="1"/>
        <v>3</v>
      </c>
      <c r="N12" s="11" t="str">
        <f t="shared" si="2"/>
        <v>Valid</v>
      </c>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ht="20" customHeight="1" spans="1:52">
      <c r="A13" s="5">
        <v>7</v>
      </c>
      <c r="B13" s="5" t="s">
        <v>50</v>
      </c>
      <c r="C13" s="5" t="s">
        <v>51</v>
      </c>
      <c r="D13" s="5">
        <v>1</v>
      </c>
      <c r="E13" s="5" t="s">
        <v>52</v>
      </c>
      <c r="F13" s="5" t="s">
        <v>53</v>
      </c>
      <c r="G13" s="9">
        <v>89.2230744646852</v>
      </c>
      <c r="H13" s="9" t="s">
        <v>28</v>
      </c>
      <c r="I13" s="9" t="s">
        <v>28</v>
      </c>
      <c r="J13" s="9" t="s">
        <v>29</v>
      </c>
      <c r="K13" s="9" t="s">
        <v>28</v>
      </c>
      <c r="L13" s="10">
        <f t="shared" si="0"/>
        <v>1</v>
      </c>
      <c r="M13" s="10">
        <f t="shared" si="1"/>
        <v>3</v>
      </c>
      <c r="N13" s="11" t="str">
        <f t="shared" si="2"/>
        <v>Valid</v>
      </c>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row>
    <row r="14" ht="20" customHeight="1" spans="1:52">
      <c r="A14" s="5">
        <v>8</v>
      </c>
      <c r="B14" s="5" t="s">
        <v>54</v>
      </c>
      <c r="C14" s="5" t="s">
        <v>55</v>
      </c>
      <c r="D14" s="5">
        <v>1</v>
      </c>
      <c r="E14" s="5" t="s">
        <v>56</v>
      </c>
      <c r="F14" s="5" t="s">
        <v>57</v>
      </c>
      <c r="G14" s="9">
        <v>81.5431447746884</v>
      </c>
      <c r="H14" s="9" t="s">
        <v>28</v>
      </c>
      <c r="I14" s="9" t="s">
        <v>28</v>
      </c>
      <c r="J14" s="9" t="s">
        <v>29</v>
      </c>
      <c r="K14" s="9" t="s">
        <v>28</v>
      </c>
      <c r="L14" s="10">
        <f t="shared" si="0"/>
        <v>1</v>
      </c>
      <c r="M14" s="10">
        <f t="shared" si="1"/>
        <v>3</v>
      </c>
      <c r="N14" s="11" t="str">
        <f t="shared" si="2"/>
        <v>Valid</v>
      </c>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row>
    <row r="15" ht="20" customHeight="1" spans="1:52">
      <c r="A15" s="5">
        <v>9</v>
      </c>
      <c r="B15" s="5" t="s">
        <v>58</v>
      </c>
      <c r="C15" s="5" t="s">
        <v>59</v>
      </c>
      <c r="D15" s="5">
        <v>1</v>
      </c>
      <c r="E15" s="5" t="s">
        <v>60</v>
      </c>
      <c r="F15" s="5" t="s">
        <v>61</v>
      </c>
      <c r="G15" s="9">
        <v>86.0106743368488</v>
      </c>
      <c r="H15" s="9" t="s">
        <v>28</v>
      </c>
      <c r="I15" s="9" t="s">
        <v>28</v>
      </c>
      <c r="J15" s="9" t="s">
        <v>29</v>
      </c>
      <c r="K15" s="9" t="s">
        <v>28</v>
      </c>
      <c r="L15" s="10">
        <f t="shared" si="0"/>
        <v>1</v>
      </c>
      <c r="M15" s="10">
        <f t="shared" si="1"/>
        <v>3</v>
      </c>
      <c r="N15" s="11" t="str">
        <f t="shared" si="2"/>
        <v>Valid</v>
      </c>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row>
    <row r="16" ht="20" customHeight="1" spans="1:52">
      <c r="A16" s="5">
        <v>10</v>
      </c>
      <c r="B16" s="5" t="s">
        <v>62</v>
      </c>
      <c r="C16" s="5" t="s">
        <v>63</v>
      </c>
      <c r="D16" s="5">
        <v>1</v>
      </c>
      <c r="E16" s="5" t="s">
        <v>64</v>
      </c>
      <c r="F16" s="5" t="s">
        <v>65</v>
      </c>
      <c r="G16" s="9">
        <v>89.2438478747204</v>
      </c>
      <c r="H16" s="9" t="s">
        <v>28</v>
      </c>
      <c r="I16" s="9" t="s">
        <v>28</v>
      </c>
      <c r="J16" s="9" t="s">
        <v>29</v>
      </c>
      <c r="K16" s="9" t="s">
        <v>28</v>
      </c>
      <c r="L16" s="10">
        <f t="shared" si="0"/>
        <v>1</v>
      </c>
      <c r="M16" s="10">
        <f t="shared" si="1"/>
        <v>3</v>
      </c>
      <c r="N16" s="11" t="str">
        <f t="shared" si="2"/>
        <v>Valid</v>
      </c>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row>
    <row r="17" ht="20" customHeight="1" spans="1:52">
      <c r="A17" s="5">
        <v>11</v>
      </c>
      <c r="B17" s="5" t="s">
        <v>66</v>
      </c>
      <c r="C17" s="5" t="s">
        <v>67</v>
      </c>
      <c r="D17" s="5">
        <v>1</v>
      </c>
      <c r="E17" s="5" t="s">
        <v>68</v>
      </c>
      <c r="F17" s="5" t="s">
        <v>69</v>
      </c>
      <c r="G17" s="9">
        <v>86.1502716522851</v>
      </c>
      <c r="H17" s="9" t="s">
        <v>28</v>
      </c>
      <c r="I17" s="9" t="s">
        <v>28</v>
      </c>
      <c r="J17" s="9" t="s">
        <v>29</v>
      </c>
      <c r="K17" s="9" t="s">
        <v>28</v>
      </c>
      <c r="L17" s="10">
        <f t="shared" si="0"/>
        <v>1</v>
      </c>
      <c r="M17" s="10">
        <f t="shared" si="1"/>
        <v>3</v>
      </c>
      <c r="N17" s="11" t="str">
        <f t="shared" si="2"/>
        <v>Valid</v>
      </c>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ht="20" customHeight="1" spans="1:52">
      <c r="A18" s="5">
        <v>12</v>
      </c>
      <c r="B18" s="5" t="s">
        <v>70</v>
      </c>
      <c r="C18" s="5" t="s">
        <v>71</v>
      </c>
      <c r="D18" s="5">
        <v>1</v>
      </c>
      <c r="E18" s="5" t="s">
        <v>72</v>
      </c>
      <c r="F18" s="5" t="s">
        <v>73</v>
      </c>
      <c r="G18" s="9">
        <v>86.1502716522851</v>
      </c>
      <c r="H18" s="9" t="s">
        <v>28</v>
      </c>
      <c r="I18" s="9" t="s">
        <v>28</v>
      </c>
      <c r="J18" s="9" t="s">
        <v>29</v>
      </c>
      <c r="K18" s="9" t="s">
        <v>28</v>
      </c>
      <c r="L18" s="10">
        <f t="shared" si="0"/>
        <v>1</v>
      </c>
      <c r="M18" s="10">
        <f t="shared" si="1"/>
        <v>3</v>
      </c>
      <c r="N18" s="11" t="str">
        <f t="shared" si="2"/>
        <v>Valid</v>
      </c>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row>
    <row r="19" ht="20" customHeight="1" spans="1:52">
      <c r="A19" s="5">
        <v>13</v>
      </c>
      <c r="B19" s="5" t="s">
        <v>74</v>
      </c>
      <c r="C19" s="5" t="s">
        <v>75</v>
      </c>
      <c r="D19" s="5">
        <v>1</v>
      </c>
      <c r="E19" s="5" t="s">
        <v>76</v>
      </c>
      <c r="F19" s="5" t="s">
        <v>77</v>
      </c>
      <c r="G19" s="9">
        <v>89.4852348993289</v>
      </c>
      <c r="H19" s="9" t="s">
        <v>28</v>
      </c>
      <c r="I19" s="9" t="s">
        <v>28</v>
      </c>
      <c r="J19" s="9" t="s">
        <v>29</v>
      </c>
      <c r="K19" s="9" t="s">
        <v>28</v>
      </c>
      <c r="L19" s="10">
        <f t="shared" si="0"/>
        <v>1</v>
      </c>
      <c r="M19" s="10">
        <f t="shared" si="1"/>
        <v>3</v>
      </c>
      <c r="N19" s="11" t="str">
        <f t="shared" si="2"/>
        <v>Valid</v>
      </c>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ht="20" customHeight="1" spans="1:52">
      <c r="A20" s="5">
        <v>14</v>
      </c>
      <c r="B20" s="5" t="s">
        <v>78</v>
      </c>
      <c r="C20" s="5" t="s">
        <v>79</v>
      </c>
      <c r="D20" s="5">
        <v>1</v>
      </c>
      <c r="E20" s="5" t="s">
        <v>80</v>
      </c>
      <c r="F20" s="5" t="s">
        <v>81</v>
      </c>
      <c r="G20" s="9">
        <v>89.3834451901566</v>
      </c>
      <c r="H20" s="9" t="s">
        <v>28</v>
      </c>
      <c r="I20" s="9" t="s">
        <v>28</v>
      </c>
      <c r="J20" s="9" t="s">
        <v>29</v>
      </c>
      <c r="K20" s="9" t="s">
        <v>28</v>
      </c>
      <c r="L20" s="10">
        <f t="shared" si="0"/>
        <v>1</v>
      </c>
      <c r="M20" s="10">
        <f t="shared" si="1"/>
        <v>3</v>
      </c>
      <c r="N20" s="11" t="str">
        <f t="shared" si="2"/>
        <v>Valid</v>
      </c>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ht="20" customHeight="1" spans="1:52">
      <c r="A21" s="5">
        <v>15</v>
      </c>
      <c r="B21" s="5" t="s">
        <v>82</v>
      </c>
      <c r="C21" s="5" t="s">
        <v>83</v>
      </c>
      <c r="D21" s="5">
        <v>1</v>
      </c>
      <c r="E21" s="5" t="s">
        <v>84</v>
      </c>
      <c r="F21" s="5" t="s">
        <v>85</v>
      </c>
      <c r="G21" s="9">
        <v>89.2297219558965</v>
      </c>
      <c r="H21" s="9" t="s">
        <v>28</v>
      </c>
      <c r="I21" s="9" t="s">
        <v>28</v>
      </c>
      <c r="J21" s="9" t="s">
        <v>29</v>
      </c>
      <c r="K21" s="9" t="s">
        <v>28</v>
      </c>
      <c r="L21" s="10">
        <f t="shared" si="0"/>
        <v>1</v>
      </c>
      <c r="M21" s="10">
        <f t="shared" si="1"/>
        <v>3</v>
      </c>
      <c r="N21" s="11" t="str">
        <f t="shared" si="2"/>
        <v>Valid</v>
      </c>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ht="20" customHeight="1" spans="1:52">
      <c r="A22" s="5">
        <v>16</v>
      </c>
      <c r="B22" s="5" t="s">
        <v>86</v>
      </c>
      <c r="C22" s="5" t="s">
        <v>87</v>
      </c>
      <c r="D22" s="5">
        <v>1</v>
      </c>
      <c r="E22" s="5" t="s">
        <v>88</v>
      </c>
      <c r="F22" s="5" t="s">
        <v>89</v>
      </c>
      <c r="G22" s="9">
        <v>89.8807606263982</v>
      </c>
      <c r="H22" s="9" t="s">
        <v>28</v>
      </c>
      <c r="I22" s="9" t="s">
        <v>28</v>
      </c>
      <c r="J22" s="9" t="s">
        <v>29</v>
      </c>
      <c r="K22" s="9" t="s">
        <v>28</v>
      </c>
      <c r="L22" s="10">
        <f t="shared" si="0"/>
        <v>1</v>
      </c>
      <c r="M22" s="10">
        <f t="shared" si="1"/>
        <v>3</v>
      </c>
      <c r="N22" s="11" t="str">
        <f t="shared" si="2"/>
        <v>Valid</v>
      </c>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row>
    <row r="23" ht="20" customHeight="1" spans="1:52">
      <c r="A23" s="5">
        <v>17</v>
      </c>
      <c r="B23" s="5" t="s">
        <v>90</v>
      </c>
      <c r="C23" s="5" t="s">
        <v>91</v>
      </c>
      <c r="D23" s="5">
        <v>1</v>
      </c>
      <c r="E23" s="5" t="s">
        <v>92</v>
      </c>
      <c r="F23" s="5" t="s">
        <v>93</v>
      </c>
      <c r="G23" s="9">
        <v>84.1144774688399</v>
      </c>
      <c r="H23" s="9" t="s">
        <v>28</v>
      </c>
      <c r="I23" s="9" t="s">
        <v>28</v>
      </c>
      <c r="J23" s="9" t="s">
        <v>29</v>
      </c>
      <c r="K23" s="9" t="s">
        <v>28</v>
      </c>
      <c r="L23" s="10">
        <f t="shared" si="0"/>
        <v>1</v>
      </c>
      <c r="M23" s="10">
        <f t="shared" si="1"/>
        <v>3</v>
      </c>
      <c r="N23" s="11" t="str">
        <f t="shared" si="2"/>
        <v>Valid</v>
      </c>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ht="20" customHeight="1" spans="1:52">
      <c r="A24" s="5">
        <v>18</v>
      </c>
      <c r="B24" s="5" t="s">
        <v>94</v>
      </c>
      <c r="C24" s="5" t="s">
        <v>95</v>
      </c>
      <c r="D24" s="5">
        <v>1</v>
      </c>
      <c r="E24" s="5" t="s">
        <v>96</v>
      </c>
      <c r="F24" s="5" t="s">
        <v>97</v>
      </c>
      <c r="G24" s="9">
        <v>90</v>
      </c>
      <c r="H24" s="9" t="s">
        <v>28</v>
      </c>
      <c r="I24" s="9" t="s">
        <v>28</v>
      </c>
      <c r="J24" s="9" t="s">
        <v>29</v>
      </c>
      <c r="K24" s="9" t="s">
        <v>28</v>
      </c>
      <c r="L24" s="10">
        <f t="shared" si="0"/>
        <v>1</v>
      </c>
      <c r="M24" s="10">
        <f t="shared" si="1"/>
        <v>3</v>
      </c>
      <c r="N24" s="11" t="str">
        <f t="shared" si="2"/>
        <v>Valid</v>
      </c>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ht="20" customHeight="1" spans="1:52">
      <c r="A25" s="5">
        <v>19</v>
      </c>
      <c r="B25" s="5" t="s">
        <v>98</v>
      </c>
      <c r="C25" s="5" t="s">
        <v>99</v>
      </c>
      <c r="D25" s="5">
        <v>1</v>
      </c>
      <c r="E25" s="5" t="s">
        <v>100</v>
      </c>
      <c r="F25" s="5" t="s">
        <v>101</v>
      </c>
      <c r="G25" s="9">
        <v>88.3958772770853</v>
      </c>
      <c r="H25" s="9" t="s">
        <v>28</v>
      </c>
      <c r="I25" s="9" t="s">
        <v>28</v>
      </c>
      <c r="J25" s="9" t="s">
        <v>29</v>
      </c>
      <c r="K25" s="9" t="s">
        <v>28</v>
      </c>
      <c r="L25" s="10">
        <f t="shared" si="0"/>
        <v>1</v>
      </c>
      <c r="M25" s="10">
        <f t="shared" si="1"/>
        <v>3</v>
      </c>
      <c r="N25" s="11" t="str">
        <f t="shared" si="2"/>
        <v>Valid</v>
      </c>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ht="20" customHeight="1" spans="1:52">
      <c r="A26" s="5">
        <v>20</v>
      </c>
      <c r="B26" s="5" t="s">
        <v>102</v>
      </c>
      <c r="C26" s="5" t="s">
        <v>103</v>
      </c>
      <c r="D26" s="5">
        <v>1</v>
      </c>
      <c r="E26" s="5" t="s">
        <v>104</v>
      </c>
      <c r="F26" s="5" t="s">
        <v>105</v>
      </c>
      <c r="G26" s="9">
        <v>89.909012464046</v>
      </c>
      <c r="H26" s="9" t="s">
        <v>28</v>
      </c>
      <c r="I26" s="9" t="s">
        <v>28</v>
      </c>
      <c r="J26" s="9" t="s">
        <v>29</v>
      </c>
      <c r="K26" s="9" t="s">
        <v>28</v>
      </c>
      <c r="L26" s="10">
        <f t="shared" si="0"/>
        <v>1</v>
      </c>
      <c r="M26" s="10">
        <f t="shared" si="1"/>
        <v>3</v>
      </c>
      <c r="N26" s="11" t="str">
        <f t="shared" si="2"/>
        <v>Valid</v>
      </c>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ht="20" customHeight="1" spans="1:52">
      <c r="A27" s="5">
        <v>21</v>
      </c>
      <c r="B27" s="5" t="s">
        <v>106</v>
      </c>
      <c r="C27" s="5" t="s">
        <v>107</v>
      </c>
      <c r="D27" s="5">
        <v>1</v>
      </c>
      <c r="E27" s="5" t="s">
        <v>108</v>
      </c>
      <c r="F27" s="5" t="s">
        <v>109</v>
      </c>
      <c r="G27" s="9">
        <v>89.6971236816874</v>
      </c>
      <c r="H27" s="9" t="s">
        <v>28</v>
      </c>
      <c r="I27" s="9" t="s">
        <v>28</v>
      </c>
      <c r="J27" s="9" t="s">
        <v>29</v>
      </c>
      <c r="K27" s="9" t="s">
        <v>28</v>
      </c>
      <c r="L27" s="10">
        <f t="shared" si="0"/>
        <v>1</v>
      </c>
      <c r="M27" s="10">
        <f t="shared" si="1"/>
        <v>3</v>
      </c>
      <c r="N27" s="11" t="str">
        <f t="shared" si="2"/>
        <v>Valid</v>
      </c>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ht="20" customHeight="1" spans="1:52">
      <c r="A28" s="5">
        <v>22</v>
      </c>
      <c r="B28" s="5" t="s">
        <v>110</v>
      </c>
      <c r="C28" s="5" t="s">
        <v>111</v>
      </c>
      <c r="D28" s="5">
        <v>1</v>
      </c>
      <c r="E28" s="5" t="s">
        <v>112</v>
      </c>
      <c r="F28" s="5" t="s">
        <v>113</v>
      </c>
      <c r="G28" s="9">
        <v>89.3128155960371</v>
      </c>
      <c r="H28" s="9" t="s">
        <v>28</v>
      </c>
      <c r="I28" s="9" t="s">
        <v>28</v>
      </c>
      <c r="J28" s="9" t="s">
        <v>29</v>
      </c>
      <c r="K28" s="9" t="s">
        <v>28</v>
      </c>
      <c r="L28" s="10">
        <f t="shared" si="0"/>
        <v>1</v>
      </c>
      <c r="M28" s="10">
        <f t="shared" si="1"/>
        <v>3</v>
      </c>
      <c r="N28" s="11" t="str">
        <f t="shared" si="2"/>
        <v>Valid</v>
      </c>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ht="20" customHeight="1" spans="1:52">
      <c r="A29" s="5">
        <v>23</v>
      </c>
      <c r="B29" s="5" t="s">
        <v>114</v>
      </c>
      <c r="C29" s="5" t="s">
        <v>115</v>
      </c>
      <c r="D29" s="5">
        <v>1</v>
      </c>
      <c r="E29" s="5" t="s">
        <v>116</v>
      </c>
      <c r="F29" s="5" t="s">
        <v>117</v>
      </c>
      <c r="G29" s="9">
        <v>85.6313518696069</v>
      </c>
      <c r="H29" s="9" t="s">
        <v>28</v>
      </c>
      <c r="I29" s="9" t="s">
        <v>28</v>
      </c>
      <c r="J29" s="9" t="s">
        <v>29</v>
      </c>
      <c r="K29" s="9" t="s">
        <v>28</v>
      </c>
      <c r="L29" s="10">
        <f t="shared" si="0"/>
        <v>1</v>
      </c>
      <c r="M29" s="10">
        <f t="shared" si="1"/>
        <v>3</v>
      </c>
      <c r="N29" s="11" t="str">
        <f t="shared" si="2"/>
        <v>Valid</v>
      </c>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ht="20" customHeight="1" spans="1:52">
      <c r="A30" s="5">
        <v>24</v>
      </c>
      <c r="B30" s="5" t="s">
        <v>118</v>
      </c>
      <c r="C30" s="5" t="s">
        <v>119</v>
      </c>
      <c r="D30" s="5">
        <v>1</v>
      </c>
      <c r="E30" s="5" t="s">
        <v>120</v>
      </c>
      <c r="F30" s="5" t="s">
        <v>121</v>
      </c>
      <c r="G30" s="9">
        <v>86.1764461489294</v>
      </c>
      <c r="H30" s="9" t="s">
        <v>28</v>
      </c>
      <c r="I30" s="9" t="s">
        <v>28</v>
      </c>
      <c r="J30" s="9" t="s">
        <v>29</v>
      </c>
      <c r="K30" s="9" t="s">
        <v>28</v>
      </c>
      <c r="L30" s="10">
        <f t="shared" si="0"/>
        <v>1</v>
      </c>
      <c r="M30" s="10">
        <f t="shared" si="1"/>
        <v>3</v>
      </c>
      <c r="N30" s="11" t="str">
        <f t="shared" si="2"/>
        <v>Valid</v>
      </c>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ht="20" customHeight="1" spans="1:52">
      <c r="A31" s="5">
        <v>25</v>
      </c>
      <c r="B31" s="5" t="s">
        <v>122</v>
      </c>
      <c r="C31" s="5" t="s">
        <v>123</v>
      </c>
      <c r="D31" s="5">
        <v>1</v>
      </c>
      <c r="E31" s="5" t="s">
        <v>124</v>
      </c>
      <c r="F31" s="5" t="s">
        <v>125</v>
      </c>
      <c r="G31" s="9">
        <v>81.5497922658997</v>
      </c>
      <c r="H31" s="9" t="s">
        <v>28</v>
      </c>
      <c r="I31" s="9" t="s">
        <v>28</v>
      </c>
      <c r="J31" s="9" t="s">
        <v>29</v>
      </c>
      <c r="K31" s="9" t="s">
        <v>28</v>
      </c>
      <c r="L31" s="10">
        <f t="shared" si="0"/>
        <v>1</v>
      </c>
      <c r="M31" s="10">
        <f t="shared" si="1"/>
        <v>3</v>
      </c>
      <c r="N31" s="11" t="str">
        <f t="shared" si="2"/>
        <v>Valid</v>
      </c>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ht="20" customHeight="1" spans="1:52">
      <c r="A32" s="5">
        <v>26</v>
      </c>
      <c r="B32" s="5" t="s">
        <v>126</v>
      </c>
      <c r="C32" s="5" t="s">
        <v>127</v>
      </c>
      <c r="D32" s="5">
        <v>1</v>
      </c>
      <c r="E32" s="5" t="s">
        <v>128</v>
      </c>
      <c r="F32" s="5" t="s">
        <v>129</v>
      </c>
      <c r="G32" s="9">
        <v>88.5358900607223</v>
      </c>
      <c r="H32" s="9" t="s">
        <v>28</v>
      </c>
      <c r="I32" s="9" t="s">
        <v>28</v>
      </c>
      <c r="J32" s="9" t="s">
        <v>29</v>
      </c>
      <c r="K32" s="9" t="s">
        <v>28</v>
      </c>
      <c r="L32" s="10">
        <f t="shared" si="0"/>
        <v>1</v>
      </c>
      <c r="M32" s="10">
        <f t="shared" si="1"/>
        <v>3</v>
      </c>
      <c r="N32" s="11" t="str">
        <f t="shared" si="2"/>
        <v>Valid</v>
      </c>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ht="20" customHeight="1" spans="1:52">
      <c r="A33" s="5">
        <v>27</v>
      </c>
      <c r="B33" s="5" t="s">
        <v>130</v>
      </c>
      <c r="C33" s="5" t="s">
        <v>131</v>
      </c>
      <c r="D33" s="5">
        <v>1</v>
      </c>
      <c r="E33" s="5" t="s">
        <v>132</v>
      </c>
      <c r="F33" s="5" t="s">
        <v>133</v>
      </c>
      <c r="G33" s="9">
        <v>88.7477788430809</v>
      </c>
      <c r="H33" s="9" t="s">
        <v>28</v>
      </c>
      <c r="I33" s="9" t="s">
        <v>28</v>
      </c>
      <c r="J33" s="9" t="s">
        <v>29</v>
      </c>
      <c r="K33" s="9" t="s">
        <v>28</v>
      </c>
      <c r="L33" s="10">
        <f t="shared" si="0"/>
        <v>1</v>
      </c>
      <c r="M33" s="10">
        <f t="shared" si="1"/>
        <v>3</v>
      </c>
      <c r="N33" s="11" t="str">
        <f t="shared" si="2"/>
        <v>Valid</v>
      </c>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ht="20" customHeight="1" spans="1:52">
      <c r="A34" s="5">
        <v>28</v>
      </c>
      <c r="B34" s="5" t="s">
        <v>134</v>
      </c>
      <c r="C34" s="5" t="s">
        <v>135</v>
      </c>
      <c r="D34" s="5">
        <v>1</v>
      </c>
      <c r="E34" s="5" t="s">
        <v>136</v>
      </c>
      <c r="F34" s="5" t="s">
        <v>137</v>
      </c>
      <c r="G34" s="9">
        <v>89.1354106743368</v>
      </c>
      <c r="H34" s="9" t="s">
        <v>28</v>
      </c>
      <c r="I34" s="9" t="s">
        <v>28</v>
      </c>
      <c r="J34" s="9" t="s">
        <v>29</v>
      </c>
      <c r="K34" s="9" t="s">
        <v>28</v>
      </c>
      <c r="L34" s="10">
        <f t="shared" si="0"/>
        <v>1</v>
      </c>
      <c r="M34" s="10">
        <f t="shared" si="1"/>
        <v>3</v>
      </c>
      <c r="N34" s="11" t="str">
        <f t="shared" si="2"/>
        <v>Valid</v>
      </c>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ht="20" customHeight="1" spans="1:52">
      <c r="A35" s="5">
        <v>29</v>
      </c>
      <c r="B35" s="5" t="s">
        <v>138</v>
      </c>
      <c r="C35" s="5" t="s">
        <v>139</v>
      </c>
      <c r="D35" s="5">
        <v>1</v>
      </c>
      <c r="E35" s="5" t="s">
        <v>140</v>
      </c>
      <c r="F35" s="5" t="s">
        <v>141</v>
      </c>
      <c r="G35" s="9">
        <v>87.2861617130073</v>
      </c>
      <c r="H35" s="9" t="s">
        <v>28</v>
      </c>
      <c r="I35" s="9" t="s">
        <v>28</v>
      </c>
      <c r="J35" s="9" t="s">
        <v>29</v>
      </c>
      <c r="K35" s="9" t="s">
        <v>28</v>
      </c>
      <c r="L35" s="10">
        <f t="shared" si="0"/>
        <v>1</v>
      </c>
      <c r="M35" s="10">
        <f t="shared" si="1"/>
        <v>3</v>
      </c>
      <c r="N35" s="11" t="str">
        <f t="shared" si="2"/>
        <v>Valid</v>
      </c>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ht="20" customHeight="1" spans="1:52">
      <c r="A36" s="5">
        <v>30</v>
      </c>
      <c r="B36" s="5" t="s">
        <v>142</v>
      </c>
      <c r="C36" s="5" t="s">
        <v>143</v>
      </c>
      <c r="D36" s="5">
        <v>1</v>
      </c>
      <c r="E36" s="5" t="s">
        <v>144</v>
      </c>
      <c r="F36" s="5" t="s">
        <v>145</v>
      </c>
      <c r="G36" s="9">
        <v>87.8478747203579</v>
      </c>
      <c r="H36" s="9" t="s">
        <v>28</v>
      </c>
      <c r="I36" s="9" t="s">
        <v>28</v>
      </c>
      <c r="J36" s="9" t="s">
        <v>29</v>
      </c>
      <c r="K36" s="9" t="s">
        <v>28</v>
      </c>
      <c r="L36" s="10">
        <f t="shared" si="0"/>
        <v>1</v>
      </c>
      <c r="M36" s="10">
        <f t="shared" si="1"/>
        <v>3</v>
      </c>
      <c r="N36" s="11" t="str">
        <f t="shared" si="2"/>
        <v>Valid</v>
      </c>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ht="20" customHeight="1" spans="1:52">
      <c r="A37" s="5">
        <v>31</v>
      </c>
      <c r="B37" s="5" t="s">
        <v>146</v>
      </c>
      <c r="C37" s="5" t="s">
        <v>147</v>
      </c>
      <c r="D37" s="5">
        <v>1</v>
      </c>
      <c r="E37" s="5" t="s">
        <v>148</v>
      </c>
      <c r="F37" s="5" t="s">
        <v>149</v>
      </c>
      <c r="G37" s="9">
        <v>89.4146053052093</v>
      </c>
      <c r="H37" s="9" t="s">
        <v>28</v>
      </c>
      <c r="I37" s="9" t="s">
        <v>28</v>
      </c>
      <c r="J37" s="9" t="s">
        <v>29</v>
      </c>
      <c r="K37" s="9" t="s">
        <v>28</v>
      </c>
      <c r="L37" s="10">
        <f t="shared" si="0"/>
        <v>1</v>
      </c>
      <c r="M37" s="10">
        <f t="shared" si="1"/>
        <v>3</v>
      </c>
      <c r="N37" s="11" t="str">
        <f t="shared" si="2"/>
        <v>Valid</v>
      </c>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ht="20" customHeight="1" spans="1:52">
      <c r="A38" s="5">
        <v>32</v>
      </c>
      <c r="B38" s="5" t="s">
        <v>150</v>
      </c>
      <c r="C38" s="5" t="s">
        <v>151</v>
      </c>
      <c r="D38" s="5">
        <v>1</v>
      </c>
      <c r="E38" s="5" t="s">
        <v>152</v>
      </c>
      <c r="F38" s="5" t="s">
        <v>153</v>
      </c>
      <c r="G38" s="9">
        <v>83.1044742729306</v>
      </c>
      <c r="H38" s="9" t="s">
        <v>28</v>
      </c>
      <c r="I38" s="9" t="s">
        <v>28</v>
      </c>
      <c r="J38" s="9" t="s">
        <v>29</v>
      </c>
      <c r="K38" s="9" t="s">
        <v>28</v>
      </c>
      <c r="L38" s="10">
        <f t="shared" si="0"/>
        <v>1</v>
      </c>
      <c r="M38" s="10">
        <f t="shared" si="1"/>
        <v>3</v>
      </c>
      <c r="N38" s="11" t="str">
        <f t="shared" si="2"/>
        <v>Valid</v>
      </c>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ht="20" customHeight="1" spans="1:52">
      <c r="A39" s="5">
        <v>33</v>
      </c>
      <c r="B39" s="5" t="s">
        <v>154</v>
      </c>
      <c r="C39" s="5" t="s">
        <v>155</v>
      </c>
      <c r="D39" s="5">
        <v>1</v>
      </c>
      <c r="E39" s="5" t="s">
        <v>156</v>
      </c>
      <c r="F39" s="5" t="s">
        <v>157</v>
      </c>
      <c r="G39" s="9">
        <v>89.4557366570789</v>
      </c>
      <c r="H39" s="9" t="s">
        <v>28</v>
      </c>
      <c r="I39" s="9" t="s">
        <v>28</v>
      </c>
      <c r="J39" s="9" t="s">
        <v>29</v>
      </c>
      <c r="K39" s="9" t="s">
        <v>28</v>
      </c>
      <c r="L39" s="10">
        <f t="shared" si="0"/>
        <v>1</v>
      </c>
      <c r="M39" s="10">
        <f t="shared" si="1"/>
        <v>3</v>
      </c>
      <c r="N39" s="11" t="str">
        <f t="shared" si="2"/>
        <v>Valid</v>
      </c>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ht="20" customHeight="1" spans="1:52">
      <c r="A40" s="5">
        <v>34</v>
      </c>
      <c r="B40" s="5" t="s">
        <v>158</v>
      </c>
      <c r="C40" s="5" t="s">
        <v>159</v>
      </c>
      <c r="D40" s="5">
        <v>1</v>
      </c>
      <c r="E40" s="5" t="s">
        <v>160</v>
      </c>
      <c r="F40" s="5" t="s">
        <v>161</v>
      </c>
      <c r="G40" s="9">
        <v>87.8445509747523</v>
      </c>
      <c r="H40" s="9" t="s">
        <v>28</v>
      </c>
      <c r="I40" s="9" t="s">
        <v>28</v>
      </c>
      <c r="J40" s="9" t="s">
        <v>29</v>
      </c>
      <c r="K40" s="9" t="s">
        <v>28</v>
      </c>
      <c r="L40" s="10">
        <f t="shared" si="0"/>
        <v>1</v>
      </c>
      <c r="M40" s="10">
        <f t="shared" si="1"/>
        <v>3</v>
      </c>
      <c r="N40" s="11" t="str">
        <f t="shared" si="2"/>
        <v>Valid</v>
      </c>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ht="20" customHeight="1" spans="1:52">
      <c r="A41" s="5">
        <v>35</v>
      </c>
      <c r="B41" s="5" t="s">
        <v>162</v>
      </c>
      <c r="C41" s="5" t="s">
        <v>163</v>
      </c>
      <c r="D41" s="5">
        <v>1</v>
      </c>
      <c r="E41" s="5" t="s">
        <v>164</v>
      </c>
      <c r="F41" s="5" t="s">
        <v>165</v>
      </c>
      <c r="G41" s="9">
        <v>88.9613294982423</v>
      </c>
      <c r="H41" s="9" t="s">
        <v>28</v>
      </c>
      <c r="I41" s="9" t="s">
        <v>28</v>
      </c>
      <c r="J41" s="9" t="s">
        <v>29</v>
      </c>
      <c r="K41" s="9" t="s">
        <v>28</v>
      </c>
      <c r="L41" s="10">
        <f t="shared" si="0"/>
        <v>1</v>
      </c>
      <c r="M41" s="10">
        <f t="shared" si="1"/>
        <v>3</v>
      </c>
      <c r="N41" s="11" t="str">
        <f t="shared" si="2"/>
        <v>Valid</v>
      </c>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ht="20" customHeight="1" spans="1:52">
      <c r="A42" s="5">
        <v>36</v>
      </c>
      <c r="B42" s="5" t="s">
        <v>166</v>
      </c>
      <c r="C42" s="5" t="s">
        <v>167</v>
      </c>
      <c r="D42" s="5">
        <v>1</v>
      </c>
      <c r="E42" s="5" t="s">
        <v>168</v>
      </c>
      <c r="F42" s="5" t="s">
        <v>169</v>
      </c>
      <c r="G42" s="9">
        <v>86.7119846596357</v>
      </c>
      <c r="H42" s="9" t="s">
        <v>28</v>
      </c>
      <c r="I42" s="9" t="s">
        <v>28</v>
      </c>
      <c r="J42" s="9" t="s">
        <v>29</v>
      </c>
      <c r="K42" s="9" t="s">
        <v>28</v>
      </c>
      <c r="L42" s="10">
        <f t="shared" si="0"/>
        <v>1</v>
      </c>
      <c r="M42" s="10">
        <f t="shared" si="1"/>
        <v>3</v>
      </c>
      <c r="N42" s="11" t="str">
        <f t="shared" si="2"/>
        <v>Valid</v>
      </c>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ht="20" customHeight="1" spans="1:52">
      <c r="A43" s="5">
        <v>37</v>
      </c>
      <c r="B43" s="5" t="s">
        <v>170</v>
      </c>
      <c r="C43" s="5" t="s">
        <v>171</v>
      </c>
      <c r="D43" s="5">
        <v>1</v>
      </c>
      <c r="E43" s="5" t="s">
        <v>172</v>
      </c>
      <c r="F43" s="5" t="s">
        <v>173</v>
      </c>
      <c r="G43" s="9">
        <v>89.6659635666347</v>
      </c>
      <c r="H43" s="9" t="s">
        <v>28</v>
      </c>
      <c r="I43" s="9" t="s">
        <v>28</v>
      </c>
      <c r="J43" s="9" t="s">
        <v>29</v>
      </c>
      <c r="K43" s="9" t="s">
        <v>28</v>
      </c>
      <c r="L43" s="10">
        <f t="shared" si="0"/>
        <v>1</v>
      </c>
      <c r="M43" s="10">
        <f t="shared" si="1"/>
        <v>3</v>
      </c>
      <c r="N43" s="11" t="str">
        <f t="shared" si="2"/>
        <v>Valid</v>
      </c>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ht="20" customHeight="1" spans="1:52">
      <c r="A44" s="5">
        <v>38</v>
      </c>
      <c r="B44" s="5" t="s">
        <v>174</v>
      </c>
      <c r="C44" s="5" t="s">
        <v>175</v>
      </c>
      <c r="D44" s="5">
        <v>1</v>
      </c>
      <c r="E44" s="5" t="s">
        <v>176</v>
      </c>
      <c r="F44" s="5" t="s">
        <v>177</v>
      </c>
      <c r="G44" s="9">
        <v>88.9679769894535</v>
      </c>
      <c r="H44" s="9" t="s">
        <v>28</v>
      </c>
      <c r="I44" s="9" t="s">
        <v>28</v>
      </c>
      <c r="J44" s="9" t="s">
        <v>29</v>
      </c>
      <c r="K44" s="9" t="s">
        <v>28</v>
      </c>
      <c r="L44" s="10">
        <f t="shared" si="0"/>
        <v>1</v>
      </c>
      <c r="M44" s="10">
        <f t="shared" si="1"/>
        <v>3</v>
      </c>
      <c r="N44" s="11" t="str">
        <f t="shared" si="2"/>
        <v>Valid</v>
      </c>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ht="20" customHeight="1" spans="1:52">
      <c r="A45" s="5">
        <v>39</v>
      </c>
      <c r="B45" s="5" t="s">
        <v>178</v>
      </c>
      <c r="C45" s="5" t="s">
        <v>179</v>
      </c>
      <c r="D45" s="5">
        <v>1</v>
      </c>
      <c r="E45" s="5" t="s">
        <v>180</v>
      </c>
      <c r="F45" s="5" t="s">
        <v>181</v>
      </c>
      <c r="G45" s="9">
        <v>88.8184084372004</v>
      </c>
      <c r="H45" s="9" t="s">
        <v>28</v>
      </c>
      <c r="I45" s="9" t="s">
        <v>28</v>
      </c>
      <c r="J45" s="9" t="s">
        <v>29</v>
      </c>
      <c r="K45" s="9" t="s">
        <v>28</v>
      </c>
      <c r="L45" s="10">
        <f t="shared" si="0"/>
        <v>1</v>
      </c>
      <c r="M45" s="10">
        <f t="shared" si="1"/>
        <v>3</v>
      </c>
      <c r="N45" s="11" t="str">
        <f t="shared" si="2"/>
        <v>Valid</v>
      </c>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ht="20" customHeight="1" spans="1:52">
      <c r="A46" s="5">
        <v>40</v>
      </c>
      <c r="B46" s="5" t="s">
        <v>182</v>
      </c>
      <c r="C46" s="5" t="s">
        <v>183</v>
      </c>
      <c r="D46" s="5">
        <v>1</v>
      </c>
      <c r="E46" s="5" t="s">
        <v>184</v>
      </c>
      <c r="F46" s="5" t="s">
        <v>185</v>
      </c>
      <c r="G46" s="9">
        <v>89.0302972195589</v>
      </c>
      <c r="H46" s="9" t="s">
        <v>28</v>
      </c>
      <c r="I46" s="9" t="s">
        <v>28</v>
      </c>
      <c r="J46" s="9" t="s">
        <v>29</v>
      </c>
      <c r="K46" s="9" t="s">
        <v>28</v>
      </c>
      <c r="L46" s="10">
        <f t="shared" si="0"/>
        <v>1</v>
      </c>
      <c r="M46" s="10">
        <f t="shared" si="1"/>
        <v>3</v>
      </c>
      <c r="N46" s="11" t="str">
        <f t="shared" si="2"/>
        <v>Valid</v>
      </c>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7" ht="20" customHeight="1" spans="1:52">
      <c r="A47" s="5">
        <v>41</v>
      </c>
      <c r="B47" s="5" t="s">
        <v>186</v>
      </c>
      <c r="C47" s="5" t="s">
        <v>187</v>
      </c>
      <c r="D47" s="5">
        <v>1</v>
      </c>
      <c r="E47" s="5" t="s">
        <v>188</v>
      </c>
      <c r="F47" s="5" t="s">
        <v>189</v>
      </c>
      <c r="G47" s="9">
        <v>89.0302972195589</v>
      </c>
      <c r="H47" s="9" t="s">
        <v>28</v>
      </c>
      <c r="I47" s="9" t="s">
        <v>28</v>
      </c>
      <c r="J47" s="9" t="s">
        <v>29</v>
      </c>
      <c r="K47" s="9" t="s">
        <v>28</v>
      </c>
      <c r="L47" s="10">
        <f t="shared" si="0"/>
        <v>1</v>
      </c>
      <c r="M47" s="10">
        <f t="shared" si="1"/>
        <v>3</v>
      </c>
      <c r="N47" s="11" t="str">
        <f t="shared" si="2"/>
        <v>Valid</v>
      </c>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row>
    <row r="48" ht="20" customHeight="1" spans="1:52">
      <c r="A48" s="5">
        <v>42</v>
      </c>
      <c r="B48" s="5" t="s">
        <v>190</v>
      </c>
      <c r="C48" s="5" t="s">
        <v>191</v>
      </c>
      <c r="D48" s="5">
        <v>1</v>
      </c>
      <c r="E48" s="5" t="s">
        <v>192</v>
      </c>
      <c r="F48" s="5" t="s">
        <v>193</v>
      </c>
      <c r="G48" s="9">
        <v>88.5358900607223</v>
      </c>
      <c r="H48" s="9" t="s">
        <v>28</v>
      </c>
      <c r="I48" s="9" t="s">
        <v>28</v>
      </c>
      <c r="J48" s="9" t="s">
        <v>29</v>
      </c>
      <c r="K48" s="9" t="s">
        <v>28</v>
      </c>
      <c r="L48" s="10">
        <f t="shared" si="0"/>
        <v>1</v>
      </c>
      <c r="M48" s="10">
        <f t="shared" si="1"/>
        <v>3</v>
      </c>
      <c r="N48" s="11" t="str">
        <f t="shared" si="2"/>
        <v>Valid</v>
      </c>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ht="20" customHeight="1" spans="1:52">
      <c r="A49" s="5">
        <v>43</v>
      </c>
      <c r="B49" s="5" t="s">
        <v>194</v>
      </c>
      <c r="C49" s="5" t="s">
        <v>195</v>
      </c>
      <c r="D49" s="5">
        <v>1</v>
      </c>
      <c r="E49" s="5" t="s">
        <v>196</v>
      </c>
      <c r="F49" s="5" t="s">
        <v>197</v>
      </c>
      <c r="G49" s="9">
        <v>89.3128155960371</v>
      </c>
      <c r="H49" s="9" t="s">
        <v>28</v>
      </c>
      <c r="I49" s="9" t="s">
        <v>28</v>
      </c>
      <c r="J49" s="9" t="s">
        <v>29</v>
      </c>
      <c r="K49" s="9" t="s">
        <v>28</v>
      </c>
      <c r="L49" s="10">
        <f t="shared" si="0"/>
        <v>1</v>
      </c>
      <c r="M49" s="10">
        <f t="shared" si="1"/>
        <v>3</v>
      </c>
      <c r="N49" s="11" t="str">
        <f t="shared" si="2"/>
        <v>Valid</v>
      </c>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row>
    <row r="50" ht="20" customHeight="1" spans="1:52">
      <c r="A50" s="5">
        <v>44</v>
      </c>
      <c r="B50" s="5" t="s">
        <v>198</v>
      </c>
      <c r="C50" s="5" t="s">
        <v>199</v>
      </c>
      <c r="D50" s="5">
        <v>1</v>
      </c>
      <c r="E50" s="5" t="s">
        <v>200</v>
      </c>
      <c r="F50" s="5" t="s">
        <v>201</v>
      </c>
      <c r="G50" s="9">
        <v>87.78</v>
      </c>
      <c r="H50" s="9" t="s">
        <v>28</v>
      </c>
      <c r="I50" s="9" t="s">
        <v>28</v>
      </c>
      <c r="J50" s="9" t="s">
        <v>29</v>
      </c>
      <c r="K50" s="9" t="s">
        <v>28</v>
      </c>
      <c r="L50" s="10">
        <f t="shared" si="0"/>
        <v>1</v>
      </c>
      <c r="M50" s="10">
        <f t="shared" si="1"/>
        <v>3</v>
      </c>
      <c r="N50" s="11" t="str">
        <f t="shared" si="2"/>
        <v>Valid</v>
      </c>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row r="51" ht="20" customHeight="1" spans="1:52">
      <c r="A51" s="5">
        <v>45</v>
      </c>
      <c r="B51" s="5" t="s">
        <v>202</v>
      </c>
      <c r="C51" s="5" t="s">
        <v>203</v>
      </c>
      <c r="D51" s="5">
        <v>1</v>
      </c>
      <c r="E51" s="5" t="s">
        <v>204</v>
      </c>
      <c r="F51" s="5" t="s">
        <v>205</v>
      </c>
      <c r="G51" s="9">
        <v>88.1893895813359</v>
      </c>
      <c r="H51" s="9" t="s">
        <v>28</v>
      </c>
      <c r="I51" s="9" t="s">
        <v>28</v>
      </c>
      <c r="J51" s="9" t="s">
        <v>29</v>
      </c>
      <c r="K51" s="9" t="s">
        <v>28</v>
      </c>
      <c r="L51" s="10">
        <f t="shared" si="0"/>
        <v>1</v>
      </c>
      <c r="M51" s="10">
        <f t="shared" si="1"/>
        <v>3</v>
      </c>
      <c r="N51" s="11" t="str">
        <f t="shared" si="2"/>
        <v>Valid</v>
      </c>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row>
    <row r="52" ht="20" customHeight="1" spans="1:52">
      <c r="A52" s="5">
        <v>46</v>
      </c>
      <c r="B52" s="5" t="s">
        <v>206</v>
      </c>
      <c r="C52" s="5" t="s">
        <v>207</v>
      </c>
      <c r="D52" s="5">
        <v>1</v>
      </c>
      <c r="E52" s="5" t="s">
        <v>208</v>
      </c>
      <c r="F52" s="5" t="s">
        <v>209</v>
      </c>
      <c r="G52" s="9">
        <v>77</v>
      </c>
      <c r="H52" s="9" t="s">
        <v>28</v>
      </c>
      <c r="I52" s="9" t="s">
        <v>28</v>
      </c>
      <c r="J52" s="9" t="s">
        <v>29</v>
      </c>
      <c r="K52" s="9" t="s">
        <v>28</v>
      </c>
      <c r="L52" s="10">
        <f t="shared" si="0"/>
        <v>1</v>
      </c>
      <c r="M52" s="10">
        <f t="shared" si="1"/>
        <v>3</v>
      </c>
      <c r="N52" s="11" t="str">
        <f t="shared" si="2"/>
        <v>Valid</v>
      </c>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row>
    <row r="53" ht="20" customHeight="1" spans="1:52">
      <c r="A53" s="5">
        <v>47</v>
      </c>
      <c r="B53" s="5" t="s">
        <v>210</v>
      </c>
      <c r="C53" s="5" t="s">
        <v>211</v>
      </c>
      <c r="D53" s="5">
        <v>1</v>
      </c>
      <c r="E53" s="5" t="s">
        <v>212</v>
      </c>
      <c r="F53" s="5" t="s">
        <v>213</v>
      </c>
      <c r="G53" s="9">
        <v>88.6821348673698</v>
      </c>
      <c r="H53" s="9" t="s">
        <v>28</v>
      </c>
      <c r="I53" s="9" t="s">
        <v>28</v>
      </c>
      <c r="J53" s="9" t="s">
        <v>29</v>
      </c>
      <c r="K53" s="9" t="s">
        <v>28</v>
      </c>
      <c r="L53" s="10">
        <f t="shared" si="0"/>
        <v>1</v>
      </c>
      <c r="M53" s="10">
        <f t="shared" si="1"/>
        <v>3</v>
      </c>
      <c r="N53" s="11" t="str">
        <f t="shared" si="2"/>
        <v>Valid</v>
      </c>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row>
    <row r="54" ht="20" customHeight="1" spans="1:52">
      <c r="A54" s="5">
        <v>48</v>
      </c>
      <c r="B54" s="5" t="s">
        <v>214</v>
      </c>
      <c r="C54" s="5" t="s">
        <v>215</v>
      </c>
      <c r="D54" s="5">
        <v>1</v>
      </c>
      <c r="E54" s="5" t="s">
        <v>216</v>
      </c>
      <c r="F54" s="5" t="s">
        <v>217</v>
      </c>
      <c r="G54" s="9">
        <v>88.4752317034196</v>
      </c>
      <c r="H54" s="9" t="s">
        <v>28</v>
      </c>
      <c r="I54" s="9" t="s">
        <v>28</v>
      </c>
      <c r="J54" s="9" t="s">
        <v>29</v>
      </c>
      <c r="K54" s="9" t="s">
        <v>28</v>
      </c>
      <c r="L54" s="10">
        <f t="shared" si="0"/>
        <v>1</v>
      </c>
      <c r="M54" s="10">
        <f t="shared" si="1"/>
        <v>3</v>
      </c>
      <c r="N54" s="11" t="str">
        <f t="shared" si="2"/>
        <v>Valid</v>
      </c>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row>
    <row r="56" ht="15.15" spans="1:1">
      <c r="A56" s="6" t="s">
        <v>218</v>
      </c>
    </row>
    <row r="57" spans="1:1">
      <c r="A57" t="s">
        <v>219</v>
      </c>
    </row>
    <row r="58" spans="1:1">
      <c r="A58" t="s">
        <v>220</v>
      </c>
    </row>
    <row r="59" spans="1:1">
      <c r="A59" t="s">
        <v>221</v>
      </c>
    </row>
    <row r="60" spans="1:1">
      <c r="A60" t="s">
        <v>222</v>
      </c>
    </row>
    <row r="61" spans="1:1">
      <c r="A61" s="7" t="s">
        <v>223</v>
      </c>
    </row>
    <row r="62" spans="1:1">
      <c r="A62" t="s">
        <v>224</v>
      </c>
    </row>
    <row r="63" spans="1:1">
      <c r="A63" t="s">
        <v>225</v>
      </c>
    </row>
    <row r="64" spans="1:1">
      <c r="A64" t="s">
        <v>226</v>
      </c>
    </row>
    <row r="65" spans="1:1">
      <c r="A65" t="s">
        <v>227</v>
      </c>
    </row>
  </sheetData>
  <sheetProtection password="E249" sheet="1"/>
  <mergeCells count="9">
    <mergeCell ref="H3:K3"/>
    <mergeCell ref="L3:N3"/>
    <mergeCell ref="A3:A6"/>
    <mergeCell ref="B3:B6"/>
    <mergeCell ref="C3:C6"/>
    <mergeCell ref="D3:D6"/>
    <mergeCell ref="E3:E6"/>
    <mergeCell ref="F3:F6"/>
    <mergeCell ref="G3:G6"/>
  </mergeCells>
  <dataValidations count="2">
    <dataValidation type="whole" operator="between" showInputMessage="1" showErrorMessage="1" errorTitle="Input Salah" error="Hanya boleh memasukkan angka antara 1 dan 100." promptTitle="Input Angka" prompt="Masukkan angka antara 1 dan 100." sqref="G7 G8 G9 G10 G11 G12 G13 G14 G15 G16 G17 G18 G19 G20 G21 G22 G23 G24 G25 G26 G27 G28 G29 G30 G31 G32 G33 G34 G35 G36 G37 G38 G39 G40 G41 G42 G43 G44 G45 G46 G47 G48 G49 G50 G51 G52 G53 G54">
      <formula1>1</formula1>
      <formula2>100</formula2>
    </dataValidation>
    <dataValidation type="list" showInputMessage="1" showErrorMessage="1" errorTitle="Input Error" error="Data tidak sesuai list, Silahkan isi dengan T untuk Pencapaian Sangat Optimal atau R untuk Pencapaian yang Perlu Peningkatan" promptTitle="Ketercapaian TP " prompt="T = TP dicapai dengan Sangat Optimal, R = TP masih Perlu Peningkatan" sqref="H7 I7 J7 K7 H8 I8 J8 K8 H9 I9 J9 K9 H10 I10 J10 K10 H11 I11 J11 K11 H12 I12 J12 K12 H13 I13 J13 K13 H14 I14 J14 K14 H15 I15 J15 K15 H16 I16 J16 K16 H17 I17 J17 K17 H18 I18 J18 K18 H19 I19 J19 K19 H20 I20 J20 K20 H21 I21 J21 K21 H22 I22 J22 K22 H23 I23 J23 K23 H24 I24 J24 K24 H25 I25 J25 K25 H26 I26 J26 K26 H27 I27 J27 K27 H28 I28 J28 K28 H29 I29 J29 K29 H30 I30 J30 K30 H31 I31 J31 K31 H32 I32 J32 K32 H33 I33 J33 K33 H34 I34 J34 K34 H35 I35 J35 K35 H36 I36 J36 K36 H37 I37 J37 K37 H38 I38 J38 K38 H39 I39 J39 K39 H40 I40 J40 K40 H41 I41 J41 K41 H42 I42 J42 K42 H43 I43 J43 K43 H44 I44 J44 K44 H45 I45 J45 K45 H46 I46 J46 K46 H47 I47 J47 K47 H48 I48 J48 K48 H49 I49 J49 K49 H50 I50 J50 K50 H51 I51 J51 K51 H52 I52 J52 K52 H53 I53 J53 K53 H54 I54 J54 K54">
      <formula1>"T,R"</formula1>
    </dataValidation>
  </dataValidations>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daniarsyah</cp:lastModifiedBy>
  <dcterms:created xsi:type="dcterms:W3CDTF">2025-12-07T13:15:53Z</dcterms:created>
  <dcterms:modified xsi:type="dcterms:W3CDTF">2025-12-07T13:18:01Z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9CAD2CF168228604191C3569450D9664_42</vt:lpwstr>
  </property>
  <property fmtid="{D5CDD505-2E9C-101B-9397-08002B2CF9AE}" pid="3" name="KSOProductBuildVer">
    <vt:lpwstr>1033-12.1.2.22571</vt:lpwstr>
  </property>
</Properties>
</file>