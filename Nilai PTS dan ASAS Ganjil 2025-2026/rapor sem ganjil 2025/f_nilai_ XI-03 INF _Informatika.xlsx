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1750" windowHeight="11950"/>
  </bookViews>
  <sheets>
    <sheet name="Worksheet"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<sst xmlns="http://schemas.openxmlformats.org/spreadsheetml/2006/main" count="305" uniqueCount="188">
  <si>
    <t xml:space="preserve">FORMAT IMPORT NILAI RAPOR INFORMATIKA, KELAS  XI-03 INF </t>
  </si>
  <si>
    <t>98981248-caa2-4c39-a141-99091d677f1f</t>
  </si>
  <si>
    <t>NO</t>
  </si>
  <si>
    <t>NILRPT</t>
  </si>
  <si>
    <t>NISN</t>
  </si>
  <si>
    <t>NAMA SISWA</t>
  </si>
  <si>
    <t>NILAI RAPOR</t>
  </si>
  <si>
    <t>TINGKAT KETERCAPAIAN TP</t>
  </si>
  <si>
    <t>VALIDASI</t>
  </si>
  <si>
    <t>e316f9b8-6410-4d6d-bf96-2f9381c0415b</t>
  </si>
  <si>
    <t>d7faa9bb-2315-4d1f-91d8-ea3e05a3870d</t>
  </si>
  <si>
    <t>044c6346-d4a7-42a8-9e36-2f19ab8843c5</t>
  </si>
  <si>
    <t>Informatika masa kini dan masa depan</t>
  </si>
  <si>
    <t>strategi algoritmik serta menuliskan program sederhana</t>
  </si>
  <si>
    <t>mengidentifikasi dan mengevaluasi dampak sosial informatika untuk mengembangkan solusi yang tepat</t>
  </si>
  <si>
    <t>TP.1112</t>
  </si>
  <si>
    <t>TP.1113</t>
  </si>
  <si>
    <t>TP.1114</t>
  </si>
  <si>
    <t>TR</t>
  </si>
  <si>
    <t>OP</t>
  </si>
  <si>
    <t>NILAI</t>
  </si>
  <si>
    <t>f88191e2-3dce-11e5-bc45-2f2b8bc36b53</t>
  </si>
  <si>
    <t>ffb017af-f343-421d-b7d3-3ea0697d2ca0</t>
  </si>
  <si>
    <t>0081443370</t>
  </si>
  <si>
    <t>ABDHI RESTU PRATAMA</t>
  </si>
  <si>
    <t>T</t>
  </si>
  <si>
    <t>R</t>
  </si>
  <si>
    <t>043a2256-4cd4-11e5-9716-0309c84c3b60</t>
  </si>
  <si>
    <t>97a5c513-24b3-46f8-81fa-8eaaece1bd93</t>
  </si>
  <si>
    <t>0077233308</t>
  </si>
  <si>
    <t>ADEELA HALWA KHAIRANI</t>
  </si>
  <si>
    <t>6543e62c-5e2c-11e5-9638-13459c36ea51</t>
  </si>
  <si>
    <t>f2c531e4-8baa-424d-b8bd-8bf456cd81a6</t>
  </si>
  <si>
    <t>0095530152</t>
  </si>
  <si>
    <t>AGNA ARUNI AMALIA</t>
  </si>
  <si>
    <t>81b1bd2c-44ee-11e5-af8e-afc8db86757d</t>
  </si>
  <si>
    <t>a1c9156e-f417-4fd0-bd2c-59b7904e8729</t>
  </si>
  <si>
    <t>0098409105</t>
  </si>
  <si>
    <t>ALVIN NURAHMAN</t>
  </si>
  <si>
    <t>8b5426d2-3e9d-11e5-8fa2-33c54302d761</t>
  </si>
  <si>
    <t>e8c26ab4-bdcf-4615-9999-f207fcfa4fa3</t>
  </si>
  <si>
    <t>0085965772</t>
  </si>
  <si>
    <t>AMALIA TRIYANI</t>
  </si>
  <si>
    <t>dae8e1a2-3d07-11e5-bd3b-d33e4b3aa1ed</t>
  </si>
  <si>
    <t>5010a438-a1bc-4c48-88e1-2286b24ec2fa</t>
  </si>
  <si>
    <t>0086322601</t>
  </si>
  <si>
    <t>AMELIA PUTRI PRATIWI</t>
  </si>
  <si>
    <t>67e6b8fc-42a0-11e5-a2df-5f38f07d2172</t>
  </si>
  <si>
    <t>d526cb98-0bb2-43a5-a274-2ce84d41a883</t>
  </si>
  <si>
    <t>0096701256</t>
  </si>
  <si>
    <t>ANIS FITRY</t>
  </si>
  <si>
    <t>f1c1702c-4ef7-11e5-89ad-676b1b8f7c11</t>
  </si>
  <si>
    <t>81e3ef26-f710-4a10-8800-30923b6f04cd</t>
  </si>
  <si>
    <t>0085414542</t>
  </si>
  <si>
    <t>ANUGRAH WIYASA</t>
  </si>
  <si>
    <t>5c62acf8-4a06-11e5-afe4-9b5eb3b52c13</t>
  </si>
  <si>
    <t>24c55a5d-1057-4f8f-8537-e117faff5e8f</t>
  </si>
  <si>
    <t>0094352212</t>
  </si>
  <si>
    <t>ARLYN NAFIZA PUTRI RAHMAN</t>
  </si>
  <si>
    <t>938cec79-f59b-42d6-a237-d593bc40d5a8</t>
  </si>
  <si>
    <t>323a3686-c1c1-499d-b5b1-9e7c99588379</t>
  </si>
  <si>
    <t>3081028826</t>
  </si>
  <si>
    <t>CAHYA KUMAIRA PUTRI HIDAYAH</t>
  </si>
  <si>
    <t>5fc26a80-44f4-11e5-8844-1fae1e55940d</t>
  </si>
  <si>
    <t>c9912928-4418-47c6-ac41-88db69ef9a06</t>
  </si>
  <si>
    <t>0097984469</t>
  </si>
  <si>
    <t>CHIKA SAKURA</t>
  </si>
  <si>
    <t>c6387712-3fb5-11e5-96f1-8bf8481d3dfe</t>
  </si>
  <si>
    <t>5c14df43-874f-4a85-9c38-9df702aee0e8</t>
  </si>
  <si>
    <t>0101897198</t>
  </si>
  <si>
    <t>DEWI ANDRIYANI</t>
  </si>
  <si>
    <t>b7424b82-51e1-11e5-bbe8-37ce80a93096</t>
  </si>
  <si>
    <t>e0b2af9a-f026-4b45-8659-9769880ae445</t>
  </si>
  <si>
    <t>0093030566</t>
  </si>
  <si>
    <t>DIANA ARISTA</t>
  </si>
  <si>
    <t>b47c79ab-0ba5-11ec-ae6a-42010aba8125</t>
  </si>
  <si>
    <t>104e1ef1-fc0f-45b6-ad56-1bb26c7066e4</t>
  </si>
  <si>
    <t>0092065253</t>
  </si>
  <si>
    <t>FILDZA KHAIRINA RIDWAN</t>
  </si>
  <si>
    <t>2c08a49c-b150-4c80-baa3-fd76f6ea2f01</t>
  </si>
  <si>
    <t>0d1177fa-9f25-44d3-85c3-593e55344bd9</t>
  </si>
  <si>
    <t>3090168065</t>
  </si>
  <si>
    <t>GARNETTA ARTANTY</t>
  </si>
  <si>
    <t>0966923e-3f03-11e5-b863-83a499daf92b</t>
  </si>
  <si>
    <t>960e2932-1b41-4383-b552-444e59d466f6</t>
  </si>
  <si>
    <t>0099966202</t>
  </si>
  <si>
    <t>GHIANDRA MAULANA</t>
  </si>
  <si>
    <t>059f12e8-5204-11e5-a23b-e3c141aec469</t>
  </si>
  <si>
    <t>30cadb35-1a0f-4057-9489-c6819ee96ffa</t>
  </si>
  <si>
    <t>0091430065</t>
  </si>
  <si>
    <t>INTAN AULIA HIDAYAH</t>
  </si>
  <si>
    <t>5d8f0472-5132-11e5-b432-47e2e3575227</t>
  </si>
  <si>
    <t>4791c803-8761-4cb7-b110-503f41cf7d61</t>
  </si>
  <si>
    <t>0083864591</t>
  </si>
  <si>
    <t>JIHAN NAQIYA</t>
  </si>
  <si>
    <t>7f2e503e-394b-4989-b2b6-dff16e1adaa4</t>
  </si>
  <si>
    <t>e0a3bc4c-5b75-4ab1-bbb4-a5105b07806e</t>
  </si>
  <si>
    <t>0096630335</t>
  </si>
  <si>
    <t>KAFKA ABDEE HAFIEDZ</t>
  </si>
  <si>
    <t>acb44e54-3d41-11e5-a0a6-d7d698cfb79e</t>
  </si>
  <si>
    <t>1444e17a-247a-49bd-9aab-52b7c564e588</t>
  </si>
  <si>
    <t>0079470223</t>
  </si>
  <si>
    <t>KENFITRIA SALSABILA PEGARANI</t>
  </si>
  <si>
    <t>998f1674-51e1-11e5-9597-ab0c8dd0e3d1</t>
  </si>
  <si>
    <t>83e44a6f-95c3-49df-894f-41a849f32017</t>
  </si>
  <si>
    <t>0089775160</t>
  </si>
  <si>
    <t>LUBNA LUTFIFFAH</t>
  </si>
  <si>
    <t>e4c3d102-4291-11e5-8352-43708841f981</t>
  </si>
  <si>
    <t>81a1ca5c-5968-458c-94c8-8625de61a804</t>
  </si>
  <si>
    <t>0081792912</t>
  </si>
  <si>
    <t>LUTFIAH OKTAFIANI</t>
  </si>
  <si>
    <t>065c3e17-efb8-4717-b09b-7105f4b0ed06</t>
  </si>
  <si>
    <t>9c42e3ba-3a12-4ba9-9f1c-44fa20880441</t>
  </si>
  <si>
    <t>0093717526</t>
  </si>
  <si>
    <t>MALFA RAISYA KHANSA</t>
  </si>
  <si>
    <t>5046859c-3f21-11e5-87a2-a3f851425232</t>
  </si>
  <si>
    <t>c9b7f047-f37c-47d0-8e63-4c489eacc4d5</t>
  </si>
  <si>
    <t>0091973930</t>
  </si>
  <si>
    <t>MEGA LESTARI</t>
  </si>
  <si>
    <t>4e19842c-44fd-11e5-bf46-07899192b892</t>
  </si>
  <si>
    <t>0bea5f62-27d9-4785-a2ff-2df77a385c90</t>
  </si>
  <si>
    <t>0086007662</t>
  </si>
  <si>
    <t>MUHAMAD ALIFFIAN RAMADHANI</t>
  </si>
  <si>
    <t>e6f1c06a-40d4-11e5-8c93-d76eafab5305</t>
  </si>
  <si>
    <t>8b4fb588-d2f5-4dcd-ad8f-d9882ee5228f</t>
  </si>
  <si>
    <t>0092761255</t>
  </si>
  <si>
    <t>MUHAMMAD ARSYAD ALYASA</t>
  </si>
  <si>
    <t>13f65d8a-f4be-49ea-b839-5c7d09b2a010</t>
  </si>
  <si>
    <t>9eb067d2-1a23-4590-9d24-24b8e3a6be3e</t>
  </si>
  <si>
    <t>3098781299</t>
  </si>
  <si>
    <t>MUHAMMAD RIZKI MALIK ABDILAH</t>
  </si>
  <si>
    <t>d19fa2be-4baa-11e5-91bb-9f90ff291128</t>
  </si>
  <si>
    <t>566a5456-76b5-4008-937e-395e991f5c26</t>
  </si>
  <si>
    <t>0096209432</t>
  </si>
  <si>
    <t>MUHAMMAD ZIYAD ARHATTA</t>
  </si>
  <si>
    <t>7ca05a32-513c-11e5-ba9f-3f63d21811c1</t>
  </si>
  <si>
    <t>8a75cb6d-498e-4327-8337-d269f19ac0ab</t>
  </si>
  <si>
    <t>0082302994</t>
  </si>
  <si>
    <t>NABILLA KHOIRUNNISA</t>
  </si>
  <si>
    <t>2f91c52a-3f38-11e5-9b0f-5b1f414b3f29</t>
  </si>
  <si>
    <t>7ab836f8-cc83-4e99-b6be-440c01da93f5</t>
  </si>
  <si>
    <t>0085691465</t>
  </si>
  <si>
    <t>NAZWA HASNA PUTERI</t>
  </si>
  <si>
    <t>86353d26-3e25-11e5-8cca-5f1d1284fbdc</t>
  </si>
  <si>
    <t>3902928e-0716-4320-b51b-390e0534a548</t>
  </si>
  <si>
    <t>0099385990</t>
  </si>
  <si>
    <t>NISRINA ANDRIANI MARDIAH</t>
  </si>
  <si>
    <t>54ace326-1dce-11ec-a3a1-42010aba8125</t>
  </si>
  <si>
    <t>597fd9b2-4373-4dff-94d5-fcee8c8adb99</t>
  </si>
  <si>
    <t>0088405311</t>
  </si>
  <si>
    <t>OKTAVIANI FITRIA</t>
  </si>
  <si>
    <t>bfe662a2-486b-11e5-9ccc-0bc442109882</t>
  </si>
  <si>
    <t>5bcaecbe-4e69-4f81-b4bc-3cfed735e762</t>
  </si>
  <si>
    <t>0099022887</t>
  </si>
  <si>
    <t>PRISA RAHMA</t>
  </si>
  <si>
    <t>84ff9762-0f8e-11ec-ae6a-42010aba8125</t>
  </si>
  <si>
    <t>2ee0c6ab-31aa-4ab7-bcbc-ceb50baa2677</t>
  </si>
  <si>
    <t>0086113153</t>
  </si>
  <si>
    <t>PUTRI TSAMROTUL FUADAH</t>
  </si>
  <si>
    <t>88455e50-4629-11e5-8b31-774e1f935c3e</t>
  </si>
  <si>
    <t>4fda0dc7-4a8d-484a-9713-4c0822e21263</t>
  </si>
  <si>
    <t>0087973538</t>
  </si>
  <si>
    <t>RADEN MOCHAMAD REYHAN FIRDAUS</t>
  </si>
  <si>
    <t>8414eb44-42ef-11e5-a55b-63ebc0b79c43</t>
  </si>
  <si>
    <t>338d9ea1-f9e2-4fa1-9728-9759e7c5e40b</t>
  </si>
  <si>
    <t>0085808338</t>
  </si>
  <si>
    <t>REYSYA RINDU ANANDA</t>
  </si>
  <si>
    <t>d57a5fd4-499b-11e5-a020-6306ea0308aa</t>
  </si>
  <si>
    <t>42040daa-f799-4790-a61f-0cfbc21ed89c</t>
  </si>
  <si>
    <t>0088987256</t>
  </si>
  <si>
    <t>SAMMY ADHITYA RAHMAN</t>
  </si>
  <si>
    <t>28db5f40-3a45-11e5-a3f4-f3024a2f6ef9</t>
  </si>
  <si>
    <t>8cedef80-0480-485d-985c-f1faaf837c06</t>
  </si>
  <si>
    <t>0094726224</t>
  </si>
  <si>
    <t>SISKA UMAEROH</t>
  </si>
  <si>
    <t>5abe6de0-551b-11e5-abcb-bb55015f4322</t>
  </si>
  <si>
    <t>22539a29-8323-43b4-95e6-2072afa6ccf4</t>
  </si>
  <si>
    <t>0094336021</t>
  </si>
  <si>
    <t>ZIDANE DZIAULHAQ FAHDILLA</t>
  </si>
  <si>
    <t>KETERANGAN :</t>
  </si>
  <si>
    <t xml:space="preserve"> &gt; TP.1112 : Informatika masa kini dan masa depan</t>
  </si>
  <si>
    <t xml:space="preserve"> &gt; TP.1113 : strategi algoritmik serta menuliskan program sederhana</t>
  </si>
  <si>
    <t xml:space="preserve"> &gt; TP.1114 : mengidentifikasi dan mengevaluasi dampak sosial informatika untuk mengembangkan solusi yang tepat</t>
  </si>
  <si>
    <t>Catatan Validasi:</t>
  </si>
  <si>
    <t xml:space="preserve"> &gt; Jika Nilai Rapor Siswa kurang dari 100, silahkah dipilih Tujuan Pembelajaran mana saja yang masih perlu peningkatan (minimal 1)</t>
  </si>
  <si>
    <t xml:space="preserve"> &gt; Selain memilih Tujuan Pembelajaran yang masih perlu peningkatan, pilih juga Tujuan Pembelajaran yang mana saja sudah dicapai dengan sangat optimal (minimal 1)</t>
  </si>
  <si>
    <t xml:space="preserve"> &gt; Tidak mesti semua Tujuan Pembelajaran yarus dipilih, minimal pilih satu yang paling optimal dan satu yang paling minimal</t>
  </si>
  <si>
    <t xml:space="preserve"> &gt; Pahami Konsep Pembelajaran dan Asesmen sebagaimana telah dimuat pada Buku Panduan PPA agar tidak keliru dalam memahami format nilai rapor ini.</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</si>
</sst>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6">
    <font>
      <sz val="11"/>
      <color rgb="FF000000"/>
      <name val="Calibri"/>
      <charset val="134"/>
    </font>
    <font>
      <b/>
      <sz val="14"/>
      <color rgb="FF000000"/>
      <name val="Calibri"/>
      <charset val="134"/>
    </font>
    <font>
      <b/>
      <sz val="12"/>
      <color rgb="FFFFFFFF"/>
      <name val="Calibri"/>
      <charset val="134"/>
    </font>
    <font>
      <b/>
      <sz val="11"/>
      <color rgb="FFFFFFFF"/>
      <name val="Calibri"/>
      <charset val="134"/>
    </font>
    <font>
      <b/>
      <sz val="12"/>
      <color rgb="FF000000"/>
      <name val="Calibri"/>
      <charset val="134"/>
    </font>
    <font>
      <b/>
      <sz val="11"/>
      <color rgb="FF000000"/>
      <name val="Calibri"/>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4">
    <fill>
      <patternFill patternType="none"/>
    </fill>
    <fill>
      <patternFill patternType="gray125"/>
    </fill>
    <fill>
      <patternFill patternType="solid">
        <fgColor rgb="FF4F81BD"/>
        <bgColor rgb="FF000000"/>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6" fillId="0" borderId="0" applyFont="0" applyFill="0" applyBorder="0" applyAlignment="0" applyProtection="0">
      <alignment vertical="center"/>
    </xf>
    <xf numFmtId="44" fontId="6" fillId="0" borderId="0" applyFont="0" applyFill="0" applyBorder="0" applyAlignment="0" applyProtection="0">
      <alignment vertical="center"/>
    </xf>
    <xf numFmtId="9" fontId="6" fillId="0" borderId="0" applyFont="0" applyFill="0" applyBorder="0" applyAlignment="0" applyProtection="0">
      <alignment vertical="center"/>
    </xf>
    <xf numFmtId="177" fontId="6" fillId="0" borderId="0" applyFont="0" applyFill="0" applyBorder="0" applyAlignment="0" applyProtection="0">
      <alignment vertical="center"/>
    </xf>
    <xf numFmtId="42" fontId="6"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6" fillId="3" borderId="2"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3" applyNumberFormat="0" applyFill="0" applyAlignment="0" applyProtection="0">
      <alignment vertical="center"/>
    </xf>
    <xf numFmtId="0" fontId="13" fillId="0" borderId="3" applyNumberFormat="0" applyFill="0" applyAlignment="0" applyProtection="0">
      <alignment vertical="center"/>
    </xf>
    <xf numFmtId="0" fontId="14" fillId="0" borderId="4" applyNumberFormat="0" applyFill="0" applyAlignment="0" applyProtection="0">
      <alignment vertical="center"/>
    </xf>
    <xf numFmtId="0" fontId="14" fillId="0" borderId="0" applyNumberFormat="0" applyFill="0" applyBorder="0" applyAlignment="0" applyProtection="0">
      <alignment vertical="center"/>
    </xf>
    <xf numFmtId="0" fontId="15" fillId="4" borderId="5" applyNumberFormat="0" applyAlignment="0" applyProtection="0">
      <alignment vertical="center"/>
    </xf>
    <xf numFmtId="0" fontId="16" fillId="5" borderId="6" applyNumberFormat="0" applyAlignment="0" applyProtection="0">
      <alignment vertical="center"/>
    </xf>
    <xf numFmtId="0" fontId="17" fillId="5" borderId="5" applyNumberFormat="0" applyAlignment="0" applyProtection="0">
      <alignment vertical="center"/>
    </xf>
    <xf numFmtId="0" fontId="18" fillId="6" borderId="7" applyNumberFormat="0" applyAlignment="0" applyProtection="0">
      <alignment vertical="center"/>
    </xf>
    <xf numFmtId="0" fontId="19" fillId="0" borderId="8" applyNumberFormat="0" applyFill="0" applyAlignment="0" applyProtection="0">
      <alignment vertical="center"/>
    </xf>
    <xf numFmtId="0" fontId="20" fillId="0" borderId="9" applyNumberFormat="0" applyFill="0" applyAlignment="0" applyProtection="0">
      <alignment vertical="center"/>
    </xf>
    <xf numFmtId="0" fontId="21" fillId="7" borderId="0" applyNumberFormat="0" applyBorder="0" applyAlignment="0" applyProtection="0">
      <alignment vertical="center"/>
    </xf>
    <xf numFmtId="0" fontId="22" fillId="8" borderId="0" applyNumberFormat="0" applyBorder="0" applyAlignment="0" applyProtection="0">
      <alignment vertical="center"/>
    </xf>
    <xf numFmtId="0" fontId="23" fillId="9" borderId="0" applyNumberFormat="0" applyBorder="0" applyAlignment="0" applyProtection="0">
      <alignment vertical="center"/>
    </xf>
    <xf numFmtId="0" fontId="24" fillId="10" borderId="0" applyNumberFormat="0" applyBorder="0" applyAlignment="0" applyProtection="0">
      <alignment vertical="center"/>
    </xf>
    <xf numFmtId="0" fontId="25" fillId="11" borderId="0" applyNumberFormat="0" applyBorder="0" applyAlignment="0" applyProtection="0">
      <alignment vertical="center"/>
    </xf>
    <xf numFmtId="0" fontId="25" fillId="12" borderId="0" applyNumberFormat="0" applyBorder="0" applyAlignment="0" applyProtection="0">
      <alignment vertical="center"/>
    </xf>
    <xf numFmtId="0" fontId="24" fillId="13" borderId="0" applyNumberFormat="0" applyBorder="0" applyAlignment="0" applyProtection="0">
      <alignment vertical="center"/>
    </xf>
    <xf numFmtId="0" fontId="24" fillId="14" borderId="0" applyNumberFormat="0" applyBorder="0" applyAlignment="0" applyProtection="0">
      <alignment vertical="center"/>
    </xf>
    <xf numFmtId="0" fontId="25" fillId="15" borderId="0" applyNumberFormat="0" applyBorder="0" applyAlignment="0" applyProtection="0">
      <alignment vertical="center"/>
    </xf>
    <xf numFmtId="0" fontId="25" fillId="16" borderId="0" applyNumberFormat="0" applyBorder="0" applyAlignment="0" applyProtection="0">
      <alignment vertical="center"/>
    </xf>
    <xf numFmtId="0" fontId="24" fillId="17" borderId="0" applyNumberFormat="0" applyBorder="0" applyAlignment="0" applyProtection="0">
      <alignment vertical="center"/>
    </xf>
    <xf numFmtId="0" fontId="24" fillId="18" borderId="0" applyNumberFormat="0" applyBorder="0" applyAlignment="0" applyProtection="0">
      <alignment vertical="center"/>
    </xf>
    <xf numFmtId="0" fontId="25" fillId="19" borderId="0" applyNumberFormat="0" applyBorder="0" applyAlignment="0" applyProtection="0">
      <alignment vertical="center"/>
    </xf>
    <xf numFmtId="0" fontId="25" fillId="20" borderId="0" applyNumberFormat="0" applyBorder="0" applyAlignment="0" applyProtection="0">
      <alignment vertical="center"/>
    </xf>
    <xf numFmtId="0" fontId="24" fillId="21" borderId="0" applyNumberFormat="0" applyBorder="0" applyAlignment="0" applyProtection="0">
      <alignment vertical="center"/>
    </xf>
    <xf numFmtId="0" fontId="24" fillId="22" borderId="0" applyNumberFormat="0" applyBorder="0" applyAlignment="0" applyProtection="0">
      <alignment vertical="center"/>
    </xf>
    <xf numFmtId="0" fontId="25" fillId="23" borderId="0" applyNumberFormat="0" applyBorder="0" applyAlignment="0" applyProtection="0">
      <alignment vertical="center"/>
    </xf>
    <xf numFmtId="0" fontId="25" fillId="24" borderId="0" applyNumberFormat="0" applyBorder="0" applyAlignment="0" applyProtection="0">
      <alignment vertical="center"/>
    </xf>
    <xf numFmtId="0" fontId="24" fillId="25" borderId="0" applyNumberFormat="0" applyBorder="0" applyAlignment="0" applyProtection="0">
      <alignment vertical="center"/>
    </xf>
    <xf numFmtId="0" fontId="24" fillId="26" borderId="0" applyNumberFormat="0" applyBorder="0" applyAlignment="0" applyProtection="0">
      <alignment vertical="center"/>
    </xf>
    <xf numFmtId="0" fontId="25" fillId="27" borderId="0" applyNumberFormat="0" applyBorder="0" applyAlignment="0" applyProtection="0">
      <alignment vertical="center"/>
    </xf>
    <xf numFmtId="0" fontId="25" fillId="28" borderId="0" applyNumberFormat="0" applyBorder="0" applyAlignment="0" applyProtection="0">
      <alignment vertical="center"/>
    </xf>
    <xf numFmtId="0" fontId="24" fillId="29" borderId="0" applyNumberFormat="0" applyBorder="0" applyAlignment="0" applyProtection="0">
      <alignment vertical="center"/>
    </xf>
    <xf numFmtId="0" fontId="24" fillId="30" borderId="0" applyNumberFormat="0" applyBorder="0" applyAlignment="0" applyProtection="0">
      <alignment vertical="center"/>
    </xf>
    <xf numFmtId="0" fontId="25" fillId="31" borderId="0" applyNumberFormat="0" applyBorder="0" applyAlignment="0" applyProtection="0">
      <alignment vertical="center"/>
    </xf>
    <xf numFmtId="0" fontId="25" fillId="32" borderId="0" applyNumberFormat="0" applyBorder="0" applyAlignment="0" applyProtection="0">
      <alignment vertical="center"/>
    </xf>
    <xf numFmtId="0" fontId="24" fillId="33" borderId="0" applyNumberFormat="0" applyBorder="0" applyAlignment="0" applyProtection="0">
      <alignment vertical="center"/>
    </xf>
  </cellStyleXfs>
  <cellXfs count="12">
    <xf numFmtId="0" fontId="0" fillId="0" borderId="0" xfId="0"/>
    <xf numFmtId="0" fontId="1" fillId="0" borderId="0" xfId="0" applyFont="1" applyProtection="1"/>
    <xf numFmtId="0" fontId="0" fillId="0" borderId="0" xfId="0" applyProtection="1"/>
    <xf numFmtId="0" fontId="2" fillId="2" borderId="1" xfId="0" applyFont="1" applyFill="1" applyBorder="1" applyAlignment="1" applyProtection="1">
      <alignment horizontal="center" vertical="center"/>
    </xf>
    <xf numFmtId="0" fontId="3" fillId="2" borderId="1" xfId="0" applyFont="1" applyFill="1" applyBorder="1" applyAlignment="1" applyProtection="1">
      <alignment horizontal="center" vertical="top" wrapText="1"/>
    </xf>
    <xf numFmtId="0" fontId="0" fillId="0" borderId="1" xfId="0" applyBorder="1" applyAlignment="1" applyProtection="1">
      <alignment vertical="top" wrapText="1"/>
    </xf>
    <xf numFmtId="0" fontId="4" fillId="0" borderId="0" xfId="0" applyFont="1"/>
    <xf numFmtId="0" fontId="5" fillId="0" borderId="0" xfId="0" applyFont="1"/>
    <xf numFmtId="0" fontId="3" fillId="2" borderId="1" xfId="0" applyFont="1" applyFill="1" applyBorder="1" applyAlignment="1" applyProtection="1">
      <alignment horizontal="center" vertical="top" wrapText="1"/>
      <protection locked="0"/>
    </xf>
    <xf numFmtId="0" fontId="0" fillId="0" borderId="1" xfId="0" applyBorder="1" applyAlignment="1" applyProtection="1">
      <alignment horizontal="center" vertical="top" wrapText="1"/>
      <protection locked="0"/>
    </xf>
    <xf numFmtId="0" fontId="0" fillId="0" borderId="1" xfId="0" applyBorder="1" applyAlignment="1" applyProtection="1">
      <alignment horizontal="center" vertical="top" wrapText="1"/>
    </xf>
    <xf numFmtId="0" fontId="0" fillId="0" borderId="1" xfId="0" applyBorder="1" applyAlignment="1" applyProtection="1">
      <alignment vertical="top" wrapText="1"/>
      <protection hidden="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customXml" Target="../customXml/item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Z55"/>
  <sheetViews>
    <sheetView tabSelected="1" topLeftCell="A3" workbookViewId="0">
      <selection activeCell="P17" sqref="P17"/>
    </sheetView>
  </sheetViews>
  <sheetFormatPr defaultColWidth="9" defaultRowHeight="14.4"/>
  <cols>
    <col min="1" max="1" width="5" customWidth="1"/>
    <col min="2" max="4" width="9" hidden="1" customWidth="1"/>
    <col min="5" max="5" width="13" customWidth="1"/>
    <col min="6" max="6" width="35.275" customWidth="1"/>
    <col min="7" max="7" width="17.7083333333333" customWidth="1"/>
    <col min="8" max="10" width="10" customWidth="1"/>
    <col min="11" max="12" width="9" hidden="1" customWidth="1"/>
    <col min="13" max="13" width="15" customWidth="1"/>
  </cols>
  <sheetData>
    <row r="1" ht="17.4" spans="1:52">
      <c r="A1" s="1" t="s">
        <v>0</v>
      </c>
      <c r="B1" s="2">
        <v>13</v>
      </c>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row>
    <row r="2" spans="1:52">
      <c r="A2" s="2"/>
      <c r="B2" s="2">
        <v>45</v>
      </c>
      <c r="C2" s="2" t="s">
        <v>1</v>
      </c>
      <c r="D2" s="2">
        <v>700106100</v>
      </c>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row>
    <row r="3" ht="25" customHeight="1" spans="1:52">
      <c r="A3" s="3" t="s">
        <v>2</v>
      </c>
      <c r="B3" s="3" t="s">
        <v>3</v>
      </c>
      <c r="C3" s="3" t="s">
        <v>3</v>
      </c>
      <c r="D3" s="3" t="s">
        <v>3</v>
      </c>
      <c r="E3" s="3" t="s">
        <v>4</v>
      </c>
      <c r="F3" s="3" t="s">
        <v>5</v>
      </c>
      <c r="G3" s="3" t="s">
        <v>6</v>
      </c>
      <c r="H3" s="3" t="s">
        <v>7</v>
      </c>
      <c r="I3" s="3"/>
      <c r="J3" s="3"/>
      <c r="K3" s="3" t="s">
        <v>8</v>
      </c>
      <c r="L3" s="3"/>
      <c r="M3" s="3"/>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row>
    <row r="4" hidden="1" customHeight="1" spans="1:52">
      <c r="A4" s="4"/>
      <c r="B4" s="4"/>
      <c r="C4" s="4"/>
      <c r="D4" s="4"/>
      <c r="E4" s="4"/>
      <c r="F4" s="4"/>
      <c r="G4" s="8"/>
      <c r="H4" s="8" t="s">
        <v>9</v>
      </c>
      <c r="I4" s="8" t="s">
        <v>10</v>
      </c>
      <c r="J4" s="8" t="s">
        <v>11</v>
      </c>
      <c r="K4" s="4"/>
      <c r="L4" s="4"/>
      <c r="M4" s="4"/>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row>
    <row r="5" hidden="1" customHeight="1" spans="1:52">
      <c r="A5" s="4"/>
      <c r="B5" s="4"/>
      <c r="C5" s="4"/>
      <c r="D5" s="4"/>
      <c r="E5" s="4"/>
      <c r="F5" s="4"/>
      <c r="G5" s="8"/>
      <c r="H5" s="8" t="s">
        <v>12</v>
      </c>
      <c r="I5" s="8" t="s">
        <v>13</v>
      </c>
      <c r="J5" s="8" t="s">
        <v>14</v>
      </c>
      <c r="K5" s="4"/>
      <c r="L5" s="4"/>
      <c r="M5" s="4"/>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c r="AU5" s="2"/>
      <c r="AV5" s="2"/>
      <c r="AW5" s="2"/>
      <c r="AX5" s="2"/>
      <c r="AY5" s="2"/>
      <c r="AZ5" s="2"/>
    </row>
    <row r="6" ht="15" spans="1:52">
      <c r="A6" s="4"/>
      <c r="B6" s="4"/>
      <c r="C6" s="4"/>
      <c r="D6" s="4"/>
      <c r="E6" s="4"/>
      <c r="F6" s="4"/>
      <c r="G6" s="8"/>
      <c r="H6" s="8" t="s">
        <v>15</v>
      </c>
      <c r="I6" s="8" t="s">
        <v>16</v>
      </c>
      <c r="J6" s="8" t="s">
        <v>17</v>
      </c>
      <c r="K6" s="4" t="s">
        <v>18</v>
      </c>
      <c r="L6" s="4" t="s">
        <v>19</v>
      </c>
      <c r="M6" s="4" t="s">
        <v>20</v>
      </c>
      <c r="N6" s="2"/>
      <c r="O6" s="2"/>
      <c r="P6" s="2"/>
      <c r="Q6" s="2"/>
      <c r="R6" s="2"/>
      <c r="S6" s="2"/>
      <c r="T6" s="2"/>
      <c r="U6" s="2"/>
      <c r="V6" s="2"/>
      <c r="W6" s="2"/>
      <c r="X6" s="2"/>
      <c r="Y6" s="2"/>
      <c r="Z6" s="2"/>
      <c r="AA6" s="2"/>
      <c r="AB6" s="2"/>
      <c r="AC6" s="2"/>
      <c r="AD6" s="2"/>
      <c r="AE6" s="2"/>
      <c r="AF6" s="2"/>
      <c r="AG6" s="2"/>
      <c r="AH6" s="2"/>
      <c r="AI6" s="2"/>
      <c r="AJ6" s="2"/>
      <c r="AK6" s="2"/>
      <c r="AL6" s="2"/>
      <c r="AM6" s="2"/>
      <c r="AN6" s="2"/>
      <c r="AO6" s="2"/>
      <c r="AP6" s="2"/>
      <c r="AQ6" s="2"/>
      <c r="AR6" s="2"/>
      <c r="AS6" s="2"/>
      <c r="AT6" s="2"/>
      <c r="AU6" s="2"/>
      <c r="AV6" s="2"/>
      <c r="AW6" s="2"/>
      <c r="AX6" s="2"/>
      <c r="AY6" s="2"/>
      <c r="AZ6" s="2"/>
    </row>
    <row r="7" ht="20" customHeight="1" spans="1:52">
      <c r="A7" s="5">
        <v>1</v>
      </c>
      <c r="B7" s="5" t="s">
        <v>21</v>
      </c>
      <c r="C7" s="5" t="s">
        <v>22</v>
      </c>
      <c r="D7" s="5">
        <v>16</v>
      </c>
      <c r="E7" s="5" t="s">
        <v>23</v>
      </c>
      <c r="F7" s="5" t="s">
        <v>24</v>
      </c>
      <c r="G7" s="9">
        <v>88.5884133755332</v>
      </c>
      <c r="H7" s="9" t="s">
        <v>25</v>
      </c>
      <c r="I7" s="9" t="s">
        <v>26</v>
      </c>
      <c r="J7" s="9" t="s">
        <v>25</v>
      </c>
      <c r="K7" s="10">
        <f t="shared" ref="K7:K45" si="0">COUNTIF(H7:J7,"R")</f>
        <v>1</v>
      </c>
      <c r="L7" s="10">
        <f t="shared" ref="L7:L45" si="1">COUNTIF(H7:J7,"T")</f>
        <v>2</v>
      </c>
      <c r="M7" s="11" t="str">
        <f t="shared" ref="M7:M45" si="2">IF(G7="","",IF(G7=100,IF(K7&gt;0,"Tidak Valid",IF((K7+L7)&gt;0,"Valid","Tidak Valid")),IF(K7=0,"Tidak Valid",IF((K7+L7)&gt;0,"Valid","Tidak Valid"))))</f>
        <v>Valid</v>
      </c>
      <c r="N7" s="2"/>
      <c r="O7" s="2"/>
      <c r="P7" s="2"/>
      <c r="Q7" s="2"/>
      <c r="R7" s="2"/>
      <c r="S7" s="2"/>
      <c r="T7" s="2"/>
      <c r="U7" s="2"/>
      <c r="V7" s="2"/>
      <c r="W7" s="2"/>
      <c r="X7" s="2"/>
      <c r="Y7" s="2"/>
      <c r="Z7" s="2"/>
      <c r="AA7" s="2"/>
      <c r="AB7" s="2"/>
      <c r="AC7" s="2"/>
      <c r="AD7" s="2"/>
      <c r="AE7" s="2"/>
      <c r="AF7" s="2"/>
      <c r="AG7" s="2"/>
      <c r="AH7" s="2"/>
      <c r="AI7" s="2"/>
      <c r="AJ7" s="2"/>
      <c r="AK7" s="2"/>
      <c r="AL7" s="2"/>
      <c r="AM7" s="2"/>
      <c r="AN7" s="2"/>
      <c r="AO7" s="2"/>
      <c r="AP7" s="2"/>
      <c r="AQ7" s="2"/>
      <c r="AR7" s="2"/>
      <c r="AS7" s="2"/>
      <c r="AT7" s="2"/>
      <c r="AU7" s="2"/>
      <c r="AV7" s="2"/>
      <c r="AW7" s="2"/>
      <c r="AX7" s="2"/>
      <c r="AY7" s="2"/>
      <c r="AZ7" s="2"/>
    </row>
    <row r="8" ht="20" customHeight="1" spans="1:52">
      <c r="A8" s="5">
        <v>2</v>
      </c>
      <c r="B8" s="5" t="s">
        <v>27</v>
      </c>
      <c r="C8" s="5" t="s">
        <v>28</v>
      </c>
      <c r="D8" s="5">
        <v>16</v>
      </c>
      <c r="E8" s="5" t="s">
        <v>29</v>
      </c>
      <c r="F8" s="5" t="s">
        <v>30</v>
      </c>
      <c r="G8" s="9">
        <v>88.5047474886473</v>
      </c>
      <c r="H8" s="9" t="s">
        <v>25</v>
      </c>
      <c r="I8" s="9" t="s">
        <v>26</v>
      </c>
      <c r="J8" s="9" t="s">
        <v>25</v>
      </c>
      <c r="K8" s="10">
        <f t="shared" si="0"/>
        <v>1</v>
      </c>
      <c r="L8" s="10">
        <f t="shared" si="1"/>
        <v>2</v>
      </c>
      <c r="M8" s="11" t="str">
        <f t="shared" si="2"/>
        <v>Valid</v>
      </c>
      <c r="N8" s="2"/>
      <c r="O8" s="2"/>
      <c r="P8" s="2"/>
      <c r="Q8" s="2"/>
      <c r="R8" s="2"/>
      <c r="S8" s="2"/>
      <c r="T8" s="2"/>
      <c r="U8" s="2"/>
      <c r="V8" s="2"/>
      <c r="W8" s="2"/>
      <c r="X8" s="2"/>
      <c r="Y8" s="2"/>
      <c r="Z8" s="2"/>
      <c r="AA8" s="2"/>
      <c r="AB8" s="2"/>
      <c r="AC8" s="2"/>
      <c r="AD8" s="2"/>
      <c r="AE8" s="2"/>
      <c r="AF8" s="2"/>
      <c r="AG8" s="2"/>
      <c r="AH8" s="2"/>
      <c r="AI8" s="2"/>
      <c r="AJ8" s="2"/>
      <c r="AK8" s="2"/>
      <c r="AL8" s="2"/>
      <c r="AM8" s="2"/>
      <c r="AN8" s="2"/>
      <c r="AO8" s="2"/>
      <c r="AP8" s="2"/>
      <c r="AQ8" s="2"/>
      <c r="AR8" s="2"/>
      <c r="AS8" s="2"/>
      <c r="AT8" s="2"/>
      <c r="AU8" s="2"/>
      <c r="AV8" s="2"/>
      <c r="AW8" s="2"/>
      <c r="AX8" s="2"/>
      <c r="AY8" s="2"/>
      <c r="AZ8" s="2"/>
    </row>
    <row r="9" ht="20" customHeight="1" spans="1:52">
      <c r="A9" s="5">
        <v>3</v>
      </c>
      <c r="B9" s="5" t="s">
        <v>31</v>
      </c>
      <c r="C9" s="5" t="s">
        <v>32</v>
      </c>
      <c r="D9" s="5">
        <v>16</v>
      </c>
      <c r="E9" s="5" t="s">
        <v>33</v>
      </c>
      <c r="F9" s="5" t="s">
        <v>34</v>
      </c>
      <c r="G9" s="9">
        <v>88.5884133755332</v>
      </c>
      <c r="H9" s="9" t="s">
        <v>25</v>
      </c>
      <c r="I9" s="9" t="s">
        <v>26</v>
      </c>
      <c r="J9" s="9" t="s">
        <v>25</v>
      </c>
      <c r="K9" s="10">
        <f t="shared" si="0"/>
        <v>1</v>
      </c>
      <c r="L9" s="10">
        <f t="shared" si="1"/>
        <v>2</v>
      </c>
      <c r="M9" s="11" t="str">
        <f t="shared" si="2"/>
        <v>Valid</v>
      </c>
      <c r="N9" s="2"/>
      <c r="O9" s="2"/>
      <c r="P9" s="2"/>
      <c r="Q9" s="2"/>
      <c r="R9" s="2"/>
      <c r="S9" s="2"/>
      <c r="T9" s="2"/>
      <c r="U9" s="2"/>
      <c r="V9" s="2"/>
      <c r="W9" s="2"/>
      <c r="X9" s="2"/>
      <c r="Y9" s="2"/>
      <c r="Z9" s="2"/>
      <c r="AA9" s="2"/>
      <c r="AB9" s="2"/>
      <c r="AC9" s="2"/>
      <c r="AD9" s="2"/>
      <c r="AE9" s="2"/>
      <c r="AF9" s="2"/>
      <c r="AG9" s="2"/>
      <c r="AH9" s="2"/>
      <c r="AI9" s="2"/>
      <c r="AJ9" s="2"/>
      <c r="AK9" s="2"/>
      <c r="AL9" s="2"/>
      <c r="AM9" s="2"/>
      <c r="AN9" s="2"/>
      <c r="AO9" s="2"/>
      <c r="AP9" s="2"/>
      <c r="AQ9" s="2"/>
      <c r="AR9" s="2"/>
      <c r="AS9" s="2"/>
      <c r="AT9" s="2"/>
      <c r="AU9" s="2"/>
      <c r="AV9" s="2"/>
      <c r="AW9" s="2"/>
      <c r="AX9" s="2"/>
      <c r="AY9" s="2"/>
      <c r="AZ9" s="2"/>
    </row>
    <row r="10" ht="20" customHeight="1" spans="1:52">
      <c r="A10" s="5">
        <v>4</v>
      </c>
      <c r="B10" s="5" t="s">
        <v>35</v>
      </c>
      <c r="C10" s="5" t="s">
        <v>36</v>
      </c>
      <c r="D10" s="5">
        <v>16</v>
      </c>
      <c r="E10" s="5" t="s">
        <v>37</v>
      </c>
      <c r="F10" s="5" t="s">
        <v>38</v>
      </c>
      <c r="G10" s="9">
        <v>89.3469106921701</v>
      </c>
      <c r="H10" s="9" t="s">
        <v>25</v>
      </c>
      <c r="I10" s="9" t="s">
        <v>26</v>
      </c>
      <c r="J10" s="9" t="s">
        <v>25</v>
      </c>
      <c r="K10" s="10">
        <f t="shared" si="0"/>
        <v>1</v>
      </c>
      <c r="L10" s="10">
        <f t="shared" si="1"/>
        <v>2</v>
      </c>
      <c r="M10" s="11" t="str">
        <f t="shared" si="2"/>
        <v>Valid</v>
      </c>
      <c r="N10" s="2"/>
      <c r="O10" s="2"/>
      <c r="P10" s="2"/>
      <c r="Q10" s="2"/>
      <c r="R10" s="2"/>
      <c r="S10" s="2"/>
      <c r="T10" s="2"/>
      <c r="U10" s="2"/>
      <c r="V10" s="2"/>
      <c r="W10" s="2"/>
      <c r="X10" s="2"/>
      <c r="Y10" s="2"/>
      <c r="Z10" s="2"/>
      <c r="AA10" s="2"/>
      <c r="AB10" s="2"/>
      <c r="AC10" s="2"/>
      <c r="AD10" s="2"/>
      <c r="AE10" s="2"/>
      <c r="AF10" s="2"/>
      <c r="AG10" s="2"/>
      <c r="AH10" s="2"/>
      <c r="AI10" s="2"/>
      <c r="AJ10" s="2"/>
      <c r="AK10" s="2"/>
      <c r="AL10" s="2"/>
      <c r="AM10" s="2"/>
      <c r="AN10" s="2"/>
      <c r="AO10" s="2"/>
      <c r="AP10" s="2"/>
      <c r="AQ10" s="2"/>
      <c r="AR10" s="2"/>
      <c r="AS10" s="2"/>
      <c r="AT10" s="2"/>
      <c r="AU10" s="2"/>
      <c r="AV10" s="2"/>
      <c r="AW10" s="2"/>
      <c r="AX10" s="2"/>
      <c r="AY10" s="2"/>
      <c r="AZ10" s="2"/>
    </row>
    <row r="11" ht="20" customHeight="1" spans="1:52">
      <c r="A11" s="5">
        <v>5</v>
      </c>
      <c r="B11" s="5" t="s">
        <v>39</v>
      </c>
      <c r="C11" s="5" t="s">
        <v>40</v>
      </c>
      <c r="D11" s="5">
        <v>16</v>
      </c>
      <c r="E11" s="5" t="s">
        <v>41</v>
      </c>
      <c r="F11" s="5" t="s">
        <v>42</v>
      </c>
      <c r="G11" s="9">
        <v>88.5884133755332</v>
      </c>
      <c r="H11" s="9" t="s">
        <v>25</v>
      </c>
      <c r="I11" s="9" t="s">
        <v>26</v>
      </c>
      <c r="J11" s="9" t="s">
        <v>25</v>
      </c>
      <c r="K11" s="10">
        <f t="shared" si="0"/>
        <v>1</v>
      </c>
      <c r="L11" s="10">
        <f t="shared" si="1"/>
        <v>2</v>
      </c>
      <c r="M11" s="11" t="str">
        <f t="shared" si="2"/>
        <v>Valid</v>
      </c>
      <c r="N11" s="2"/>
      <c r="O11" s="2"/>
      <c r="P11" s="2"/>
      <c r="Q11" s="2"/>
      <c r="R11" s="2"/>
      <c r="S11" s="2"/>
      <c r="T11" s="2"/>
      <c r="U11" s="2"/>
      <c r="V11" s="2"/>
      <c r="W11" s="2"/>
      <c r="X11" s="2"/>
      <c r="Y11" s="2"/>
      <c r="Z11" s="2"/>
      <c r="AA11" s="2"/>
      <c r="AB11" s="2"/>
      <c r="AC11" s="2"/>
      <c r="AD11" s="2"/>
      <c r="AE11" s="2"/>
      <c r="AF11" s="2"/>
      <c r="AG11" s="2"/>
      <c r="AH11" s="2"/>
      <c r="AI11" s="2"/>
      <c r="AJ11" s="2"/>
      <c r="AK11" s="2"/>
      <c r="AL11" s="2"/>
      <c r="AM11" s="2"/>
      <c r="AN11" s="2"/>
      <c r="AO11" s="2"/>
      <c r="AP11" s="2"/>
      <c r="AQ11" s="2"/>
      <c r="AR11" s="2"/>
      <c r="AS11" s="2"/>
      <c r="AT11" s="2"/>
      <c r="AU11" s="2"/>
      <c r="AV11" s="2"/>
      <c r="AW11" s="2"/>
      <c r="AX11" s="2"/>
      <c r="AY11" s="2"/>
      <c r="AZ11" s="2"/>
    </row>
    <row r="12" ht="20" customHeight="1" spans="1:52">
      <c r="A12" s="5">
        <v>6</v>
      </c>
      <c r="B12" s="5" t="s">
        <v>43</v>
      </c>
      <c r="C12" s="5" t="s">
        <v>44</v>
      </c>
      <c r="D12" s="5">
        <v>16</v>
      </c>
      <c r="E12" s="5" t="s">
        <v>45</v>
      </c>
      <c r="F12" s="5" t="s">
        <v>46</v>
      </c>
      <c r="G12" s="9">
        <v>88.104031925141</v>
      </c>
      <c r="H12" s="9" t="s">
        <v>25</v>
      </c>
      <c r="I12" s="9" t="s">
        <v>26</v>
      </c>
      <c r="J12" s="9" t="s">
        <v>25</v>
      </c>
      <c r="K12" s="10">
        <f t="shared" si="0"/>
        <v>1</v>
      </c>
      <c r="L12" s="10">
        <f t="shared" si="1"/>
        <v>2</v>
      </c>
      <c r="M12" s="11" t="str">
        <f t="shared" si="2"/>
        <v>Valid</v>
      </c>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row>
    <row r="13" ht="20" customHeight="1" spans="1:52">
      <c r="A13" s="5">
        <v>7</v>
      </c>
      <c r="B13" s="5" t="s">
        <v>47</v>
      </c>
      <c r="C13" s="5" t="s">
        <v>48</v>
      </c>
      <c r="D13" s="5">
        <v>16</v>
      </c>
      <c r="E13" s="5" t="s">
        <v>49</v>
      </c>
      <c r="F13" s="5" t="s">
        <v>50</v>
      </c>
      <c r="G13" s="9">
        <v>87.0075684601624</v>
      </c>
      <c r="H13" s="9" t="s">
        <v>25</v>
      </c>
      <c r="I13" s="9" t="s">
        <v>26</v>
      </c>
      <c r="J13" s="9" t="s">
        <v>25</v>
      </c>
      <c r="K13" s="10">
        <f t="shared" si="0"/>
        <v>1</v>
      </c>
      <c r="L13" s="10">
        <f t="shared" si="1"/>
        <v>2</v>
      </c>
      <c r="M13" s="11" t="str">
        <f t="shared" si="2"/>
        <v>Valid</v>
      </c>
      <c r="N13" s="2"/>
      <c r="O13" s="2"/>
      <c r="P13" s="2"/>
      <c r="Q13" s="2"/>
      <c r="R13" s="2"/>
      <c r="S13" s="2"/>
      <c r="T13" s="2"/>
      <c r="U13" s="2"/>
      <c r="V13" s="2"/>
      <c r="W13" s="2"/>
      <c r="X13" s="2"/>
      <c r="Y13" s="2"/>
      <c r="Z13" s="2"/>
      <c r="AA13" s="2"/>
      <c r="AB13" s="2"/>
      <c r="AC13" s="2"/>
      <c r="AD13" s="2"/>
      <c r="AE13" s="2"/>
      <c r="AF13" s="2"/>
      <c r="AG13" s="2"/>
      <c r="AH13" s="2"/>
      <c r="AI13" s="2"/>
      <c r="AJ13" s="2"/>
      <c r="AK13" s="2"/>
      <c r="AL13" s="2"/>
      <c r="AM13" s="2"/>
      <c r="AN13" s="2"/>
      <c r="AO13" s="2"/>
      <c r="AP13" s="2"/>
      <c r="AQ13" s="2"/>
      <c r="AR13" s="2"/>
      <c r="AS13" s="2"/>
      <c r="AT13" s="2"/>
      <c r="AU13" s="2"/>
      <c r="AV13" s="2"/>
      <c r="AW13" s="2"/>
      <c r="AX13" s="2"/>
      <c r="AY13" s="2"/>
      <c r="AZ13" s="2"/>
    </row>
    <row r="14" ht="20" customHeight="1" spans="1:52">
      <c r="A14" s="5">
        <v>8</v>
      </c>
      <c r="B14" s="5" t="s">
        <v>51</v>
      </c>
      <c r="C14" s="5" t="s">
        <v>52</v>
      </c>
      <c r="D14" s="5">
        <v>16</v>
      </c>
      <c r="E14" s="5" t="s">
        <v>53</v>
      </c>
      <c r="F14" s="5" t="s">
        <v>54</v>
      </c>
      <c r="G14" s="9">
        <v>88.5581395348837</v>
      </c>
      <c r="H14" s="9" t="s">
        <v>25</v>
      </c>
      <c r="I14" s="9" t="s">
        <v>26</v>
      </c>
      <c r="J14" s="9" t="s">
        <v>25</v>
      </c>
      <c r="K14" s="10">
        <f t="shared" si="0"/>
        <v>1</v>
      </c>
      <c r="L14" s="10">
        <f t="shared" si="1"/>
        <v>2</v>
      </c>
      <c r="M14" s="11" t="str">
        <f t="shared" si="2"/>
        <v>Valid</v>
      </c>
      <c r="N14" s="2"/>
      <c r="O14" s="2"/>
      <c r="P14" s="2"/>
      <c r="Q14" s="2"/>
      <c r="R14" s="2"/>
      <c r="S14" s="2"/>
      <c r="T14" s="2"/>
      <c r="U14" s="2"/>
      <c r="V14" s="2"/>
      <c r="W14" s="2"/>
      <c r="X14" s="2"/>
      <c r="Y14" s="2"/>
      <c r="Z14" s="2"/>
      <c r="AA14" s="2"/>
      <c r="AB14" s="2"/>
      <c r="AC14" s="2"/>
      <c r="AD14" s="2"/>
      <c r="AE14" s="2"/>
      <c r="AF14" s="2"/>
      <c r="AG14" s="2"/>
      <c r="AH14" s="2"/>
      <c r="AI14" s="2"/>
      <c r="AJ14" s="2"/>
      <c r="AK14" s="2"/>
      <c r="AL14" s="2"/>
      <c r="AM14" s="2"/>
      <c r="AN14" s="2"/>
      <c r="AO14" s="2"/>
      <c r="AP14" s="2"/>
      <c r="AQ14" s="2"/>
      <c r="AR14" s="2"/>
      <c r="AS14" s="2"/>
      <c r="AT14" s="2"/>
      <c r="AU14" s="2"/>
      <c r="AV14" s="2"/>
      <c r="AW14" s="2"/>
      <c r="AX14" s="2"/>
      <c r="AY14" s="2"/>
      <c r="AZ14" s="2"/>
    </row>
    <row r="15" ht="20" customHeight="1" spans="1:52">
      <c r="A15" s="5">
        <v>9</v>
      </c>
      <c r="B15" s="5" t="s">
        <v>55</v>
      </c>
      <c r="C15" s="5" t="s">
        <v>56</v>
      </c>
      <c r="D15" s="5">
        <v>16</v>
      </c>
      <c r="E15" s="5" t="s">
        <v>57</v>
      </c>
      <c r="F15" s="5" t="s">
        <v>58</v>
      </c>
      <c r="G15" s="9">
        <v>87.0075684601624</v>
      </c>
      <c r="H15" s="9" t="s">
        <v>25</v>
      </c>
      <c r="I15" s="9" t="s">
        <v>26</v>
      </c>
      <c r="J15" s="9" t="s">
        <v>25</v>
      </c>
      <c r="K15" s="10">
        <f t="shared" si="0"/>
        <v>1</v>
      </c>
      <c r="L15" s="10">
        <f t="shared" si="1"/>
        <v>2</v>
      </c>
      <c r="M15" s="11" t="str">
        <f t="shared" si="2"/>
        <v>Valid</v>
      </c>
      <c r="N15" s="2"/>
      <c r="O15" s="2"/>
      <c r="P15" s="2"/>
      <c r="Q15" s="2"/>
      <c r="R15" s="2"/>
      <c r="S15" s="2"/>
      <c r="T15" s="2"/>
      <c r="U15" s="2"/>
      <c r="V15" s="2"/>
      <c r="W15" s="2"/>
      <c r="X15" s="2"/>
      <c r="Y15" s="2"/>
      <c r="Z15" s="2"/>
      <c r="AA15" s="2"/>
      <c r="AB15" s="2"/>
      <c r="AC15" s="2"/>
      <c r="AD15" s="2"/>
      <c r="AE15" s="2"/>
      <c r="AF15" s="2"/>
      <c r="AG15" s="2"/>
      <c r="AH15" s="2"/>
      <c r="AI15" s="2"/>
      <c r="AJ15" s="2"/>
      <c r="AK15" s="2"/>
      <c r="AL15" s="2"/>
      <c r="AM15" s="2"/>
      <c r="AN15" s="2"/>
      <c r="AO15" s="2"/>
      <c r="AP15" s="2"/>
      <c r="AQ15" s="2"/>
      <c r="AR15" s="2"/>
      <c r="AS15" s="2"/>
      <c r="AT15" s="2"/>
      <c r="AU15" s="2"/>
      <c r="AV15" s="2"/>
      <c r="AW15" s="2"/>
      <c r="AX15" s="2"/>
      <c r="AY15" s="2"/>
      <c r="AZ15" s="2"/>
    </row>
    <row r="16" ht="20" customHeight="1" spans="1:52">
      <c r="A16" s="5">
        <v>10</v>
      </c>
      <c r="B16" s="5" t="s">
        <v>59</v>
      </c>
      <c r="C16" s="5" t="s">
        <v>60</v>
      </c>
      <c r="D16" s="5">
        <v>16</v>
      </c>
      <c r="E16" s="5" t="s">
        <v>61</v>
      </c>
      <c r="F16" s="5" t="s">
        <v>62</v>
      </c>
      <c r="G16" s="9">
        <v>89.7157011146278</v>
      </c>
      <c r="H16" s="9" t="s">
        <v>25</v>
      </c>
      <c r="I16" s="9" t="s">
        <v>26</v>
      </c>
      <c r="J16" s="9" t="s">
        <v>25</v>
      </c>
      <c r="K16" s="10">
        <f t="shared" si="0"/>
        <v>1</v>
      </c>
      <c r="L16" s="10">
        <f t="shared" si="1"/>
        <v>2</v>
      </c>
      <c r="M16" s="11" t="str">
        <f t="shared" si="2"/>
        <v>Valid</v>
      </c>
      <c r="N16" s="2"/>
      <c r="O16" s="2"/>
      <c r="P16" s="2"/>
      <c r="Q16" s="2"/>
      <c r="R16" s="2"/>
      <c r="S16" s="2"/>
      <c r="T16" s="2"/>
      <c r="U16" s="2"/>
      <c r="V16" s="2"/>
      <c r="W16" s="2"/>
      <c r="X16" s="2"/>
      <c r="Y16" s="2"/>
      <c r="Z16" s="2"/>
      <c r="AA16" s="2"/>
      <c r="AB16" s="2"/>
      <c r="AC16" s="2"/>
      <c r="AD16" s="2"/>
      <c r="AE16" s="2"/>
      <c r="AF16" s="2"/>
      <c r="AG16" s="2"/>
      <c r="AH16" s="2"/>
      <c r="AI16" s="2"/>
      <c r="AJ16" s="2"/>
      <c r="AK16" s="2"/>
      <c r="AL16" s="2"/>
      <c r="AM16" s="2"/>
      <c r="AN16" s="2"/>
      <c r="AO16" s="2"/>
      <c r="AP16" s="2"/>
      <c r="AQ16" s="2"/>
      <c r="AR16" s="2"/>
      <c r="AS16" s="2"/>
      <c r="AT16" s="2"/>
      <c r="AU16" s="2"/>
      <c r="AV16" s="2"/>
      <c r="AW16" s="2"/>
      <c r="AX16" s="2"/>
      <c r="AY16" s="2"/>
      <c r="AZ16" s="2"/>
    </row>
    <row r="17" ht="20" customHeight="1" spans="1:52">
      <c r="A17" s="5">
        <v>11</v>
      </c>
      <c r="B17" s="5" t="s">
        <v>63</v>
      </c>
      <c r="C17" s="5" t="s">
        <v>64</v>
      </c>
      <c r="D17" s="5">
        <v>16</v>
      </c>
      <c r="E17" s="5" t="s">
        <v>65</v>
      </c>
      <c r="F17" s="5" t="s">
        <v>66</v>
      </c>
      <c r="G17" s="9">
        <v>91.2514104857575</v>
      </c>
      <c r="H17" s="9" t="s">
        <v>25</v>
      </c>
      <c r="I17" s="9" t="s">
        <v>26</v>
      </c>
      <c r="J17" s="9" t="s">
        <v>25</v>
      </c>
      <c r="K17" s="10">
        <f t="shared" si="0"/>
        <v>1</v>
      </c>
      <c r="L17" s="10">
        <f t="shared" si="1"/>
        <v>2</v>
      </c>
      <c r="M17" s="11" t="str">
        <f t="shared" si="2"/>
        <v>Valid</v>
      </c>
      <c r="N17" s="2"/>
      <c r="O17" s="2"/>
      <c r="P17" s="2"/>
      <c r="Q17" s="2"/>
      <c r="R17" s="2"/>
      <c r="S17" s="2"/>
      <c r="T17" s="2"/>
      <c r="U17" s="2"/>
      <c r="V17" s="2"/>
      <c r="W17" s="2"/>
      <c r="X17" s="2"/>
      <c r="Y17" s="2"/>
      <c r="Z17" s="2"/>
      <c r="AA17" s="2"/>
      <c r="AB17" s="2"/>
      <c r="AC17" s="2"/>
      <c r="AD17" s="2"/>
      <c r="AE17" s="2"/>
      <c r="AF17" s="2"/>
      <c r="AG17" s="2"/>
      <c r="AH17" s="2"/>
      <c r="AI17" s="2"/>
      <c r="AJ17" s="2"/>
      <c r="AK17" s="2"/>
      <c r="AL17" s="2"/>
      <c r="AM17" s="2"/>
      <c r="AN17" s="2"/>
      <c r="AO17" s="2"/>
      <c r="AP17" s="2"/>
      <c r="AQ17" s="2"/>
      <c r="AR17" s="2"/>
      <c r="AS17" s="2"/>
      <c r="AT17" s="2"/>
      <c r="AU17" s="2"/>
      <c r="AV17" s="2"/>
      <c r="AW17" s="2"/>
      <c r="AX17" s="2"/>
      <c r="AY17" s="2"/>
      <c r="AZ17" s="2"/>
    </row>
    <row r="18" ht="20" customHeight="1" spans="1:52">
      <c r="A18" s="5">
        <v>12</v>
      </c>
      <c r="B18" s="5" t="s">
        <v>67</v>
      </c>
      <c r="C18" s="5" t="s">
        <v>68</v>
      </c>
      <c r="D18" s="5">
        <v>16</v>
      </c>
      <c r="E18" s="5" t="s">
        <v>69</v>
      </c>
      <c r="F18" s="5" t="s">
        <v>70</v>
      </c>
      <c r="G18" s="9">
        <v>87.9983486996009</v>
      </c>
      <c r="H18" s="9" t="s">
        <v>25</v>
      </c>
      <c r="I18" s="9" t="s">
        <v>26</v>
      </c>
      <c r="J18" s="9" t="s">
        <v>25</v>
      </c>
      <c r="K18" s="10">
        <f t="shared" si="0"/>
        <v>1</v>
      </c>
      <c r="L18" s="10">
        <f t="shared" si="1"/>
        <v>2</v>
      </c>
      <c r="M18" s="11" t="str">
        <f t="shared" si="2"/>
        <v>Valid</v>
      </c>
      <c r="N18" s="2"/>
      <c r="O18" s="2"/>
      <c r="P18" s="2"/>
      <c r="Q18" s="2"/>
      <c r="R18" s="2"/>
      <c r="S18" s="2"/>
      <c r="T18" s="2"/>
      <c r="U18" s="2"/>
      <c r="V18" s="2"/>
      <c r="W18" s="2"/>
      <c r="X18" s="2"/>
      <c r="Y18" s="2"/>
      <c r="Z18" s="2"/>
      <c r="AA18" s="2"/>
      <c r="AB18" s="2"/>
      <c r="AC18" s="2"/>
      <c r="AD18" s="2"/>
      <c r="AE18" s="2"/>
      <c r="AF18" s="2"/>
      <c r="AG18" s="2"/>
      <c r="AH18" s="2"/>
      <c r="AI18" s="2"/>
      <c r="AJ18" s="2"/>
      <c r="AK18" s="2"/>
      <c r="AL18" s="2"/>
      <c r="AM18" s="2"/>
      <c r="AN18" s="2"/>
      <c r="AO18" s="2"/>
      <c r="AP18" s="2"/>
      <c r="AQ18" s="2"/>
      <c r="AR18" s="2"/>
      <c r="AS18" s="2"/>
      <c r="AT18" s="2"/>
      <c r="AU18" s="2"/>
      <c r="AV18" s="2"/>
      <c r="AW18" s="2"/>
      <c r="AX18" s="2"/>
      <c r="AY18" s="2"/>
      <c r="AZ18" s="2"/>
    </row>
    <row r="19" ht="20" customHeight="1" spans="1:52">
      <c r="A19" s="5">
        <v>13</v>
      </c>
      <c r="B19" s="5" t="s">
        <v>71</v>
      </c>
      <c r="C19" s="5" t="s">
        <v>72</v>
      </c>
      <c r="D19" s="5">
        <v>16</v>
      </c>
      <c r="E19" s="5" t="s">
        <v>73</v>
      </c>
      <c r="F19" s="5" t="s">
        <v>74</v>
      </c>
      <c r="G19" s="9">
        <v>88.1744874088345</v>
      </c>
      <c r="H19" s="9" t="s">
        <v>25</v>
      </c>
      <c r="I19" s="9" t="s">
        <v>26</v>
      </c>
      <c r="J19" s="9" t="s">
        <v>25</v>
      </c>
      <c r="K19" s="10">
        <f t="shared" si="0"/>
        <v>1</v>
      </c>
      <c r="L19" s="10">
        <f t="shared" si="1"/>
        <v>2</v>
      </c>
      <c r="M19" s="11" t="str">
        <f t="shared" si="2"/>
        <v>Valid</v>
      </c>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row>
    <row r="20" ht="20" customHeight="1" spans="1:52">
      <c r="A20" s="5">
        <v>14</v>
      </c>
      <c r="B20" s="5" t="s">
        <v>75</v>
      </c>
      <c r="C20" s="5" t="s">
        <v>76</v>
      </c>
      <c r="D20" s="5">
        <v>16</v>
      </c>
      <c r="E20" s="5" t="s">
        <v>77</v>
      </c>
      <c r="F20" s="5" t="s">
        <v>78</v>
      </c>
      <c r="G20" s="9">
        <v>88.2933810375671</v>
      </c>
      <c r="H20" s="9" t="s">
        <v>25</v>
      </c>
      <c r="I20" s="9" t="s">
        <v>26</v>
      </c>
      <c r="J20" s="9" t="s">
        <v>25</v>
      </c>
      <c r="K20" s="10">
        <f t="shared" si="0"/>
        <v>1</v>
      </c>
      <c r="L20" s="10">
        <f t="shared" si="1"/>
        <v>2</v>
      </c>
      <c r="M20" s="11" t="str">
        <f t="shared" si="2"/>
        <v>Valid</v>
      </c>
      <c r="N20" s="2"/>
      <c r="O20" s="2"/>
      <c r="P20" s="2"/>
      <c r="Q20" s="2"/>
      <c r="R20" s="2"/>
      <c r="S20" s="2"/>
      <c r="T20" s="2"/>
      <c r="U20" s="2"/>
      <c r="V20" s="2"/>
      <c r="W20" s="2"/>
      <c r="X20" s="2"/>
      <c r="Y20" s="2"/>
      <c r="Z20" s="2"/>
      <c r="AA20" s="2"/>
      <c r="AB20" s="2"/>
      <c r="AC20" s="2"/>
      <c r="AD20" s="2"/>
      <c r="AE20" s="2"/>
      <c r="AF20" s="2"/>
      <c r="AG20" s="2"/>
      <c r="AH20" s="2"/>
      <c r="AI20" s="2"/>
      <c r="AJ20" s="2"/>
      <c r="AK20" s="2"/>
      <c r="AL20" s="2"/>
      <c r="AM20" s="2"/>
      <c r="AN20" s="2"/>
      <c r="AO20" s="2"/>
      <c r="AP20" s="2"/>
      <c r="AQ20" s="2"/>
      <c r="AR20" s="2"/>
      <c r="AS20" s="2"/>
      <c r="AT20" s="2"/>
      <c r="AU20" s="2"/>
      <c r="AV20" s="2"/>
      <c r="AW20" s="2"/>
      <c r="AX20" s="2"/>
      <c r="AY20" s="2"/>
      <c r="AZ20" s="2"/>
    </row>
    <row r="21" ht="20" customHeight="1" spans="1:52">
      <c r="A21" s="5">
        <v>15</v>
      </c>
      <c r="B21" s="5" t="s">
        <v>79</v>
      </c>
      <c r="C21" s="5" t="s">
        <v>80</v>
      </c>
      <c r="D21" s="5">
        <v>16</v>
      </c>
      <c r="E21" s="5" t="s">
        <v>81</v>
      </c>
      <c r="F21" s="5" t="s">
        <v>82</v>
      </c>
      <c r="G21" s="9">
        <v>90.5853859914683</v>
      </c>
      <c r="H21" s="9" t="s">
        <v>25</v>
      </c>
      <c r="I21" s="9" t="s">
        <v>26</v>
      </c>
      <c r="J21" s="9" t="s">
        <v>25</v>
      </c>
      <c r="K21" s="10">
        <f t="shared" si="0"/>
        <v>1</v>
      </c>
      <c r="L21" s="10">
        <f t="shared" si="1"/>
        <v>2</v>
      </c>
      <c r="M21" s="11" t="str">
        <f t="shared" si="2"/>
        <v>Valid</v>
      </c>
      <c r="N21" s="2"/>
      <c r="O21" s="2"/>
      <c r="P21" s="2"/>
      <c r="Q21" s="2"/>
      <c r="R21" s="2"/>
      <c r="S21" s="2"/>
      <c r="T21" s="2"/>
      <c r="U21" s="2"/>
      <c r="V21" s="2"/>
      <c r="W21" s="2"/>
      <c r="X21" s="2"/>
      <c r="Y21" s="2"/>
      <c r="Z21" s="2"/>
      <c r="AA21" s="2"/>
      <c r="AB21" s="2"/>
      <c r="AC21" s="2"/>
      <c r="AD21" s="2"/>
      <c r="AE21" s="2"/>
      <c r="AF21" s="2"/>
      <c r="AG21" s="2"/>
      <c r="AH21" s="2"/>
      <c r="AI21" s="2"/>
      <c r="AJ21" s="2"/>
      <c r="AK21" s="2"/>
      <c r="AL21" s="2"/>
      <c r="AM21" s="2"/>
      <c r="AN21" s="2"/>
      <c r="AO21" s="2"/>
      <c r="AP21" s="2"/>
      <c r="AQ21" s="2"/>
      <c r="AR21" s="2"/>
      <c r="AS21" s="2"/>
      <c r="AT21" s="2"/>
      <c r="AU21" s="2"/>
      <c r="AV21" s="2"/>
      <c r="AW21" s="2"/>
      <c r="AX21" s="2"/>
      <c r="AY21" s="2"/>
      <c r="AZ21" s="2"/>
    </row>
    <row r="22" ht="20" customHeight="1" spans="1:52">
      <c r="A22" s="5">
        <v>16</v>
      </c>
      <c r="B22" s="5" t="s">
        <v>83</v>
      </c>
      <c r="C22" s="5" t="s">
        <v>84</v>
      </c>
      <c r="D22" s="5">
        <v>16</v>
      </c>
      <c r="E22" s="5" t="s">
        <v>85</v>
      </c>
      <c r="F22" s="5" t="s">
        <v>86</v>
      </c>
      <c r="G22" s="9">
        <v>88.4483831016926</v>
      </c>
      <c r="H22" s="9" t="s">
        <v>25</v>
      </c>
      <c r="I22" s="9" t="s">
        <v>26</v>
      </c>
      <c r="J22" s="9" t="s">
        <v>25</v>
      </c>
      <c r="K22" s="10">
        <f t="shared" si="0"/>
        <v>1</v>
      </c>
      <c r="L22" s="10">
        <f t="shared" si="1"/>
        <v>2</v>
      </c>
      <c r="M22" s="11" t="str">
        <f t="shared" si="2"/>
        <v>Valid</v>
      </c>
      <c r="N22" s="2"/>
      <c r="O22" s="2"/>
      <c r="P22" s="2"/>
      <c r="Q22" s="2"/>
      <c r="R22" s="2"/>
      <c r="S22" s="2"/>
      <c r="T22" s="2"/>
      <c r="U22" s="2"/>
      <c r="V22" s="2"/>
      <c r="W22" s="2"/>
      <c r="X22" s="2"/>
      <c r="Y22" s="2"/>
      <c r="Z22" s="2"/>
      <c r="AA22" s="2"/>
      <c r="AB22" s="2"/>
      <c r="AC22" s="2"/>
      <c r="AD22" s="2"/>
      <c r="AE22" s="2"/>
      <c r="AF22" s="2"/>
      <c r="AG22" s="2"/>
      <c r="AH22" s="2"/>
      <c r="AI22" s="2"/>
      <c r="AJ22" s="2"/>
      <c r="AK22" s="2"/>
      <c r="AL22" s="2"/>
      <c r="AM22" s="2"/>
      <c r="AN22" s="2"/>
      <c r="AO22" s="2"/>
      <c r="AP22" s="2"/>
      <c r="AQ22" s="2"/>
      <c r="AR22" s="2"/>
      <c r="AS22" s="2"/>
      <c r="AT22" s="2"/>
      <c r="AU22" s="2"/>
      <c r="AV22" s="2"/>
      <c r="AW22" s="2"/>
      <c r="AX22" s="2"/>
      <c r="AY22" s="2"/>
      <c r="AZ22" s="2"/>
    </row>
    <row r="23" ht="20" customHeight="1" spans="1:52">
      <c r="A23" s="5">
        <v>17</v>
      </c>
      <c r="B23" s="5" t="s">
        <v>87</v>
      </c>
      <c r="C23" s="5" t="s">
        <v>88</v>
      </c>
      <c r="D23" s="5">
        <v>16</v>
      </c>
      <c r="E23" s="5" t="s">
        <v>89</v>
      </c>
      <c r="F23" s="5" t="s">
        <v>90</v>
      </c>
      <c r="G23" s="9">
        <v>88.6544653914958</v>
      </c>
      <c r="H23" s="9" t="s">
        <v>25</v>
      </c>
      <c r="I23" s="9" t="s">
        <v>26</v>
      </c>
      <c r="J23" s="9" t="s">
        <v>25</v>
      </c>
      <c r="K23" s="10">
        <f t="shared" si="0"/>
        <v>1</v>
      </c>
      <c r="L23" s="10">
        <f t="shared" si="1"/>
        <v>2</v>
      </c>
      <c r="M23" s="11" t="str">
        <f t="shared" si="2"/>
        <v>Valid</v>
      </c>
      <c r="N23" s="2"/>
      <c r="O23" s="2"/>
      <c r="P23" s="2"/>
      <c r="Q23" s="2"/>
      <c r="R23" s="2"/>
      <c r="S23" s="2"/>
      <c r="T23" s="2"/>
      <c r="U23" s="2"/>
      <c r="V23" s="2"/>
      <c r="W23" s="2"/>
      <c r="X23" s="2"/>
      <c r="Y23" s="2"/>
      <c r="Z23" s="2"/>
      <c r="AA23" s="2"/>
      <c r="AB23" s="2"/>
      <c r="AC23" s="2"/>
      <c r="AD23" s="2"/>
      <c r="AE23" s="2"/>
      <c r="AF23" s="2"/>
      <c r="AG23" s="2"/>
      <c r="AH23" s="2"/>
      <c r="AI23" s="2"/>
      <c r="AJ23" s="2"/>
      <c r="AK23" s="2"/>
      <c r="AL23" s="2"/>
      <c r="AM23" s="2"/>
      <c r="AN23" s="2"/>
      <c r="AO23" s="2"/>
      <c r="AP23" s="2"/>
      <c r="AQ23" s="2"/>
      <c r="AR23" s="2"/>
      <c r="AS23" s="2"/>
      <c r="AT23" s="2"/>
      <c r="AU23" s="2"/>
      <c r="AV23" s="2"/>
      <c r="AW23" s="2"/>
      <c r="AX23" s="2"/>
      <c r="AY23" s="2"/>
      <c r="AZ23" s="2"/>
    </row>
    <row r="24" ht="20" customHeight="1" spans="1:52">
      <c r="A24" s="5">
        <v>18</v>
      </c>
      <c r="B24" s="5" t="s">
        <v>91</v>
      </c>
      <c r="C24" s="5" t="s">
        <v>92</v>
      </c>
      <c r="D24" s="5">
        <v>16</v>
      </c>
      <c r="E24" s="5" t="s">
        <v>93</v>
      </c>
      <c r="F24" s="5" t="s">
        <v>94</v>
      </c>
      <c r="G24" s="9">
        <v>89.1872849869272</v>
      </c>
      <c r="H24" s="9" t="s">
        <v>25</v>
      </c>
      <c r="I24" s="9" t="s">
        <v>26</v>
      </c>
      <c r="J24" s="9" t="s">
        <v>25</v>
      </c>
      <c r="K24" s="10">
        <f t="shared" si="0"/>
        <v>1</v>
      </c>
      <c r="L24" s="10">
        <f t="shared" si="1"/>
        <v>2</v>
      </c>
      <c r="M24" s="11" t="str">
        <f t="shared" si="2"/>
        <v>Valid</v>
      </c>
      <c r="N24" s="2"/>
      <c r="O24" s="2"/>
      <c r="P24" s="2"/>
      <c r="Q24" s="2"/>
      <c r="R24" s="2"/>
      <c r="S24" s="2"/>
      <c r="T24" s="2"/>
      <c r="U24" s="2"/>
      <c r="V24" s="2"/>
      <c r="W24" s="2"/>
      <c r="X24" s="2"/>
      <c r="Y24" s="2"/>
      <c r="Z24" s="2"/>
      <c r="AA24" s="2"/>
      <c r="AB24" s="2"/>
      <c r="AC24" s="2"/>
      <c r="AD24" s="2"/>
      <c r="AE24" s="2"/>
      <c r="AF24" s="2"/>
      <c r="AG24" s="2"/>
      <c r="AH24" s="2"/>
      <c r="AI24" s="2"/>
      <c r="AJ24" s="2"/>
      <c r="AK24" s="2"/>
      <c r="AL24" s="2"/>
      <c r="AM24" s="2"/>
      <c r="AN24" s="2"/>
      <c r="AO24" s="2"/>
      <c r="AP24" s="2"/>
      <c r="AQ24" s="2"/>
      <c r="AR24" s="2"/>
      <c r="AS24" s="2"/>
      <c r="AT24" s="2"/>
      <c r="AU24" s="2"/>
      <c r="AV24" s="2"/>
      <c r="AW24" s="2"/>
      <c r="AX24" s="2"/>
      <c r="AY24" s="2"/>
      <c r="AZ24" s="2"/>
    </row>
    <row r="25" ht="20" customHeight="1" spans="1:52">
      <c r="A25" s="5">
        <v>19</v>
      </c>
      <c r="B25" s="5" t="s">
        <v>95</v>
      </c>
      <c r="C25" s="5" t="s">
        <v>96</v>
      </c>
      <c r="D25" s="5">
        <v>16</v>
      </c>
      <c r="E25" s="5" t="s">
        <v>97</v>
      </c>
      <c r="F25" s="5" t="s">
        <v>98</v>
      </c>
      <c r="G25" s="9">
        <v>88.2863354891977</v>
      </c>
      <c r="H25" s="9" t="s">
        <v>25</v>
      </c>
      <c r="I25" s="9" t="s">
        <v>26</v>
      </c>
      <c r="J25" s="9" t="s">
        <v>25</v>
      </c>
      <c r="K25" s="10">
        <f t="shared" si="0"/>
        <v>1</v>
      </c>
      <c r="L25" s="10">
        <f t="shared" si="1"/>
        <v>2</v>
      </c>
      <c r="M25" s="11" t="str">
        <f t="shared" si="2"/>
        <v>Valid</v>
      </c>
      <c r="N25" s="2"/>
      <c r="O25" s="2"/>
      <c r="P25" s="2"/>
      <c r="Q25" s="2"/>
      <c r="R25" s="2"/>
      <c r="S25" s="2"/>
      <c r="T25" s="2"/>
      <c r="U25" s="2"/>
      <c r="V25" s="2"/>
      <c r="W25" s="2"/>
      <c r="X25" s="2"/>
      <c r="Y25" s="2"/>
      <c r="Z25" s="2"/>
      <c r="AA25" s="2"/>
      <c r="AB25" s="2"/>
      <c r="AC25" s="2"/>
      <c r="AD25" s="2"/>
      <c r="AE25" s="2"/>
      <c r="AF25" s="2"/>
      <c r="AG25" s="2"/>
      <c r="AH25" s="2"/>
      <c r="AI25" s="2"/>
      <c r="AJ25" s="2"/>
      <c r="AK25" s="2"/>
      <c r="AL25" s="2"/>
      <c r="AM25" s="2"/>
      <c r="AN25" s="2"/>
      <c r="AO25" s="2"/>
      <c r="AP25" s="2"/>
      <c r="AQ25" s="2"/>
      <c r="AR25" s="2"/>
      <c r="AS25" s="2"/>
      <c r="AT25" s="2"/>
      <c r="AU25" s="2"/>
      <c r="AV25" s="2"/>
      <c r="AW25" s="2"/>
      <c r="AX25" s="2"/>
      <c r="AY25" s="2"/>
      <c r="AZ25" s="2"/>
    </row>
    <row r="26" ht="20" customHeight="1" spans="1:52">
      <c r="A26" s="5">
        <v>20</v>
      </c>
      <c r="B26" s="5" t="s">
        <v>99</v>
      </c>
      <c r="C26" s="5" t="s">
        <v>100</v>
      </c>
      <c r="D26" s="5">
        <v>16</v>
      </c>
      <c r="E26" s="5" t="s">
        <v>101</v>
      </c>
      <c r="F26" s="5" t="s">
        <v>102</v>
      </c>
      <c r="G26" s="9">
        <v>88.6236411173799</v>
      </c>
      <c r="H26" s="9" t="s">
        <v>25</v>
      </c>
      <c r="I26" s="9" t="s">
        <v>26</v>
      </c>
      <c r="J26" s="9" t="s">
        <v>25</v>
      </c>
      <c r="K26" s="10">
        <f t="shared" si="0"/>
        <v>1</v>
      </c>
      <c r="L26" s="10">
        <f t="shared" si="1"/>
        <v>2</v>
      </c>
      <c r="M26" s="11" t="str">
        <f t="shared" si="2"/>
        <v>Valid</v>
      </c>
      <c r="N26" s="2"/>
      <c r="O26" s="2"/>
      <c r="P26" s="2"/>
      <c r="Q26" s="2"/>
      <c r="R26" s="2"/>
      <c r="S26" s="2"/>
      <c r="T26" s="2"/>
      <c r="U26" s="2"/>
      <c r="V26" s="2"/>
      <c r="W26" s="2"/>
      <c r="X26" s="2"/>
      <c r="Y26" s="2"/>
      <c r="Z26" s="2"/>
      <c r="AA26" s="2"/>
      <c r="AB26" s="2"/>
      <c r="AC26" s="2"/>
      <c r="AD26" s="2"/>
      <c r="AE26" s="2"/>
      <c r="AF26" s="2"/>
      <c r="AG26" s="2"/>
      <c r="AH26" s="2"/>
      <c r="AI26" s="2"/>
      <c r="AJ26" s="2"/>
      <c r="AK26" s="2"/>
      <c r="AL26" s="2"/>
      <c r="AM26" s="2"/>
      <c r="AN26" s="2"/>
      <c r="AO26" s="2"/>
      <c r="AP26" s="2"/>
      <c r="AQ26" s="2"/>
      <c r="AR26" s="2"/>
      <c r="AS26" s="2"/>
      <c r="AT26" s="2"/>
      <c r="AU26" s="2"/>
      <c r="AV26" s="2"/>
      <c r="AW26" s="2"/>
      <c r="AX26" s="2"/>
      <c r="AY26" s="2"/>
      <c r="AZ26" s="2"/>
    </row>
    <row r="27" ht="20" customHeight="1" spans="1:52">
      <c r="A27" s="5">
        <v>21</v>
      </c>
      <c r="B27" s="5" t="s">
        <v>103</v>
      </c>
      <c r="C27" s="5" t="s">
        <v>104</v>
      </c>
      <c r="D27" s="5">
        <v>16</v>
      </c>
      <c r="E27" s="5" t="s">
        <v>105</v>
      </c>
      <c r="F27" s="5" t="s">
        <v>106</v>
      </c>
      <c r="G27" s="9">
        <v>88.6588688592266</v>
      </c>
      <c r="H27" s="9" t="s">
        <v>25</v>
      </c>
      <c r="I27" s="9" t="s">
        <v>26</v>
      </c>
      <c r="J27" s="9" t="s">
        <v>25</v>
      </c>
      <c r="K27" s="10">
        <f t="shared" si="0"/>
        <v>1</v>
      </c>
      <c r="L27" s="10">
        <f t="shared" si="1"/>
        <v>2</v>
      </c>
      <c r="M27" s="11" t="str">
        <f t="shared" si="2"/>
        <v>Valid</v>
      </c>
      <c r="N27" s="2"/>
      <c r="O27" s="2"/>
      <c r="P27" s="2"/>
      <c r="Q27" s="2"/>
      <c r="R27" s="2"/>
      <c r="S27" s="2"/>
      <c r="T27" s="2"/>
      <c r="U27" s="2"/>
      <c r="V27" s="2"/>
      <c r="W27" s="2"/>
      <c r="X27" s="2"/>
      <c r="Y27" s="2"/>
      <c r="Z27" s="2"/>
      <c r="AA27" s="2"/>
      <c r="AB27" s="2"/>
      <c r="AC27" s="2"/>
      <c r="AD27" s="2"/>
      <c r="AE27" s="2"/>
      <c r="AF27" s="2"/>
      <c r="AG27" s="2"/>
      <c r="AH27" s="2"/>
      <c r="AI27" s="2"/>
      <c r="AJ27" s="2"/>
      <c r="AK27" s="2"/>
      <c r="AL27" s="2"/>
      <c r="AM27" s="2"/>
      <c r="AN27" s="2"/>
      <c r="AO27" s="2"/>
      <c r="AP27" s="2"/>
      <c r="AQ27" s="2"/>
      <c r="AR27" s="2"/>
      <c r="AS27" s="2"/>
      <c r="AT27" s="2"/>
      <c r="AU27" s="2"/>
      <c r="AV27" s="2"/>
      <c r="AW27" s="2"/>
      <c r="AX27" s="2"/>
      <c r="AY27" s="2"/>
      <c r="AZ27" s="2"/>
    </row>
    <row r="28" ht="20" customHeight="1" spans="1:52">
      <c r="A28" s="5">
        <v>22</v>
      </c>
      <c r="B28" s="5" t="s">
        <v>107</v>
      </c>
      <c r="C28" s="5" t="s">
        <v>108</v>
      </c>
      <c r="D28" s="5">
        <v>16</v>
      </c>
      <c r="E28" s="5" t="s">
        <v>109</v>
      </c>
      <c r="F28" s="5" t="s">
        <v>110</v>
      </c>
      <c r="G28" s="9">
        <v>87.3237374432365</v>
      </c>
      <c r="H28" s="9" t="s">
        <v>25</v>
      </c>
      <c r="I28" s="9" t="s">
        <v>26</v>
      </c>
      <c r="J28" s="9" t="s">
        <v>25</v>
      </c>
      <c r="K28" s="10">
        <f t="shared" si="0"/>
        <v>1</v>
      </c>
      <c r="L28" s="10">
        <f t="shared" si="1"/>
        <v>2</v>
      </c>
      <c r="M28" s="11" t="str">
        <f t="shared" si="2"/>
        <v>Valid</v>
      </c>
      <c r="N28" s="2"/>
      <c r="O28" s="2"/>
      <c r="P28" s="2"/>
      <c r="Q28" s="2"/>
      <c r="R28" s="2"/>
      <c r="S28" s="2"/>
      <c r="T28" s="2"/>
      <c r="U28" s="2"/>
      <c r="V28" s="2"/>
      <c r="W28" s="2"/>
      <c r="X28" s="2"/>
      <c r="Y28" s="2"/>
      <c r="Z28" s="2"/>
      <c r="AA28" s="2"/>
      <c r="AB28" s="2"/>
      <c r="AC28" s="2"/>
      <c r="AD28" s="2"/>
      <c r="AE28" s="2"/>
      <c r="AF28" s="2"/>
      <c r="AG28" s="2"/>
      <c r="AH28" s="2"/>
      <c r="AI28" s="2"/>
      <c r="AJ28" s="2"/>
      <c r="AK28" s="2"/>
      <c r="AL28" s="2"/>
      <c r="AM28" s="2"/>
      <c r="AN28" s="2"/>
      <c r="AO28" s="2"/>
      <c r="AP28" s="2"/>
      <c r="AQ28" s="2"/>
      <c r="AR28" s="2"/>
      <c r="AS28" s="2"/>
      <c r="AT28" s="2"/>
      <c r="AU28" s="2"/>
      <c r="AV28" s="2"/>
      <c r="AW28" s="2"/>
      <c r="AX28" s="2"/>
      <c r="AY28" s="2"/>
      <c r="AZ28" s="2"/>
    </row>
    <row r="29" ht="20" customHeight="1" spans="1:52">
      <c r="A29" s="5">
        <v>23</v>
      </c>
      <c r="B29" s="5" t="s">
        <v>111</v>
      </c>
      <c r="C29" s="5" t="s">
        <v>112</v>
      </c>
      <c r="D29" s="5">
        <v>16</v>
      </c>
      <c r="E29" s="5" t="s">
        <v>113</v>
      </c>
      <c r="F29" s="5" t="s">
        <v>114</v>
      </c>
      <c r="G29" s="9">
        <v>89.7157011146278</v>
      </c>
      <c r="H29" s="9" t="s">
        <v>25</v>
      </c>
      <c r="I29" s="9" t="s">
        <v>26</v>
      </c>
      <c r="J29" s="9" t="s">
        <v>25</v>
      </c>
      <c r="K29" s="10">
        <f t="shared" si="0"/>
        <v>1</v>
      </c>
      <c r="L29" s="10">
        <f t="shared" si="1"/>
        <v>2</v>
      </c>
      <c r="M29" s="11" t="str">
        <f t="shared" si="2"/>
        <v>Valid</v>
      </c>
      <c r="N29" s="2"/>
      <c r="O29" s="2"/>
      <c r="P29" s="2"/>
      <c r="Q29" s="2"/>
      <c r="R29" s="2"/>
      <c r="S29" s="2"/>
      <c r="T29" s="2"/>
      <c r="U29" s="2"/>
      <c r="V29" s="2"/>
      <c r="W29" s="2"/>
      <c r="X29" s="2"/>
      <c r="Y29" s="2"/>
      <c r="Z29" s="2"/>
      <c r="AA29" s="2"/>
      <c r="AB29" s="2"/>
      <c r="AC29" s="2"/>
      <c r="AD29" s="2"/>
      <c r="AE29" s="2"/>
      <c r="AF29" s="2"/>
      <c r="AG29" s="2"/>
      <c r="AH29" s="2"/>
      <c r="AI29" s="2"/>
      <c r="AJ29" s="2"/>
      <c r="AK29" s="2"/>
      <c r="AL29" s="2"/>
      <c r="AM29" s="2"/>
      <c r="AN29" s="2"/>
      <c r="AO29" s="2"/>
      <c r="AP29" s="2"/>
      <c r="AQ29" s="2"/>
      <c r="AR29" s="2"/>
      <c r="AS29" s="2"/>
      <c r="AT29" s="2"/>
      <c r="AU29" s="2"/>
      <c r="AV29" s="2"/>
      <c r="AW29" s="2"/>
      <c r="AX29" s="2"/>
      <c r="AY29" s="2"/>
      <c r="AZ29" s="2"/>
    </row>
    <row r="30" ht="20" customHeight="1" spans="1:52">
      <c r="A30" s="5">
        <v>24</v>
      </c>
      <c r="B30" s="5" t="s">
        <v>115</v>
      </c>
      <c r="C30" s="5" t="s">
        <v>116</v>
      </c>
      <c r="D30" s="5">
        <v>16</v>
      </c>
      <c r="E30" s="5" t="s">
        <v>117</v>
      </c>
      <c r="F30" s="5" t="s">
        <v>118</v>
      </c>
      <c r="G30" s="9">
        <v>88.5884133755332</v>
      </c>
      <c r="H30" s="9" t="s">
        <v>25</v>
      </c>
      <c r="I30" s="9" t="s">
        <v>26</v>
      </c>
      <c r="J30" s="9" t="s">
        <v>25</v>
      </c>
      <c r="K30" s="10">
        <f t="shared" si="0"/>
        <v>1</v>
      </c>
      <c r="L30" s="10">
        <f t="shared" si="1"/>
        <v>2</v>
      </c>
      <c r="M30" s="11" t="str">
        <f t="shared" si="2"/>
        <v>Valid</v>
      </c>
      <c r="N30" s="2"/>
      <c r="O30" s="2"/>
      <c r="P30" s="2"/>
      <c r="Q30" s="2"/>
      <c r="R30" s="2"/>
      <c r="S30" s="2"/>
      <c r="T30" s="2"/>
      <c r="U30" s="2"/>
      <c r="V30" s="2"/>
      <c r="W30" s="2"/>
      <c r="X30" s="2"/>
      <c r="Y30" s="2"/>
      <c r="Z30" s="2"/>
      <c r="AA30" s="2"/>
      <c r="AB30" s="2"/>
      <c r="AC30" s="2"/>
      <c r="AD30" s="2"/>
      <c r="AE30" s="2"/>
      <c r="AF30" s="2"/>
      <c r="AG30" s="2"/>
      <c r="AH30" s="2"/>
      <c r="AI30" s="2"/>
      <c r="AJ30" s="2"/>
      <c r="AK30" s="2"/>
      <c r="AL30" s="2"/>
      <c r="AM30" s="2"/>
      <c r="AN30" s="2"/>
      <c r="AO30" s="2"/>
      <c r="AP30" s="2"/>
      <c r="AQ30" s="2"/>
      <c r="AR30" s="2"/>
      <c r="AS30" s="2"/>
      <c r="AT30" s="2"/>
      <c r="AU30" s="2"/>
      <c r="AV30" s="2"/>
      <c r="AW30" s="2"/>
      <c r="AX30" s="2"/>
      <c r="AY30" s="2"/>
      <c r="AZ30" s="2"/>
    </row>
    <row r="31" ht="20" customHeight="1" spans="1:52">
      <c r="A31" s="5">
        <v>25</v>
      </c>
      <c r="B31" s="5" t="s">
        <v>119</v>
      </c>
      <c r="C31" s="5" t="s">
        <v>120</v>
      </c>
      <c r="D31" s="5">
        <v>16</v>
      </c>
      <c r="E31" s="5" t="s">
        <v>121</v>
      </c>
      <c r="F31" s="5" t="s">
        <v>122</v>
      </c>
      <c r="G31" s="9">
        <v>88.7997798266135</v>
      </c>
      <c r="H31" s="9" t="s">
        <v>25</v>
      </c>
      <c r="I31" s="9" t="s">
        <v>26</v>
      </c>
      <c r="J31" s="9" t="s">
        <v>25</v>
      </c>
      <c r="K31" s="10">
        <f t="shared" si="0"/>
        <v>1</v>
      </c>
      <c r="L31" s="10">
        <f t="shared" si="1"/>
        <v>2</v>
      </c>
      <c r="M31" s="11" t="str">
        <f t="shared" si="2"/>
        <v>Valid</v>
      </c>
      <c r="N31" s="2"/>
      <c r="O31" s="2"/>
      <c r="P31" s="2"/>
      <c r="Q31" s="2"/>
      <c r="R31" s="2"/>
      <c r="S31" s="2"/>
      <c r="T31" s="2"/>
      <c r="U31" s="2"/>
      <c r="V31" s="2"/>
      <c r="W31" s="2"/>
      <c r="X31" s="2"/>
      <c r="Y31" s="2"/>
      <c r="Z31" s="2"/>
      <c r="AA31" s="2"/>
      <c r="AB31" s="2"/>
      <c r="AC31" s="2"/>
      <c r="AD31" s="2"/>
      <c r="AE31" s="2"/>
      <c r="AF31" s="2"/>
      <c r="AG31" s="2"/>
      <c r="AH31" s="2"/>
      <c r="AI31" s="2"/>
      <c r="AJ31" s="2"/>
      <c r="AK31" s="2"/>
      <c r="AL31" s="2"/>
      <c r="AM31" s="2"/>
      <c r="AN31" s="2"/>
      <c r="AO31" s="2"/>
      <c r="AP31" s="2"/>
      <c r="AQ31" s="2"/>
      <c r="AR31" s="2"/>
      <c r="AS31" s="2"/>
      <c r="AT31" s="2"/>
      <c r="AU31" s="2"/>
      <c r="AV31" s="2"/>
      <c r="AW31" s="2"/>
      <c r="AX31" s="2"/>
      <c r="AY31" s="2"/>
      <c r="AZ31" s="2"/>
    </row>
    <row r="32" ht="20" customHeight="1" spans="1:52">
      <c r="A32" s="5">
        <v>26</v>
      </c>
      <c r="B32" s="5" t="s">
        <v>123</v>
      </c>
      <c r="C32" s="5" t="s">
        <v>124</v>
      </c>
      <c r="D32" s="5">
        <v>16</v>
      </c>
      <c r="E32" s="5" t="s">
        <v>125</v>
      </c>
      <c r="F32" s="5" t="s">
        <v>126</v>
      </c>
      <c r="G32" s="9">
        <v>86.6773083803495</v>
      </c>
      <c r="H32" s="9" t="s">
        <v>25</v>
      </c>
      <c r="I32" s="9" t="s">
        <v>26</v>
      </c>
      <c r="J32" s="9" t="s">
        <v>25</v>
      </c>
      <c r="K32" s="10">
        <f t="shared" si="0"/>
        <v>1</v>
      </c>
      <c r="L32" s="10">
        <f t="shared" si="1"/>
        <v>2</v>
      </c>
      <c r="M32" s="11" t="str">
        <f t="shared" si="2"/>
        <v>Valid</v>
      </c>
      <c r="N32" s="2"/>
      <c r="O32" s="2"/>
      <c r="P32" s="2"/>
      <c r="Q32" s="2"/>
      <c r="R32" s="2"/>
      <c r="S32" s="2"/>
      <c r="T32" s="2"/>
      <c r="U32" s="2"/>
      <c r="V32" s="2"/>
      <c r="W32" s="2"/>
      <c r="X32" s="2"/>
      <c r="Y32" s="2"/>
      <c r="Z32" s="2"/>
      <c r="AA32" s="2"/>
      <c r="AB32" s="2"/>
      <c r="AC32" s="2"/>
      <c r="AD32" s="2"/>
      <c r="AE32" s="2"/>
      <c r="AF32" s="2"/>
      <c r="AG32" s="2"/>
      <c r="AH32" s="2"/>
      <c r="AI32" s="2"/>
      <c r="AJ32" s="2"/>
      <c r="AK32" s="2"/>
      <c r="AL32" s="2"/>
      <c r="AM32" s="2"/>
      <c r="AN32" s="2"/>
      <c r="AO32" s="2"/>
      <c r="AP32" s="2"/>
      <c r="AQ32" s="2"/>
      <c r="AR32" s="2"/>
      <c r="AS32" s="2"/>
      <c r="AT32" s="2"/>
      <c r="AU32" s="2"/>
      <c r="AV32" s="2"/>
      <c r="AW32" s="2"/>
      <c r="AX32" s="2"/>
      <c r="AY32" s="2"/>
      <c r="AZ32" s="2"/>
    </row>
    <row r="33" ht="20" customHeight="1" spans="1:52">
      <c r="A33" s="5">
        <v>27</v>
      </c>
      <c r="B33" s="5" t="s">
        <v>127</v>
      </c>
      <c r="C33" s="5" t="s">
        <v>128</v>
      </c>
      <c r="D33" s="5">
        <v>16</v>
      </c>
      <c r="E33" s="5" t="s">
        <v>129</v>
      </c>
      <c r="F33" s="5" t="s">
        <v>130</v>
      </c>
      <c r="G33" s="9">
        <v>89.6991881106371</v>
      </c>
      <c r="H33" s="9" t="s">
        <v>25</v>
      </c>
      <c r="I33" s="9" t="s">
        <v>26</v>
      </c>
      <c r="J33" s="9" t="s">
        <v>25</v>
      </c>
      <c r="K33" s="10">
        <f t="shared" si="0"/>
        <v>1</v>
      </c>
      <c r="L33" s="10">
        <f t="shared" si="1"/>
        <v>2</v>
      </c>
      <c r="M33" s="11" t="str">
        <f t="shared" si="2"/>
        <v>Valid</v>
      </c>
      <c r="N33" s="2"/>
      <c r="O33" s="2"/>
      <c r="P33" s="2"/>
      <c r="Q33" s="2"/>
      <c r="R33" s="2"/>
      <c r="S33" s="2"/>
      <c r="T33" s="2"/>
      <c r="U33" s="2"/>
      <c r="V33" s="2"/>
      <c r="W33" s="2"/>
      <c r="X33" s="2"/>
      <c r="Y33" s="2"/>
      <c r="Z33" s="2"/>
      <c r="AA33" s="2"/>
      <c r="AB33" s="2"/>
      <c r="AC33" s="2"/>
      <c r="AD33" s="2"/>
      <c r="AE33" s="2"/>
      <c r="AF33" s="2"/>
      <c r="AG33" s="2"/>
      <c r="AH33" s="2"/>
      <c r="AI33" s="2"/>
      <c r="AJ33" s="2"/>
      <c r="AK33" s="2"/>
      <c r="AL33" s="2"/>
      <c r="AM33" s="2"/>
      <c r="AN33" s="2"/>
      <c r="AO33" s="2"/>
      <c r="AP33" s="2"/>
      <c r="AQ33" s="2"/>
      <c r="AR33" s="2"/>
      <c r="AS33" s="2"/>
      <c r="AT33" s="2"/>
      <c r="AU33" s="2"/>
      <c r="AV33" s="2"/>
      <c r="AW33" s="2"/>
      <c r="AX33" s="2"/>
      <c r="AY33" s="2"/>
      <c r="AZ33" s="2"/>
    </row>
    <row r="34" ht="20" customHeight="1" spans="1:52">
      <c r="A34" s="5">
        <v>28</v>
      </c>
      <c r="B34" s="5" t="s">
        <v>131</v>
      </c>
      <c r="C34" s="5" t="s">
        <v>132</v>
      </c>
      <c r="D34" s="5">
        <v>16</v>
      </c>
      <c r="E34" s="5" t="s">
        <v>133</v>
      </c>
      <c r="F34" s="5" t="s">
        <v>134</v>
      </c>
      <c r="G34" s="9">
        <v>88.975918535847</v>
      </c>
      <c r="H34" s="9" t="s">
        <v>25</v>
      </c>
      <c r="I34" s="9" t="s">
        <v>26</v>
      </c>
      <c r="J34" s="9" t="s">
        <v>25</v>
      </c>
      <c r="K34" s="10">
        <f t="shared" si="0"/>
        <v>1</v>
      </c>
      <c r="L34" s="10">
        <f t="shared" si="1"/>
        <v>2</v>
      </c>
      <c r="M34" s="11" t="str">
        <f t="shared" si="2"/>
        <v>Valid</v>
      </c>
      <c r="N34" s="2"/>
      <c r="O34" s="2"/>
      <c r="P34" s="2"/>
      <c r="Q34" s="2"/>
      <c r="R34" s="2"/>
      <c r="S34" s="2"/>
      <c r="T34" s="2"/>
      <c r="U34" s="2"/>
      <c r="V34" s="2"/>
      <c r="W34" s="2"/>
      <c r="X34" s="2"/>
      <c r="Y34" s="2"/>
      <c r="Z34" s="2"/>
      <c r="AA34" s="2"/>
      <c r="AB34" s="2"/>
      <c r="AC34" s="2"/>
      <c r="AD34" s="2"/>
      <c r="AE34" s="2"/>
      <c r="AF34" s="2"/>
      <c r="AG34" s="2"/>
      <c r="AH34" s="2"/>
      <c r="AI34" s="2"/>
      <c r="AJ34" s="2"/>
      <c r="AK34" s="2"/>
      <c r="AL34" s="2"/>
      <c r="AM34" s="2"/>
      <c r="AN34" s="2"/>
      <c r="AO34" s="2"/>
      <c r="AP34" s="2"/>
      <c r="AQ34" s="2"/>
      <c r="AR34" s="2"/>
      <c r="AS34" s="2"/>
      <c r="AT34" s="2"/>
      <c r="AU34" s="2"/>
      <c r="AV34" s="2"/>
      <c r="AW34" s="2"/>
      <c r="AX34" s="2"/>
      <c r="AY34" s="2"/>
      <c r="AZ34" s="2"/>
    </row>
    <row r="35" ht="20" customHeight="1" spans="1:52">
      <c r="A35" s="5">
        <v>29</v>
      </c>
      <c r="B35" s="5" t="s">
        <v>135</v>
      </c>
      <c r="C35" s="5" t="s">
        <v>136</v>
      </c>
      <c r="D35" s="5">
        <v>16</v>
      </c>
      <c r="E35" s="5" t="s">
        <v>137</v>
      </c>
      <c r="F35" s="5" t="s">
        <v>138</v>
      </c>
      <c r="G35" s="9">
        <v>92</v>
      </c>
      <c r="H35" s="9" t="s">
        <v>25</v>
      </c>
      <c r="I35" s="9" t="s">
        <v>26</v>
      </c>
      <c r="J35" s="9" t="s">
        <v>25</v>
      </c>
      <c r="K35" s="10">
        <f t="shared" si="0"/>
        <v>1</v>
      </c>
      <c r="L35" s="10">
        <f t="shared" si="1"/>
        <v>2</v>
      </c>
      <c r="M35" s="11" t="str">
        <f t="shared" si="2"/>
        <v>Valid</v>
      </c>
      <c r="N35" s="2"/>
      <c r="O35" s="2"/>
      <c r="P35" s="2"/>
      <c r="Q35" s="2"/>
      <c r="R35" s="2"/>
      <c r="S35" s="2"/>
      <c r="T35" s="2"/>
      <c r="U35" s="2"/>
      <c r="V35" s="2"/>
      <c r="W35" s="2"/>
      <c r="X35" s="2"/>
      <c r="Y35" s="2"/>
      <c r="Z35" s="2"/>
      <c r="AA35" s="2"/>
      <c r="AB35" s="2"/>
      <c r="AC35" s="2"/>
      <c r="AD35" s="2"/>
      <c r="AE35" s="2"/>
      <c r="AF35" s="2"/>
      <c r="AG35" s="2"/>
      <c r="AH35" s="2"/>
      <c r="AI35" s="2"/>
      <c r="AJ35" s="2"/>
      <c r="AK35" s="2"/>
      <c r="AL35" s="2"/>
      <c r="AM35" s="2"/>
      <c r="AN35" s="2"/>
      <c r="AO35" s="2"/>
      <c r="AP35" s="2"/>
      <c r="AQ35" s="2"/>
      <c r="AR35" s="2"/>
      <c r="AS35" s="2"/>
      <c r="AT35" s="2"/>
      <c r="AU35" s="2"/>
      <c r="AV35" s="2"/>
      <c r="AW35" s="2"/>
      <c r="AX35" s="2"/>
      <c r="AY35" s="2"/>
      <c r="AZ35" s="2"/>
    </row>
    <row r="36" ht="20" customHeight="1" spans="1:52">
      <c r="A36" s="5">
        <v>30</v>
      </c>
      <c r="B36" s="5" t="s">
        <v>139</v>
      </c>
      <c r="C36" s="5" t="s">
        <v>140</v>
      </c>
      <c r="D36" s="5">
        <v>16</v>
      </c>
      <c r="E36" s="5" t="s">
        <v>141</v>
      </c>
      <c r="F36" s="5" t="s">
        <v>142</v>
      </c>
      <c r="G36" s="9">
        <v>88.6588688592266</v>
      </c>
      <c r="H36" s="9" t="s">
        <v>25</v>
      </c>
      <c r="I36" s="9" t="s">
        <v>26</v>
      </c>
      <c r="J36" s="9" t="s">
        <v>25</v>
      </c>
      <c r="K36" s="10">
        <f t="shared" si="0"/>
        <v>1</v>
      </c>
      <c r="L36" s="10">
        <f t="shared" si="1"/>
        <v>2</v>
      </c>
      <c r="M36" s="11" t="str">
        <f t="shared" si="2"/>
        <v>Valid</v>
      </c>
      <c r="N36" s="2"/>
      <c r="O36" s="2"/>
      <c r="P36" s="2"/>
      <c r="Q36" s="2"/>
      <c r="R36" s="2"/>
      <c r="S36" s="2"/>
      <c r="T36" s="2"/>
      <c r="U36" s="2"/>
      <c r="V36" s="2"/>
      <c r="W36" s="2"/>
      <c r="X36" s="2"/>
      <c r="Y36" s="2"/>
      <c r="Z36" s="2"/>
      <c r="AA36" s="2"/>
      <c r="AB36" s="2"/>
      <c r="AC36" s="2"/>
      <c r="AD36" s="2"/>
      <c r="AE36" s="2"/>
      <c r="AF36" s="2"/>
      <c r="AG36" s="2"/>
      <c r="AH36" s="2"/>
      <c r="AI36" s="2"/>
      <c r="AJ36" s="2"/>
      <c r="AK36" s="2"/>
      <c r="AL36" s="2"/>
      <c r="AM36" s="2"/>
      <c r="AN36" s="2"/>
      <c r="AO36" s="2"/>
      <c r="AP36" s="2"/>
      <c r="AQ36" s="2"/>
      <c r="AR36" s="2"/>
      <c r="AS36" s="2"/>
      <c r="AT36" s="2"/>
      <c r="AU36" s="2"/>
      <c r="AV36" s="2"/>
      <c r="AW36" s="2"/>
      <c r="AX36" s="2"/>
      <c r="AY36" s="2"/>
      <c r="AZ36" s="2"/>
    </row>
    <row r="37" ht="20" customHeight="1" spans="1:52">
      <c r="A37" s="5">
        <v>31</v>
      </c>
      <c r="B37" s="5" t="s">
        <v>143</v>
      </c>
      <c r="C37" s="5" t="s">
        <v>144</v>
      </c>
      <c r="D37" s="5">
        <v>16</v>
      </c>
      <c r="E37" s="5" t="s">
        <v>145</v>
      </c>
      <c r="F37" s="5" t="s">
        <v>146</v>
      </c>
      <c r="G37" s="9">
        <v>88.6588688592266</v>
      </c>
      <c r="H37" s="9" t="s">
        <v>25</v>
      </c>
      <c r="I37" s="9" t="s">
        <v>26</v>
      </c>
      <c r="J37" s="9" t="s">
        <v>25</v>
      </c>
      <c r="K37" s="10">
        <f t="shared" si="0"/>
        <v>1</v>
      </c>
      <c r="L37" s="10">
        <f t="shared" si="1"/>
        <v>2</v>
      </c>
      <c r="M37" s="11" t="str">
        <f t="shared" si="2"/>
        <v>Valid</v>
      </c>
      <c r="N37" s="2"/>
      <c r="O37" s="2"/>
      <c r="P37" s="2"/>
      <c r="Q37" s="2"/>
      <c r="R37" s="2"/>
      <c r="S37" s="2"/>
      <c r="T37" s="2"/>
      <c r="U37" s="2"/>
      <c r="V37" s="2"/>
      <c r="W37" s="2"/>
      <c r="X37" s="2"/>
      <c r="Y37" s="2"/>
      <c r="Z37" s="2"/>
      <c r="AA37" s="2"/>
      <c r="AB37" s="2"/>
      <c r="AC37" s="2"/>
      <c r="AD37" s="2"/>
      <c r="AE37" s="2"/>
      <c r="AF37" s="2"/>
      <c r="AG37" s="2"/>
      <c r="AH37" s="2"/>
      <c r="AI37" s="2"/>
      <c r="AJ37" s="2"/>
      <c r="AK37" s="2"/>
      <c r="AL37" s="2"/>
      <c r="AM37" s="2"/>
      <c r="AN37" s="2"/>
      <c r="AO37" s="2"/>
      <c r="AP37" s="2"/>
      <c r="AQ37" s="2"/>
      <c r="AR37" s="2"/>
      <c r="AS37" s="2"/>
      <c r="AT37" s="2"/>
      <c r="AU37" s="2"/>
      <c r="AV37" s="2"/>
      <c r="AW37" s="2"/>
      <c r="AX37" s="2"/>
      <c r="AY37" s="2"/>
      <c r="AZ37" s="2"/>
    </row>
    <row r="38" ht="20" customHeight="1" spans="1:52">
      <c r="A38" s="5">
        <v>32</v>
      </c>
      <c r="B38" s="5" t="s">
        <v>147</v>
      </c>
      <c r="C38" s="5" t="s">
        <v>148</v>
      </c>
      <c r="D38" s="5">
        <v>16</v>
      </c>
      <c r="E38" s="5" t="s">
        <v>149</v>
      </c>
      <c r="F38" s="5" t="s">
        <v>150</v>
      </c>
      <c r="G38" s="9">
        <v>88.1744874088345</v>
      </c>
      <c r="H38" s="9" t="s">
        <v>25</v>
      </c>
      <c r="I38" s="9" t="s">
        <v>26</v>
      </c>
      <c r="J38" s="9" t="s">
        <v>25</v>
      </c>
      <c r="K38" s="10">
        <f t="shared" si="0"/>
        <v>1</v>
      </c>
      <c r="L38" s="10">
        <f t="shared" si="1"/>
        <v>2</v>
      </c>
      <c r="M38" s="11" t="str">
        <f t="shared" si="2"/>
        <v>Valid</v>
      </c>
      <c r="N38" s="2"/>
      <c r="O38" s="2"/>
      <c r="P38" s="2"/>
      <c r="Q38" s="2"/>
      <c r="R38" s="2"/>
      <c r="S38" s="2"/>
      <c r="T38" s="2"/>
      <c r="U38" s="2"/>
      <c r="V38" s="2"/>
      <c r="W38" s="2"/>
      <c r="X38" s="2"/>
      <c r="Y38" s="2"/>
      <c r="Z38" s="2"/>
      <c r="AA38" s="2"/>
      <c r="AB38" s="2"/>
      <c r="AC38" s="2"/>
      <c r="AD38" s="2"/>
      <c r="AE38" s="2"/>
      <c r="AF38" s="2"/>
      <c r="AG38" s="2"/>
      <c r="AH38" s="2"/>
      <c r="AI38" s="2"/>
      <c r="AJ38" s="2"/>
      <c r="AK38" s="2"/>
      <c r="AL38" s="2"/>
      <c r="AM38" s="2"/>
      <c r="AN38" s="2"/>
      <c r="AO38" s="2"/>
      <c r="AP38" s="2"/>
      <c r="AQ38" s="2"/>
      <c r="AR38" s="2"/>
      <c r="AS38" s="2"/>
      <c r="AT38" s="2"/>
      <c r="AU38" s="2"/>
      <c r="AV38" s="2"/>
      <c r="AW38" s="2"/>
      <c r="AX38" s="2"/>
      <c r="AY38" s="2"/>
      <c r="AZ38" s="2"/>
    </row>
    <row r="39" ht="20" customHeight="1" spans="1:52">
      <c r="A39" s="5">
        <v>33</v>
      </c>
      <c r="B39" s="5" t="s">
        <v>151</v>
      </c>
      <c r="C39" s="5" t="s">
        <v>152</v>
      </c>
      <c r="D39" s="5">
        <v>16</v>
      </c>
      <c r="E39" s="5" t="s">
        <v>153</v>
      </c>
      <c r="F39" s="5" t="s">
        <v>154</v>
      </c>
      <c r="G39" s="9">
        <v>88.1603963120958</v>
      </c>
      <c r="H39" s="9" t="s">
        <v>25</v>
      </c>
      <c r="I39" s="9" t="s">
        <v>26</v>
      </c>
      <c r="J39" s="9" t="s">
        <v>25</v>
      </c>
      <c r="K39" s="10">
        <f t="shared" si="0"/>
        <v>1</v>
      </c>
      <c r="L39" s="10">
        <f t="shared" si="1"/>
        <v>2</v>
      </c>
      <c r="M39" s="11" t="str">
        <f t="shared" si="2"/>
        <v>Valid</v>
      </c>
      <c r="N39" s="2"/>
      <c r="O39" s="2"/>
      <c r="P39" s="2"/>
      <c r="Q39" s="2"/>
      <c r="R39" s="2"/>
      <c r="S39" s="2"/>
      <c r="T39" s="2"/>
      <c r="U39" s="2"/>
      <c r="V39" s="2"/>
      <c r="W39" s="2"/>
      <c r="X39" s="2"/>
      <c r="Y39" s="2"/>
      <c r="Z39" s="2"/>
      <c r="AA39" s="2"/>
      <c r="AB39" s="2"/>
      <c r="AC39" s="2"/>
      <c r="AD39" s="2"/>
      <c r="AE39" s="2"/>
      <c r="AF39" s="2"/>
      <c r="AG39" s="2"/>
      <c r="AH39" s="2"/>
      <c r="AI39" s="2"/>
      <c r="AJ39" s="2"/>
      <c r="AK39" s="2"/>
      <c r="AL39" s="2"/>
      <c r="AM39" s="2"/>
      <c r="AN39" s="2"/>
      <c r="AO39" s="2"/>
      <c r="AP39" s="2"/>
      <c r="AQ39" s="2"/>
      <c r="AR39" s="2"/>
      <c r="AS39" s="2"/>
      <c r="AT39" s="2"/>
      <c r="AU39" s="2"/>
      <c r="AV39" s="2"/>
      <c r="AW39" s="2"/>
      <c r="AX39" s="2"/>
      <c r="AY39" s="2"/>
      <c r="AZ39" s="2"/>
    </row>
    <row r="40" ht="20" customHeight="1" spans="1:52">
      <c r="A40" s="5">
        <v>34</v>
      </c>
      <c r="B40" s="5" t="s">
        <v>155</v>
      </c>
      <c r="C40" s="5" t="s">
        <v>156</v>
      </c>
      <c r="D40" s="5">
        <v>16</v>
      </c>
      <c r="E40" s="5" t="s">
        <v>157</v>
      </c>
      <c r="F40" s="5" t="s">
        <v>158</v>
      </c>
      <c r="G40" s="9">
        <v>87.9543140222926</v>
      </c>
      <c r="H40" s="9" t="s">
        <v>25</v>
      </c>
      <c r="I40" s="9" t="s">
        <v>26</v>
      </c>
      <c r="J40" s="9" t="s">
        <v>25</v>
      </c>
      <c r="K40" s="10">
        <f t="shared" si="0"/>
        <v>1</v>
      </c>
      <c r="L40" s="10">
        <f t="shared" si="1"/>
        <v>2</v>
      </c>
      <c r="M40" s="11" t="str">
        <f t="shared" si="2"/>
        <v>Valid</v>
      </c>
      <c r="N40" s="2"/>
      <c r="O40" s="2"/>
      <c r="P40" s="2"/>
      <c r="Q40" s="2"/>
      <c r="R40" s="2"/>
      <c r="S40" s="2"/>
      <c r="T40" s="2"/>
      <c r="U40" s="2"/>
      <c r="V40" s="2"/>
      <c r="W40" s="2"/>
      <c r="X40" s="2"/>
      <c r="Y40" s="2"/>
      <c r="Z40" s="2"/>
      <c r="AA40" s="2"/>
      <c r="AB40" s="2"/>
      <c r="AC40" s="2"/>
      <c r="AD40" s="2"/>
      <c r="AE40" s="2"/>
      <c r="AF40" s="2"/>
      <c r="AG40" s="2"/>
      <c r="AH40" s="2"/>
      <c r="AI40" s="2"/>
      <c r="AJ40" s="2"/>
      <c r="AK40" s="2"/>
      <c r="AL40" s="2"/>
      <c r="AM40" s="2"/>
      <c r="AN40" s="2"/>
      <c r="AO40" s="2"/>
      <c r="AP40" s="2"/>
      <c r="AQ40" s="2"/>
      <c r="AR40" s="2"/>
      <c r="AS40" s="2"/>
      <c r="AT40" s="2"/>
      <c r="AU40" s="2"/>
      <c r="AV40" s="2"/>
      <c r="AW40" s="2"/>
      <c r="AX40" s="2"/>
      <c r="AY40" s="2"/>
      <c r="AZ40" s="2"/>
    </row>
    <row r="41" ht="20" customHeight="1" spans="1:52">
      <c r="A41" s="5">
        <v>35</v>
      </c>
      <c r="B41" s="5" t="s">
        <v>159</v>
      </c>
      <c r="C41" s="5" t="s">
        <v>160</v>
      </c>
      <c r="D41" s="5">
        <v>16</v>
      </c>
      <c r="E41" s="5" t="s">
        <v>161</v>
      </c>
      <c r="F41" s="5" t="s">
        <v>162</v>
      </c>
      <c r="G41" s="9">
        <v>89.6991881106371</v>
      </c>
      <c r="H41" s="9" t="s">
        <v>25</v>
      </c>
      <c r="I41" s="9" t="s">
        <v>26</v>
      </c>
      <c r="J41" s="9" t="s">
        <v>25</v>
      </c>
      <c r="K41" s="10">
        <f t="shared" si="0"/>
        <v>1</v>
      </c>
      <c r="L41" s="10">
        <f t="shared" si="1"/>
        <v>2</v>
      </c>
      <c r="M41" s="11" t="str">
        <f t="shared" si="2"/>
        <v>Valid</v>
      </c>
      <c r="N41" s="2"/>
      <c r="O41" s="2"/>
      <c r="P41" s="2"/>
      <c r="Q41" s="2"/>
      <c r="R41" s="2"/>
      <c r="S41" s="2"/>
      <c r="T41" s="2"/>
      <c r="U41" s="2"/>
      <c r="V41" s="2"/>
      <c r="W41" s="2"/>
      <c r="X41" s="2"/>
      <c r="Y41" s="2"/>
      <c r="Z41" s="2"/>
      <c r="AA41" s="2"/>
      <c r="AB41" s="2"/>
      <c r="AC41" s="2"/>
      <c r="AD41" s="2"/>
      <c r="AE41" s="2"/>
      <c r="AF41" s="2"/>
      <c r="AG41" s="2"/>
      <c r="AH41" s="2"/>
      <c r="AI41" s="2"/>
      <c r="AJ41" s="2"/>
      <c r="AK41" s="2"/>
      <c r="AL41" s="2"/>
      <c r="AM41" s="2"/>
      <c r="AN41" s="2"/>
      <c r="AO41" s="2"/>
      <c r="AP41" s="2"/>
      <c r="AQ41" s="2"/>
      <c r="AR41" s="2"/>
      <c r="AS41" s="2"/>
      <c r="AT41" s="2"/>
      <c r="AU41" s="2"/>
      <c r="AV41" s="2"/>
      <c r="AW41" s="2"/>
      <c r="AX41" s="2"/>
      <c r="AY41" s="2"/>
      <c r="AZ41" s="2"/>
    </row>
    <row r="42" ht="20" customHeight="1" spans="1:52">
      <c r="A42" s="5">
        <v>36</v>
      </c>
      <c r="B42" s="5" t="s">
        <v>163</v>
      </c>
      <c r="C42" s="5" t="s">
        <v>164</v>
      </c>
      <c r="D42" s="5">
        <v>16</v>
      </c>
      <c r="E42" s="5" t="s">
        <v>165</v>
      </c>
      <c r="F42" s="5" t="s">
        <v>166</v>
      </c>
      <c r="G42" s="9">
        <v>86</v>
      </c>
      <c r="H42" s="9" t="s">
        <v>25</v>
      </c>
      <c r="I42" s="9" t="s">
        <v>26</v>
      </c>
      <c r="J42" s="9" t="s">
        <v>25</v>
      </c>
      <c r="K42" s="10">
        <f t="shared" si="0"/>
        <v>1</v>
      </c>
      <c r="L42" s="10">
        <f t="shared" si="1"/>
        <v>2</v>
      </c>
      <c r="M42" s="11" t="str">
        <f t="shared" si="2"/>
        <v>Valid</v>
      </c>
      <c r="N42" s="2"/>
      <c r="O42" s="2"/>
      <c r="P42" s="2"/>
      <c r="Q42" s="2"/>
      <c r="R42" s="2"/>
      <c r="S42" s="2"/>
      <c r="T42" s="2"/>
      <c r="U42" s="2"/>
      <c r="V42" s="2"/>
      <c r="W42" s="2"/>
      <c r="X42" s="2"/>
      <c r="Y42" s="2"/>
      <c r="Z42" s="2"/>
      <c r="AA42" s="2"/>
      <c r="AB42" s="2"/>
      <c r="AC42" s="2"/>
      <c r="AD42" s="2"/>
      <c r="AE42" s="2"/>
      <c r="AF42" s="2"/>
      <c r="AG42" s="2"/>
      <c r="AH42" s="2"/>
      <c r="AI42" s="2"/>
      <c r="AJ42" s="2"/>
      <c r="AK42" s="2"/>
      <c r="AL42" s="2"/>
      <c r="AM42" s="2"/>
      <c r="AN42" s="2"/>
      <c r="AO42" s="2"/>
      <c r="AP42" s="2"/>
      <c r="AQ42" s="2"/>
      <c r="AR42" s="2"/>
      <c r="AS42" s="2"/>
      <c r="AT42" s="2"/>
      <c r="AU42" s="2"/>
      <c r="AV42" s="2"/>
      <c r="AW42" s="2"/>
      <c r="AX42" s="2"/>
      <c r="AY42" s="2"/>
      <c r="AZ42" s="2"/>
    </row>
    <row r="43" ht="20" customHeight="1" spans="1:52">
      <c r="A43" s="5">
        <v>37</v>
      </c>
      <c r="B43" s="5" t="s">
        <v>167</v>
      </c>
      <c r="C43" s="5" t="s">
        <v>168</v>
      </c>
      <c r="D43" s="5">
        <v>16</v>
      </c>
      <c r="E43" s="5" t="s">
        <v>169</v>
      </c>
      <c r="F43" s="5" t="s">
        <v>170</v>
      </c>
      <c r="G43" s="9">
        <v>88.0203660382551</v>
      </c>
      <c r="H43" s="9" t="s">
        <v>25</v>
      </c>
      <c r="I43" s="9" t="s">
        <v>26</v>
      </c>
      <c r="J43" s="9" t="s">
        <v>25</v>
      </c>
      <c r="K43" s="10">
        <f t="shared" si="0"/>
        <v>1</v>
      </c>
      <c r="L43" s="10">
        <f t="shared" si="1"/>
        <v>2</v>
      </c>
      <c r="M43" s="11" t="str">
        <f t="shared" si="2"/>
        <v>Valid</v>
      </c>
      <c r="N43" s="2"/>
      <c r="O43" s="2"/>
      <c r="P43" s="2"/>
      <c r="Q43" s="2"/>
      <c r="R43" s="2"/>
      <c r="S43" s="2"/>
      <c r="T43" s="2"/>
      <c r="U43" s="2"/>
      <c r="V43" s="2"/>
      <c r="W43" s="2"/>
      <c r="X43" s="2"/>
      <c r="Y43" s="2"/>
      <c r="Z43" s="2"/>
      <c r="AA43" s="2"/>
      <c r="AB43" s="2"/>
      <c r="AC43" s="2"/>
      <c r="AD43" s="2"/>
      <c r="AE43" s="2"/>
      <c r="AF43" s="2"/>
      <c r="AG43" s="2"/>
      <c r="AH43" s="2"/>
      <c r="AI43" s="2"/>
      <c r="AJ43" s="2"/>
      <c r="AK43" s="2"/>
      <c r="AL43" s="2"/>
      <c r="AM43" s="2"/>
      <c r="AN43" s="2"/>
      <c r="AO43" s="2"/>
      <c r="AP43" s="2"/>
      <c r="AQ43" s="2"/>
      <c r="AR43" s="2"/>
      <c r="AS43" s="2"/>
      <c r="AT43" s="2"/>
      <c r="AU43" s="2"/>
      <c r="AV43" s="2"/>
      <c r="AW43" s="2"/>
      <c r="AX43" s="2"/>
      <c r="AY43" s="2"/>
      <c r="AZ43" s="2"/>
    </row>
    <row r="44" ht="20" customHeight="1" spans="1:52">
      <c r="A44" s="5">
        <v>38</v>
      </c>
      <c r="B44" s="5" t="s">
        <v>171</v>
      </c>
      <c r="C44" s="5" t="s">
        <v>172</v>
      </c>
      <c r="D44" s="5">
        <v>16</v>
      </c>
      <c r="E44" s="5" t="s">
        <v>173</v>
      </c>
      <c r="F44" s="5" t="s">
        <v>174</v>
      </c>
      <c r="G44" s="9">
        <v>88.8350075684602</v>
      </c>
      <c r="H44" s="9" t="s">
        <v>25</v>
      </c>
      <c r="I44" s="9" t="s">
        <v>26</v>
      </c>
      <c r="J44" s="9" t="s">
        <v>25</v>
      </c>
      <c r="K44" s="10">
        <f t="shared" si="0"/>
        <v>1</v>
      </c>
      <c r="L44" s="10">
        <f t="shared" si="1"/>
        <v>2</v>
      </c>
      <c r="M44" s="11" t="str">
        <f t="shared" si="2"/>
        <v>Valid</v>
      </c>
      <c r="N44" s="2"/>
      <c r="O44" s="2"/>
      <c r="P44" s="2"/>
      <c r="Q44" s="2"/>
      <c r="R44" s="2"/>
      <c r="S44" s="2"/>
      <c r="T44" s="2"/>
      <c r="U44" s="2"/>
      <c r="V44" s="2"/>
      <c r="W44" s="2"/>
      <c r="X44" s="2"/>
      <c r="Y44" s="2"/>
      <c r="Z44" s="2"/>
      <c r="AA44" s="2"/>
      <c r="AB44" s="2"/>
      <c r="AC44" s="2"/>
      <c r="AD44" s="2"/>
      <c r="AE44" s="2"/>
      <c r="AF44" s="2"/>
      <c r="AG44" s="2"/>
      <c r="AH44" s="2"/>
      <c r="AI44" s="2"/>
      <c r="AJ44" s="2"/>
      <c r="AK44" s="2"/>
      <c r="AL44" s="2"/>
      <c r="AM44" s="2"/>
      <c r="AN44" s="2"/>
      <c r="AO44" s="2"/>
      <c r="AP44" s="2"/>
      <c r="AQ44" s="2"/>
      <c r="AR44" s="2"/>
      <c r="AS44" s="2"/>
      <c r="AT44" s="2"/>
      <c r="AU44" s="2"/>
      <c r="AV44" s="2"/>
      <c r="AW44" s="2"/>
      <c r="AX44" s="2"/>
      <c r="AY44" s="2"/>
      <c r="AZ44" s="2"/>
    </row>
    <row r="45" ht="20" customHeight="1" spans="1:52">
      <c r="A45" s="5">
        <v>39</v>
      </c>
      <c r="B45" s="5" t="s">
        <v>175</v>
      </c>
      <c r="C45" s="5" t="s">
        <v>176</v>
      </c>
      <c r="D45" s="5">
        <v>16</v>
      </c>
      <c r="E45" s="5" t="s">
        <v>177</v>
      </c>
      <c r="F45" s="5" t="s">
        <v>178</v>
      </c>
      <c r="G45" s="9">
        <v>88.7997798266135</v>
      </c>
      <c r="H45" s="9" t="s">
        <v>25</v>
      </c>
      <c r="I45" s="9" t="s">
        <v>26</v>
      </c>
      <c r="J45" s="9" t="s">
        <v>25</v>
      </c>
      <c r="K45" s="10">
        <f t="shared" si="0"/>
        <v>1</v>
      </c>
      <c r="L45" s="10">
        <f t="shared" si="1"/>
        <v>2</v>
      </c>
      <c r="M45" s="11" t="str">
        <f t="shared" si="2"/>
        <v>Valid</v>
      </c>
      <c r="N45" s="2"/>
      <c r="O45" s="2"/>
      <c r="P45" s="2"/>
      <c r="Q45" s="2"/>
      <c r="R45" s="2"/>
      <c r="S45" s="2"/>
      <c r="T45" s="2"/>
      <c r="U45" s="2"/>
      <c r="V45" s="2"/>
      <c r="W45" s="2"/>
      <c r="X45" s="2"/>
      <c r="Y45" s="2"/>
      <c r="Z45" s="2"/>
      <c r="AA45" s="2"/>
      <c r="AB45" s="2"/>
      <c r="AC45" s="2"/>
      <c r="AD45" s="2"/>
      <c r="AE45" s="2"/>
      <c r="AF45" s="2"/>
      <c r="AG45" s="2"/>
      <c r="AH45" s="2"/>
      <c r="AI45" s="2"/>
      <c r="AJ45" s="2"/>
      <c r="AK45" s="2"/>
      <c r="AL45" s="2"/>
      <c r="AM45" s="2"/>
      <c r="AN45" s="2"/>
      <c r="AO45" s="2"/>
      <c r="AP45" s="2"/>
      <c r="AQ45" s="2"/>
      <c r="AR45" s="2"/>
      <c r="AS45" s="2"/>
      <c r="AT45" s="2"/>
      <c r="AU45" s="2"/>
      <c r="AV45" s="2"/>
      <c r="AW45" s="2"/>
      <c r="AX45" s="2"/>
      <c r="AY45" s="2"/>
      <c r="AZ45" s="2"/>
    </row>
    <row r="47" ht="15.15" spans="1:1">
      <c r="A47" s="6" t="s">
        <v>179</v>
      </c>
    </row>
    <row r="48" spans="1:1">
      <c r="A48" t="s">
        <v>180</v>
      </c>
    </row>
    <row r="49" spans="1:1">
      <c r="A49" t="s">
        <v>181</v>
      </c>
    </row>
    <row r="50" spans="1:1">
      <c r="A50" t="s">
        <v>182</v>
      </c>
    </row>
    <row r="51" spans="1:1">
      <c r="A51" s="7" t="s">
        <v>183</v>
      </c>
    </row>
    <row r="52" spans="1:1">
      <c r="A52" t="s">
        <v>184</v>
      </c>
    </row>
    <row r="53" spans="1:1">
      <c r="A53" t="s">
        <v>185</v>
      </c>
    </row>
    <row r="54" spans="1:1">
      <c r="A54" t="s">
        <v>186</v>
      </c>
    </row>
    <row r="55" spans="1:1">
      <c r="A55" t="s">
        <v>187</v>
      </c>
    </row>
  </sheetData>
  <sheetProtection password="E249" sheet="1"/>
  <mergeCells count="9">
    <mergeCell ref="H3:J3"/>
    <mergeCell ref="K3:M3"/>
    <mergeCell ref="A3:A6"/>
    <mergeCell ref="B3:B6"/>
    <mergeCell ref="C3:C6"/>
    <mergeCell ref="D3:D6"/>
    <mergeCell ref="E3:E6"/>
    <mergeCell ref="F3:F6"/>
    <mergeCell ref="G3:G6"/>
  </mergeCells>
  <dataValidations count="2">
    <dataValidation type="whole" operator="between" showInputMessage="1" showErrorMessage="1" errorTitle="Input Salah" error="Hanya boleh memasukkan angka antara 1 dan 100." promptTitle="Input Angka" prompt="Masukkan angka antara 1 dan 100." sqref="G7 G8 G9 G10 G11 G12 G13 G14 G15 G16 G17 G18 G19 G20 G21 G22 G23 G24 G25 G26 G27 G28 G29 G30 G31 G32 G33 G34 G35 G36 G37 G38 G39 G40 G41 G42 G43 G44 G45">
      <formula1>1</formula1>
      <formula2>100</formula2>
    </dataValidation>
    <dataValidation type="list" showInputMessage="1" showErrorMessage="1" errorTitle="Input Error" error="Data tidak sesuai list, Silahkan isi dengan T untuk Pencapaian Sangat Optimal atau R untuk Pencapaian yang Perlu Peningkatan" promptTitle="Ketercapaian TP " prompt="T = TP dicapai dengan Sangat Optimal, R = TP masih Perlu Peningkatan" sqref="H7 I7 J7 H8 I8 J8 H9 I9 J9 H10 I10 J10 H11 I11 J11 H12 I12 J12 H13 I13 J13 H14 I14 J14 H15 I15 J15 H16 I16 J16 H17 I17 J17 H18 I18 J18 H19 I19 J19 H20 I20 J20 H21 I21 J21 H22 I22 J22 H23 I23 J23 H24 I24 J24 H25 I25 J25 H26 I26 J26 H27 I27 J27 H28 I28 J28 H29 I29 J29 H30 I30 J30 H31 I31 J31 H32 I32 J32 H33 I33 J33 H34 I34 J34 H35 I35 J35 H36 I36 J36 H37 I37 J37 H38 I38 J38 H39 I39 J39 H40 I40 J40 H41 I41 J41 H42 I42 J42 H43 I43 J43 H44 I44 J44 H45 I45 J45">
      <formula1>"T,R"</formula1>
    </dataValidation>
  </dataValidations>
  <pageMargins left="0.7" right="0.7" top="0.75" bottom="0.75" header="0.3" footer="0.3"/>
  <pageSetup paperSize="1" orientation="portrait"/>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Worksheet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creator>Unknown Creator</dc:creator>
  <cp:lastModifiedBy>daniarsyah</cp:lastModifiedBy>
  <dcterms:created xsi:type="dcterms:W3CDTF">2025-12-07T13:02:11Z</dcterms:created>
  <dcterms:modified xsi:type="dcterms:W3CDTF">2025-12-07T13:03:58Z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A0B3B1275D4D18E7CE1835697EA9FA0C_42</vt:lpwstr>
  </property>
  <property fmtid="{D5CDD505-2E9C-101B-9397-08002B2CF9AE}" pid="3" name="KSOProductBuildVer">
    <vt:lpwstr>1033-12.1.2.22571</vt:lpwstr>
  </property>
</Properties>
</file>