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<sst xmlns="http://schemas.openxmlformats.org/spreadsheetml/2006/main" uniqueCount="182">
  <si>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 xml:space="preserve">FORMAT IMPORT NILAI RAPOR PEMBELAJARAN BERBASIS PROJEK, KELAS  XI-01 </t>
  </si>
  <si>
    <t>5c908406-409c-4b4f-90d1-28ff93d2c9ed</t>
  </si>
  <si>
    <t>NO</t>
  </si>
  <si>
    <t>NILRPT</t>
  </si>
  <si>
    <t>NISN</t>
  </si>
  <si>
    <t>NAMA SISWA</t>
  </si>
  <si>
    <t>NILAI RAPOR</t>
  </si>
  <si>
    <t>TINGKAT KETERCAPAIAN TP</t>
  </si>
  <si>
    <t>1d41ea8f-0be1-47d9-a9fe-428a58cf54ab</t>
  </si>
  <si>
    <t>Melaksanakan ibadah secara konsisten serta menunjukkan peningkatan kedisiplinan dan kebugaran jasmani</t>
  </si>
  <si>
    <t>TP.1112</t>
  </si>
  <si>
    <t>VALIDASI</t>
  </si>
  <si>
    <t>TR</t>
  </si>
  <si>
    <t>OP</t>
  </si>
  <si>
    <t>NILAI</t>
  </si>
  <si>
    <t>de511576-4d29-11e5-941b-9b9a4c046539</t>
  </si>
  <si>
    <t>0ac71dc2-11cb-4a96-9c5d-edf2286ce35d</t>
  </si>
  <si>
    <t>0084850277</t>
  </si>
  <si>
    <t>ADLI MALIK PRATAMA</t>
  </si>
  <si>
    <t>ad4b5694-3cad-11e5-a61f-63c262a96f8a</t>
  </si>
  <si>
    <t>a354498f-fbff-455d-85e8-2657d327541f</t>
  </si>
  <si>
    <t>0099334640</t>
  </si>
  <si>
    <t>ALEA NUR BINTANG ANZARI</t>
  </si>
  <si>
    <t>8b2aafbe-4672-11e5-a2b1-73374a85cf85</t>
  </si>
  <si>
    <t>8b234000-ec09-4fe7-a8ca-a0b2079590ce</t>
  </si>
  <si>
    <t>0095645446</t>
  </si>
  <si>
    <t>ALFIKA KIRANA</t>
  </si>
  <si>
    <t>d44b30ee-4d32-11e5-aef1-13200a424546</t>
  </si>
  <si>
    <t>864e4b6b-eead-4c53-9219-71e36d0c99b5</t>
  </si>
  <si>
    <t>0095292831</t>
  </si>
  <si>
    <t>ALODIA FIDELA ATMAJAYA HARMONO</t>
  </si>
  <si>
    <t>2aaa420a-46ed-11e5-a59a-c73c85e4a7d0</t>
  </si>
  <si>
    <t>866b1d1a-30c2-4a38-a623-f99b524dc6ab</t>
  </si>
  <si>
    <t>0089044060</t>
  </si>
  <si>
    <t>ALVIN FIRDAUS PRASETYO</t>
  </si>
  <si>
    <t>461f2d2e-4e73-11e5-a053-5f4e3da45586</t>
  </si>
  <si>
    <t>10e8c562-23b3-41ce-a22a-500653fceea6</t>
  </si>
  <si>
    <t>0084671282</t>
  </si>
  <si>
    <t>ANDIKA RAMADHAN DWI PUTRA</t>
  </si>
  <si>
    <t>8564b764-4749-11e5-9223-3f2d7880061a</t>
  </si>
  <si>
    <t>ff2f89ef-bda6-4bfd-9b20-414e9cdd67ab</t>
  </si>
  <si>
    <t>0098240225</t>
  </si>
  <si>
    <t>ANDRE</t>
  </si>
  <si>
    <t>a45a38f4-4cb9-11e5-8719-dfa7d6114c5e</t>
  </si>
  <si>
    <t>33b854f2-783e-49c1-b58e-0f91f365bb2a</t>
  </si>
  <si>
    <t>0097255360</t>
  </si>
  <si>
    <t>ANNISA ILMAN HANIFA</t>
  </si>
  <si>
    <t>85decace-39be-11e5-9b7a-571bddb22efb</t>
  </si>
  <si>
    <t>d8f4ee96-0b13-48eb-bf84-8231ee2b4f23</t>
  </si>
  <si>
    <t>0083742368</t>
  </si>
  <si>
    <t>BOBBY ADONOVAN</t>
  </si>
  <si>
    <t>f1a17d94-474a-11e5-97e9-57e3de07d1e9</t>
  </si>
  <si>
    <t>4fd5f07d-70ca-4186-aac7-efc82c22dcd8</t>
  </si>
  <si>
    <t>0083142296</t>
  </si>
  <si>
    <t>BUNGA ROSI MUTIARA SANI</t>
  </si>
  <si>
    <t>41656512-3f61-11e5-be1a-8b4406cbb940</t>
  </si>
  <si>
    <t>75e3a072-6390-4eb8-a640-357948b846d8</t>
  </si>
  <si>
    <t>0087645197</t>
  </si>
  <si>
    <t>CAHAYA GITA MERLITHA</t>
  </si>
  <si>
    <t>d48c2202-4279-11e5-9fcc-0b5abb9c03ee</t>
  </si>
  <si>
    <t>1c35e2cc-d125-434b-b2c9-e398c5fa54ad</t>
  </si>
  <si>
    <t>0099534089</t>
  </si>
  <si>
    <t>CALLISTA AURYN ANNAURA</t>
  </si>
  <si>
    <t>7bfde0d2-3e9e-11e5-b866-b7220b054889</t>
  </si>
  <si>
    <t>5e480068-e8ce-402b-abcb-e126a34faffc</t>
  </si>
  <si>
    <t>0094429770</t>
  </si>
  <si>
    <t>CHESTA MAHARDIKA</t>
  </si>
  <si>
    <t>56b888c4-40ae-11e5-a27f-3baa85d9a928</t>
  </si>
  <si>
    <t>a3ff5aa7-7f6d-412c-8bc6-6ff4413b0081</t>
  </si>
  <si>
    <t>0085044133</t>
  </si>
  <si>
    <t>DANIAL MOCH MISBAH</t>
  </si>
  <si>
    <t>f1192150-4d4f-11e5-8b49-a7123f766a79</t>
  </si>
  <si>
    <t>aff2ad75-4088-4c27-aeb0-500bf2c2b40d</t>
  </si>
  <si>
    <t>0091904278</t>
  </si>
  <si>
    <t>DAVID ADITAMA BACHRUN</t>
  </si>
  <si>
    <t>1b55b03b-ffa9-45b7-ac1b-333df9f3fe9a</t>
  </si>
  <si>
    <t>a82e67b9-6860-4494-88d5-f340b29c321e</t>
  </si>
  <si>
    <t>0098286456</t>
  </si>
  <si>
    <t>DEWI ANGGRAENI SINAGA</t>
  </si>
  <si>
    <t>46bdc23a-41b3-11e5-bbc6-cb29a8c9c1b9</t>
  </si>
  <si>
    <t>6e976d50-50ee-497c-8180-db93dd34910e</t>
  </si>
  <si>
    <t>0094624518</t>
  </si>
  <si>
    <t>DWI AL FITRIYANI PUTRI KUSNADI</t>
  </si>
  <si>
    <t>d3837bae-5056-11e5-8862-a36129c5bb08</t>
  </si>
  <si>
    <t>f95e2d78-dab0-4381-b50a-d23e90687049</t>
  </si>
  <si>
    <t>0097184233</t>
  </si>
  <si>
    <t>FADHYL RIZQY PRATAMA</t>
  </si>
  <si>
    <t>edcb0f0f-0ef0-11ec-ae6a-42010aba8125</t>
  </si>
  <si>
    <t>c73f23e2-f7d7-4ff7-9674-737ba3484fdf</t>
  </si>
  <si>
    <t>0092015852</t>
  </si>
  <si>
    <t>FAJRI HADIYAN ANGGARA</t>
  </si>
  <si>
    <t>18ea3c25-1ae6-4e00-94b5-db1ab4a943ed</t>
  </si>
  <si>
    <t>3254ddd8-ae1e-480d-ad81-dc3f101dd569</t>
  </si>
  <si>
    <t>0098153655</t>
  </si>
  <si>
    <t>FERNANDY ARDIANA SYAHRAYAN</t>
  </si>
  <si>
    <t>75d8765c-4f85-11e5-9a3f-677d5d3046ca</t>
  </si>
  <si>
    <t>ef9625b1-6a8f-4524-a174-74538e158475</t>
  </si>
  <si>
    <t>0093070911</t>
  </si>
  <si>
    <t>GELLARDY RAVA GUSMINAR</t>
  </si>
  <si>
    <t>4bee9654-45b3-11e5-aaff-171cfb77a158</t>
  </si>
  <si>
    <t>499dc2ab-7562-4ab4-a0f6-4771c65fa356</t>
  </si>
  <si>
    <t>0092374420</t>
  </si>
  <si>
    <t>GHAITSA NAJWA KAMILA</t>
  </si>
  <si>
    <t>da446db8-4499-11e5-b7c5-ef163180772a</t>
  </si>
  <si>
    <t>46f5b757-cdb0-41dd-8512-0f03d163d57e</t>
  </si>
  <si>
    <t>0087870138</t>
  </si>
  <si>
    <t>INDRI GUSMIANA</t>
  </si>
  <si>
    <t>1e0cb110-47db-11e5-854d-93ff3410d93b</t>
  </si>
  <si>
    <t>128e8f99-e526-4a5e-82d5-1ccfa45a7713</t>
  </si>
  <si>
    <t>0081228149</t>
  </si>
  <si>
    <t>KAISYA RAHMAH ANGGUN PRIBADI</t>
  </si>
  <si>
    <t>c362378a-467c-11e5-88c6-bb4d5a03474a</t>
  </si>
  <si>
    <t>11c8890b-c8dd-4f1b-877f-422e6f71cd6b</t>
  </si>
  <si>
    <t>0095598217</t>
  </si>
  <si>
    <t>KIRANA PUSPITA MAHARANI</t>
  </si>
  <si>
    <t>5004aa86-4751-11e5-98b9-2f707185a5a7</t>
  </si>
  <si>
    <t>e30fb2de-8bc8-4595-bb08-f0c8b7054032</t>
  </si>
  <si>
    <t>0096129871</t>
  </si>
  <si>
    <t>LAKEISHA AZIZAH</t>
  </si>
  <si>
    <t>00b667e4-3e7d-11e5-bf81-9701a321e4f9</t>
  </si>
  <si>
    <t>86c4a021-3fbb-4dc8-8eee-3632f139673f</t>
  </si>
  <si>
    <t>0082810569</t>
  </si>
  <si>
    <t>MAESYA SA'BANI</t>
  </si>
  <si>
    <t>53bcc988-4869-11e5-829d-a3c39e014199</t>
  </si>
  <si>
    <t>455549ab-8bb8-4c5d-a0bb-358566d33c63</t>
  </si>
  <si>
    <t>0081144388</t>
  </si>
  <si>
    <t>NADHIIFAH KIRANA SUMANTRI</t>
  </si>
  <si>
    <t>be6f29c0-45b1-11e5-9f2d-3b9e614ce70b</t>
  </si>
  <si>
    <t>a10b70d5-49af-4377-8ad3-52b8ee0c1e5d</t>
  </si>
  <si>
    <t>0088497035</t>
  </si>
  <si>
    <t>NAURA SHAIRA OKTAVIANTI PRATAMI</t>
  </si>
  <si>
    <t>081a98f8-4c64-11e5-adcf-efdc3922263d</t>
  </si>
  <si>
    <t>48ee4b8d-b1fb-4a61-a383-250fc3a5fb49</t>
  </si>
  <si>
    <t>0082717931</t>
  </si>
  <si>
    <t>NAZMA RAISHA PUTRI</t>
  </si>
  <si>
    <t>11d496c8-3b43-11e5-b71c-d34f22e9afca</t>
  </si>
  <si>
    <t>e6139be2-936c-4b39-b872-7f193150bc9f</t>
  </si>
  <si>
    <t>0088525509</t>
  </si>
  <si>
    <t>NAZWA DWI ANGGRAENI</t>
  </si>
  <si>
    <t>2040390a-480f-11e5-ad28-9b7451d66eb1</t>
  </si>
  <si>
    <t>7aba9c15-4e0c-4b2f-bf78-9e61b0700a55</t>
  </si>
  <si>
    <t>0095731844</t>
  </si>
  <si>
    <t>NESYA HAURA TASMIRA</t>
  </si>
  <si>
    <t>a2275ba8-46dc-11e5-a52c-b39674880979</t>
  </si>
  <si>
    <t>225ecc64-be95-46c0-940a-d142040d89dc</t>
  </si>
  <si>
    <t>0093497754</t>
  </si>
  <si>
    <t>PUTRI KIRANI SALWIYAH KHALID</t>
  </si>
  <si>
    <t>f6a886c3-6fea-4cb1-b6b8-226a9e126150</t>
  </si>
  <si>
    <t>ccc24cc3-fa08-459a-91d7-c44f71916ec1</t>
  </si>
  <si>
    <t>0086545584</t>
  </si>
  <si>
    <t>RAISSA NAZDAH ABDIYANI</t>
  </si>
  <si>
    <t>de0ab570-3d77-11e5-a01d-7f2f6b3d7b96</t>
  </si>
  <si>
    <t>4051f546-0a73-4090-8649-a366789e31e9</t>
  </si>
  <si>
    <t>0087399214</t>
  </si>
  <si>
    <t>RAISYA AMALIA</t>
  </si>
  <si>
    <t>f44465f0-5250-11e5-a1bd-5778237ee8fa</t>
  </si>
  <si>
    <t>6c5f564b-6cc2-4018-a3ed-2ec791d58360</t>
  </si>
  <si>
    <t>0092841307</t>
  </si>
  <si>
    <t>REHAN HUSNI SALIM</t>
  </si>
  <si>
    <t>80717c86-547a-11e5-bf3e-8fae87cae155</t>
  </si>
  <si>
    <t>538bda48-6e98-4180-90fa-ba58ed91bc38</t>
  </si>
  <si>
    <t>0085821008</t>
  </si>
  <si>
    <t>RENANDO BRAVOCIANO</t>
  </si>
  <si>
    <t>88537130-8dd9-416b-bd92-203ec2a74106</t>
  </si>
  <si>
    <t>8ecb92ce-b250-480d-bd55-8ccb072ca3c6</t>
  </si>
  <si>
    <t>3080779226</t>
  </si>
  <si>
    <t>SIFA ANGGRAENI</t>
  </si>
  <si>
    <t>8aa0d1dc-3c08-11e5-8a32-4349ff51318f</t>
  </si>
  <si>
    <t>b30603da-adbf-4aa3-a8e1-43464855df31</t>
  </si>
  <si>
    <t>0095289888</t>
  </si>
  <si>
    <t>WINDY ALYA MUTIARA RAHMAH</t>
  </si>
  <si>
    <t>6aa0bf0e-5518-11e5-8767-eb2921b0987d</t>
  </si>
  <si>
    <t>83479017-24bd-4893-82fd-e73c0fb561c4</t>
  </si>
  <si>
    <t>0097220505</t>
  </si>
  <si>
    <t>ZAHRA AULIA KIRANIA</t>
  </si>
  <si>
    <t>KETERANGAN :</t>
  </si>
  <si>
    <t xml:space="preserve"> &gt; TP.1112 : Melaksanakan ibadah secara konsisten serta menunjukkan peningkatan kedisiplinan dan kebugaran jasmani</t>
  </si>
  <si>
    <t>Catatan Validasi:</t>
  </si>
  <si>
    <t xml:space="preserve"> &gt; Jika Nilai Rapor Siswa kurang dari 100, silahkah dipilih Tujuan Pembelajaran mana saja yang masih perlu peningkatan (minimal 1)</t>
  </si>
  <si>
    <t xml:space="preserve"> &gt; Selain memilih Tujuan Pembelajaran yang masih perlu peningkatan, pilih juga Tujuan Pembelajaran yang mana saja sudah dicapai dengan sangat optimal (minimal 1)</t>
  </si>
  <si>
    <t xml:space="preserve"> &gt; Tidak mesti semua Tujuan Pembelajaran yarus dipilih, minimal pilih satu yang paling optimal dan satu yang paling minimal</t>
  </si>
  <si>
    <t xml:space="preserve"> &gt; Pahami Konsep Pembelajaran dan Asesmen sebagaimana telah dimuat pada Buku Panduan PPA agar tidak keliru dalam memahami format nilai rapor ini.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</si>
</sst>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4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5" numFmtId="0" fillId="2" borderId="1" applyFont="1" applyNumberFormat="0" applyFill="1" applyBorder="1" applyAlignment="1" applyProtection="true">
      <alignment horizontal="center" vertical="top" textRotation="0" wrapText="true" shrinkToFit="false"/>
      <protection locked="true"/>
    </xf>
    <xf xfId="0" fontId="0" numFmtId="0" fillId="0" borderId="1" applyFont="0" applyNumberFormat="0" applyFill="0" applyBorder="1" applyAlignment="1" applyProtection="true">
      <alignment vertical="top" textRotation="0" wrapText="true" shrinkToFit="false"/>
      <protection locked="true"/>
    </xf>
    <xf xfId="0" fontId="0" numFmtId="0" fillId="0" borderId="1" applyFont="0" applyNumberFormat="0" applyFill="0" applyBorder="1" applyAlignment="1" applyProtection="true">
      <alignment horizontal="center" vertical="top" textRotation="0" wrapText="true" shrinkToFit="false"/>
      <protection locked="true"/>
    </xf>
    <xf xfId="0" fontId="0" numFmtId="0" fillId="0" borderId="1" applyFont="0" applyNumberFormat="0" applyFill="0" applyBorder="1" applyAlignment="1" applyProtection="true">
      <alignment vertical="top" textRotation="0" wrapText="true" shrinkToFit="false"/>
      <protection locked="true" hidden="true"/>
    </xf>
    <xf xfId="0" fontId="5" numFmtId="0" fillId="2" borderId="1" applyFont="1" applyNumberFormat="0" applyFill="1" applyBorder="1" applyAlignment="1" applyProtection="true">
      <alignment horizontal="center" vertical="top" textRotation="0" wrapText="true" shrinkToFit="false"/>
      <protection locked="false"/>
    </xf>
    <xf xfId="0" fontId="0" numFmtId="0" fillId="0" borderId="1" applyFont="0" applyNumberFormat="0" applyFill="0" applyBorder="1" applyAlignment="1" applyProtection="true">
      <alignment horizontal="center" vertical="top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Z54"/>
  <sheetViews>
    <sheetView tabSelected="1" workbookViewId="0" showGridLines="true" showRowColHeaders="1">
      <selection activeCell="G4" sqref="G4:H46"/>
    </sheetView>
  </sheetViews>
  <sheetFormatPr defaultRowHeight="14.4" outlineLevelRow="0" outlineLevelCol="0"/>
  <cols>
    <col min="1" max="1" width="5" customWidth="true" style="0"/>
    <col min="2" max="2" width="0" customWidth="true" style="0"/>
    <col min="3" max="3" width="0" customWidth="true" style="0"/>
    <col min="4" max="4" width="0" customWidth="true" style="0"/>
    <col min="5" max="5" width="13" customWidth="true" style="0"/>
    <col min="6" max="6" width="37.705" bestFit="true" customWidth="true" style="0"/>
    <col min="7" max="7" width="17.71" bestFit="true" customWidth="true" style="0"/>
    <col min="8" max="8" width="10" customWidth="true" style="0"/>
    <col min="9" max="9" width="0" customWidth="true" style="0"/>
    <col min="10" max="10" width="0" customWidth="true" style="0"/>
    <col min="11" max="11" width="15" customWidth="true" style="0"/>
  </cols>
  <sheetData>
    <row r="1" spans="1:52">
      <c r="A1" s="3" t="s">
        <v>0</v>
      </c>
      <c r="B1" s="4">
        <v>11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>
      <c r="A2" s="4"/>
      <c r="B2" s="4">
        <v>46</v>
      </c>
      <c r="C2" s="4" t="s">
        <v>1</v>
      </c>
      <c r="D2" s="4">
        <v>200040000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customHeight="1" ht="25">
      <c r="A3" s="5" t="s">
        <v>2</v>
      </c>
      <c r="B3" s="5" t="s">
        <v>3</v>
      </c>
      <c r="C3" s="5" t="s">
        <v>3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11</v>
      </c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customHeight="1" ht="0">
      <c r="A4" s="6"/>
      <c r="B4" s="6"/>
      <c r="C4" s="6"/>
      <c r="D4" s="6"/>
      <c r="E4" s="6"/>
      <c r="F4" s="6"/>
      <c r="G4" s="10"/>
      <c r="H4" s="10" t="s">
        <v>8</v>
      </c>
      <c r="I4" s="6"/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customHeight="1" ht="0">
      <c r="A5" s="6"/>
      <c r="B5" s="6"/>
      <c r="C5" s="6"/>
      <c r="D5" s="6"/>
      <c r="E5" s="6"/>
      <c r="F5" s="6"/>
      <c r="G5" s="10"/>
      <c r="H5" s="10" t="s">
        <v>9</v>
      </c>
      <c r="I5" s="6"/>
      <c r="J5" s="6"/>
      <c r="K5" s="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>
      <c r="A6" s="6"/>
      <c r="B6" s="6"/>
      <c r="C6" s="6"/>
      <c r="D6" s="6"/>
      <c r="E6" s="6"/>
      <c r="F6" s="6"/>
      <c r="G6" s="10"/>
      <c r="H6" s="10" t="s">
        <v>10</v>
      </c>
      <c r="I6" s="6" t="s">
        <v>12</v>
      </c>
      <c r="J6" s="6" t="s">
        <v>13</v>
      </c>
      <c r="K6" s="6" t="s">
        <v>14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customHeight="1" ht="20">
      <c r="A7" s="7">
        <v>1</v>
      </c>
      <c r="B7" s="7" t="s">
        <v>15</v>
      </c>
      <c r="C7" s="7" t="s">
        <v>16</v>
      </c>
      <c r="D7" s="7">
        <v>1</v>
      </c>
      <c r="E7" s="7" t="s">
        <v>17</v>
      </c>
      <c r="F7" s="7" t="s">
        <v>18</v>
      </c>
      <c r="G7" s="11"/>
      <c r="H7" s="11"/>
      <c r="I7" s="8">
        <f>COUNTIF(H7:H7,"R")</f>
        <v>0</v>
      </c>
      <c r="J7" s="8">
        <f>COUNTIF(H7:H7,"T")</f>
        <v>0</v>
      </c>
      <c r="K7" s="9" t="str">
        <f>IF(G7="","",IF(G7=100,IF(I7&gt;0,"Tidak Valid",IF((I7+J7)&gt;0,"Valid","Tidak Valid")),IF(I7=0,"Tidak Valid",IF((I7+J7)&gt;0,"Valid","Tidak Valid"))))</f>
        <v/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customHeight="1" ht="20">
      <c r="A8" s="7">
        <v>2</v>
      </c>
      <c r="B8" s="7" t="s">
        <v>19</v>
      </c>
      <c r="C8" s="7" t="s">
        <v>20</v>
      </c>
      <c r="D8" s="7">
        <v>1</v>
      </c>
      <c r="E8" s="7" t="s">
        <v>21</v>
      </c>
      <c r="F8" s="7" t="s">
        <v>22</v>
      </c>
      <c r="G8" s="11"/>
      <c r="H8" s="11"/>
      <c r="I8" s="8">
        <f>COUNTIF(H8:H8,"R")</f>
        <v>0</v>
      </c>
      <c r="J8" s="8">
        <f>COUNTIF(H8:H8,"T")</f>
        <v>0</v>
      </c>
      <c r="K8" s="9" t="str">
        <f>IF(G8="","",IF(G8=100,IF(I8&gt;0,"Tidak Valid",IF((I8+J8)&gt;0,"Valid","Tidak Valid")),IF(I8=0,"Tidak Valid",IF((I8+J8)&gt;0,"Valid","Tidak Valid"))))</f>
        <v/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customHeight="1" ht="20">
      <c r="A9" s="7">
        <v>3</v>
      </c>
      <c r="B9" s="7" t="s">
        <v>23</v>
      </c>
      <c r="C9" s="7" t="s">
        <v>24</v>
      </c>
      <c r="D9" s="7">
        <v>1</v>
      </c>
      <c r="E9" s="7" t="s">
        <v>25</v>
      </c>
      <c r="F9" s="7" t="s">
        <v>26</v>
      </c>
      <c r="G9" s="11"/>
      <c r="H9" s="11"/>
      <c r="I9" s="8">
        <f>COUNTIF(H9:H9,"R")</f>
        <v>0</v>
      </c>
      <c r="J9" s="8">
        <f>COUNTIF(H9:H9,"T")</f>
        <v>0</v>
      </c>
      <c r="K9" s="9" t="str">
        <f>IF(G9="","",IF(G9=100,IF(I9&gt;0,"Tidak Valid",IF((I9+J9)&gt;0,"Valid","Tidak Valid")),IF(I9=0,"Tidak Valid",IF((I9+J9)&gt;0,"Valid","Tidak Valid"))))</f>
        <v/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customHeight="1" ht="20">
      <c r="A10" s="7">
        <v>4</v>
      </c>
      <c r="B10" s="7" t="s">
        <v>27</v>
      </c>
      <c r="C10" s="7" t="s">
        <v>28</v>
      </c>
      <c r="D10" s="7">
        <v>1</v>
      </c>
      <c r="E10" s="7" t="s">
        <v>29</v>
      </c>
      <c r="F10" s="7" t="s">
        <v>30</v>
      </c>
      <c r="G10" s="11"/>
      <c r="H10" s="11"/>
      <c r="I10" s="8">
        <f>COUNTIF(H10:H10,"R")</f>
        <v>0</v>
      </c>
      <c r="J10" s="8">
        <f>COUNTIF(H10:H10,"T")</f>
        <v>0</v>
      </c>
      <c r="K10" s="9" t="str">
        <f>IF(G10="","",IF(G10=100,IF(I10&gt;0,"Tidak Valid",IF((I10+J10)&gt;0,"Valid","Tidak Valid")),IF(I10=0,"Tidak Valid",IF((I10+J10)&gt;0,"Valid","Tidak Valid"))))</f>
        <v/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customHeight="1" ht="20">
      <c r="A11" s="7">
        <v>5</v>
      </c>
      <c r="B11" s="7" t="s">
        <v>31</v>
      </c>
      <c r="C11" s="7" t="s">
        <v>32</v>
      </c>
      <c r="D11" s="7">
        <v>1</v>
      </c>
      <c r="E11" s="7" t="s">
        <v>33</v>
      </c>
      <c r="F11" s="7" t="s">
        <v>34</v>
      </c>
      <c r="G11" s="11"/>
      <c r="H11" s="11"/>
      <c r="I11" s="8">
        <f>COUNTIF(H11:H11,"R")</f>
        <v>0</v>
      </c>
      <c r="J11" s="8">
        <f>COUNTIF(H11:H11,"T")</f>
        <v>0</v>
      </c>
      <c r="K11" s="9" t="str">
        <f>IF(G11="","",IF(G11=100,IF(I11&gt;0,"Tidak Valid",IF((I11+J11)&gt;0,"Valid","Tidak Valid")),IF(I11=0,"Tidak Valid",IF((I11+J11)&gt;0,"Valid","Tidak Valid"))))</f>
        <v/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customHeight="1" ht="20">
      <c r="A12" s="7">
        <v>6</v>
      </c>
      <c r="B12" s="7" t="s">
        <v>35</v>
      </c>
      <c r="C12" s="7" t="s">
        <v>36</v>
      </c>
      <c r="D12" s="7">
        <v>1</v>
      </c>
      <c r="E12" s="7" t="s">
        <v>37</v>
      </c>
      <c r="F12" s="7" t="s">
        <v>38</v>
      </c>
      <c r="G12" s="11"/>
      <c r="H12" s="11"/>
      <c r="I12" s="8">
        <f>COUNTIF(H12:H12,"R")</f>
        <v>0</v>
      </c>
      <c r="J12" s="8">
        <f>COUNTIF(H12:H12,"T")</f>
        <v>0</v>
      </c>
      <c r="K12" s="9" t="str">
        <f>IF(G12="","",IF(G12=100,IF(I12&gt;0,"Tidak Valid",IF((I12+J12)&gt;0,"Valid","Tidak Valid")),IF(I12=0,"Tidak Valid",IF((I12+J12)&gt;0,"Valid","Tidak Valid"))))</f>
        <v/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customHeight="1" ht="20">
      <c r="A13" s="7">
        <v>7</v>
      </c>
      <c r="B13" s="7" t="s">
        <v>39</v>
      </c>
      <c r="C13" s="7" t="s">
        <v>40</v>
      </c>
      <c r="D13" s="7">
        <v>1</v>
      </c>
      <c r="E13" s="7" t="s">
        <v>41</v>
      </c>
      <c r="F13" s="7" t="s">
        <v>42</v>
      </c>
      <c r="G13" s="11"/>
      <c r="H13" s="11"/>
      <c r="I13" s="8">
        <f>COUNTIF(H13:H13,"R")</f>
        <v>0</v>
      </c>
      <c r="J13" s="8">
        <f>COUNTIF(H13:H13,"T")</f>
        <v>0</v>
      </c>
      <c r="K13" s="9" t="str">
        <f>IF(G13="","",IF(G13=100,IF(I13&gt;0,"Tidak Valid",IF((I13+J13)&gt;0,"Valid","Tidak Valid")),IF(I13=0,"Tidak Valid",IF((I13+J13)&gt;0,"Valid","Tidak Valid"))))</f>
        <v/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customHeight="1" ht="20">
      <c r="A14" s="7">
        <v>8</v>
      </c>
      <c r="B14" s="7" t="s">
        <v>43</v>
      </c>
      <c r="C14" s="7" t="s">
        <v>44</v>
      </c>
      <c r="D14" s="7">
        <v>1</v>
      </c>
      <c r="E14" s="7" t="s">
        <v>45</v>
      </c>
      <c r="F14" s="7" t="s">
        <v>46</v>
      </c>
      <c r="G14" s="11"/>
      <c r="H14" s="11"/>
      <c r="I14" s="8">
        <f>COUNTIF(H14:H14,"R")</f>
        <v>0</v>
      </c>
      <c r="J14" s="8">
        <f>COUNTIF(H14:H14,"T")</f>
        <v>0</v>
      </c>
      <c r="K14" s="9" t="str">
        <f>IF(G14="","",IF(G14=100,IF(I14&gt;0,"Tidak Valid",IF((I14+J14)&gt;0,"Valid","Tidak Valid")),IF(I14=0,"Tidak Valid",IF((I14+J14)&gt;0,"Valid","Tidak Valid"))))</f>
        <v/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customHeight="1" ht="20">
      <c r="A15" s="7">
        <v>9</v>
      </c>
      <c r="B15" s="7" t="s">
        <v>47</v>
      </c>
      <c r="C15" s="7" t="s">
        <v>48</v>
      </c>
      <c r="D15" s="7">
        <v>1</v>
      </c>
      <c r="E15" s="7" t="s">
        <v>49</v>
      </c>
      <c r="F15" s="7" t="s">
        <v>50</v>
      </c>
      <c r="G15" s="11"/>
      <c r="H15" s="11"/>
      <c r="I15" s="8">
        <f>COUNTIF(H15:H15,"R")</f>
        <v>0</v>
      </c>
      <c r="J15" s="8">
        <f>COUNTIF(H15:H15,"T")</f>
        <v>0</v>
      </c>
      <c r="K15" s="9" t="str">
        <f>IF(G15="","",IF(G15=100,IF(I15&gt;0,"Tidak Valid",IF((I15+J15)&gt;0,"Valid","Tidak Valid")),IF(I15=0,"Tidak Valid",IF((I15+J15)&gt;0,"Valid","Tidak Valid"))))</f>
        <v/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customHeight="1" ht="20">
      <c r="A16" s="7">
        <v>10</v>
      </c>
      <c r="B16" s="7" t="s">
        <v>51</v>
      </c>
      <c r="C16" s="7" t="s">
        <v>52</v>
      </c>
      <c r="D16" s="7">
        <v>1</v>
      </c>
      <c r="E16" s="7" t="s">
        <v>53</v>
      </c>
      <c r="F16" s="7" t="s">
        <v>54</v>
      </c>
      <c r="G16" s="11"/>
      <c r="H16" s="11"/>
      <c r="I16" s="8">
        <f>COUNTIF(H16:H16,"R")</f>
        <v>0</v>
      </c>
      <c r="J16" s="8">
        <f>COUNTIF(H16:H16,"T")</f>
        <v>0</v>
      </c>
      <c r="K16" s="9" t="str">
        <f>IF(G16="","",IF(G16=100,IF(I16&gt;0,"Tidak Valid",IF((I16+J16)&gt;0,"Valid","Tidak Valid")),IF(I16=0,"Tidak Valid",IF((I16+J16)&gt;0,"Valid","Tidak Valid"))))</f>
        <v/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 customHeight="1" ht="20">
      <c r="A17" s="7">
        <v>11</v>
      </c>
      <c r="B17" s="7" t="s">
        <v>55</v>
      </c>
      <c r="C17" s="7" t="s">
        <v>56</v>
      </c>
      <c r="D17" s="7">
        <v>1</v>
      </c>
      <c r="E17" s="7" t="s">
        <v>57</v>
      </c>
      <c r="F17" s="7" t="s">
        <v>58</v>
      </c>
      <c r="G17" s="11"/>
      <c r="H17" s="11"/>
      <c r="I17" s="8">
        <f>COUNTIF(H17:H17,"R")</f>
        <v>0</v>
      </c>
      <c r="J17" s="8">
        <f>COUNTIF(H17:H17,"T")</f>
        <v>0</v>
      </c>
      <c r="K17" s="9" t="str">
        <f>IF(G17="","",IF(G17=100,IF(I17&gt;0,"Tidak Valid",IF((I17+J17)&gt;0,"Valid","Tidak Valid")),IF(I17=0,"Tidak Valid",IF((I17+J17)&gt;0,"Valid","Tidak Valid"))))</f>
        <v/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 customHeight="1" ht="20">
      <c r="A18" s="7">
        <v>12</v>
      </c>
      <c r="B18" s="7" t="s">
        <v>59</v>
      </c>
      <c r="C18" s="7" t="s">
        <v>60</v>
      </c>
      <c r="D18" s="7">
        <v>1</v>
      </c>
      <c r="E18" s="7" t="s">
        <v>61</v>
      </c>
      <c r="F18" s="7" t="s">
        <v>62</v>
      </c>
      <c r="G18" s="11"/>
      <c r="H18" s="11"/>
      <c r="I18" s="8">
        <f>COUNTIF(H18:H18,"R")</f>
        <v>0</v>
      </c>
      <c r="J18" s="8">
        <f>COUNTIF(H18:H18,"T")</f>
        <v>0</v>
      </c>
      <c r="K18" s="9" t="str">
        <f>IF(G18="","",IF(G18=100,IF(I18&gt;0,"Tidak Valid",IF((I18+J18)&gt;0,"Valid","Tidak Valid")),IF(I18=0,"Tidak Valid",IF((I18+J18)&gt;0,"Valid","Tidak Valid"))))</f>
        <v/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 customHeight="1" ht="20">
      <c r="A19" s="7">
        <v>13</v>
      </c>
      <c r="B19" s="7" t="s">
        <v>63</v>
      </c>
      <c r="C19" s="7" t="s">
        <v>64</v>
      </c>
      <c r="D19" s="7">
        <v>1</v>
      </c>
      <c r="E19" s="7" t="s">
        <v>65</v>
      </c>
      <c r="F19" s="7" t="s">
        <v>66</v>
      </c>
      <c r="G19" s="11"/>
      <c r="H19" s="11"/>
      <c r="I19" s="8">
        <f>COUNTIF(H19:H19,"R")</f>
        <v>0</v>
      </c>
      <c r="J19" s="8">
        <f>COUNTIF(H19:H19,"T")</f>
        <v>0</v>
      </c>
      <c r="K19" s="9" t="str">
        <f>IF(G19="","",IF(G19=100,IF(I19&gt;0,"Tidak Valid",IF((I19+J19)&gt;0,"Valid","Tidak Valid")),IF(I19=0,"Tidak Valid",IF((I19+J19)&gt;0,"Valid","Tidak Valid"))))</f>
        <v/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 customHeight="1" ht="20">
      <c r="A20" s="7">
        <v>14</v>
      </c>
      <c r="B20" s="7" t="s">
        <v>67</v>
      </c>
      <c r="C20" s="7" t="s">
        <v>68</v>
      </c>
      <c r="D20" s="7">
        <v>1</v>
      </c>
      <c r="E20" s="7" t="s">
        <v>69</v>
      </c>
      <c r="F20" s="7" t="s">
        <v>70</v>
      </c>
      <c r="G20" s="11"/>
      <c r="H20" s="11"/>
      <c r="I20" s="8">
        <f>COUNTIF(H20:H20,"R")</f>
        <v>0</v>
      </c>
      <c r="J20" s="8">
        <f>COUNTIF(H20:H20,"T")</f>
        <v>0</v>
      </c>
      <c r="K20" s="9" t="str">
        <f>IF(G20="","",IF(G20=100,IF(I20&gt;0,"Tidak Valid",IF((I20+J20)&gt;0,"Valid","Tidak Valid")),IF(I20=0,"Tidak Valid",IF((I20+J20)&gt;0,"Valid","Tidak Valid"))))</f>
        <v/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 customHeight="1" ht="20">
      <c r="A21" s="7">
        <v>15</v>
      </c>
      <c r="B21" s="7" t="s">
        <v>71</v>
      </c>
      <c r="C21" s="7" t="s">
        <v>72</v>
      </c>
      <c r="D21" s="7">
        <v>1</v>
      </c>
      <c r="E21" s="7" t="s">
        <v>73</v>
      </c>
      <c r="F21" s="7" t="s">
        <v>74</v>
      </c>
      <c r="G21" s="11"/>
      <c r="H21" s="11"/>
      <c r="I21" s="8">
        <f>COUNTIF(H21:H21,"R")</f>
        <v>0</v>
      </c>
      <c r="J21" s="8">
        <f>COUNTIF(H21:H21,"T")</f>
        <v>0</v>
      </c>
      <c r="K21" s="9" t="str">
        <f>IF(G21="","",IF(G21=100,IF(I21&gt;0,"Tidak Valid",IF((I21+J21)&gt;0,"Valid","Tidak Valid")),IF(I21=0,"Tidak Valid",IF((I21+J21)&gt;0,"Valid","Tidak Valid"))))</f>
        <v/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 customHeight="1" ht="20">
      <c r="A22" s="7">
        <v>16</v>
      </c>
      <c r="B22" s="7" t="s">
        <v>75</v>
      </c>
      <c r="C22" s="7" t="s">
        <v>76</v>
      </c>
      <c r="D22" s="7">
        <v>1</v>
      </c>
      <c r="E22" s="7" t="s">
        <v>77</v>
      </c>
      <c r="F22" s="7" t="s">
        <v>78</v>
      </c>
      <c r="G22" s="11"/>
      <c r="H22" s="11"/>
      <c r="I22" s="8">
        <f>COUNTIF(H22:H22,"R")</f>
        <v>0</v>
      </c>
      <c r="J22" s="8">
        <f>COUNTIF(H22:H22,"T")</f>
        <v>0</v>
      </c>
      <c r="K22" s="9" t="str">
        <f>IF(G22="","",IF(G22=100,IF(I22&gt;0,"Tidak Valid",IF((I22+J22)&gt;0,"Valid","Tidak Valid")),IF(I22=0,"Tidak Valid",IF((I22+J22)&gt;0,"Valid","Tidak Valid"))))</f>
        <v/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 customHeight="1" ht="20">
      <c r="A23" s="7">
        <v>17</v>
      </c>
      <c r="B23" s="7" t="s">
        <v>79</v>
      </c>
      <c r="C23" s="7" t="s">
        <v>80</v>
      </c>
      <c r="D23" s="7">
        <v>1</v>
      </c>
      <c r="E23" s="7" t="s">
        <v>81</v>
      </c>
      <c r="F23" s="7" t="s">
        <v>82</v>
      </c>
      <c r="G23" s="11"/>
      <c r="H23" s="11"/>
      <c r="I23" s="8">
        <f>COUNTIF(H23:H23,"R")</f>
        <v>0</v>
      </c>
      <c r="J23" s="8">
        <f>COUNTIF(H23:H23,"T")</f>
        <v>0</v>
      </c>
      <c r="K23" s="9" t="str">
        <f>IF(G23="","",IF(G23=100,IF(I23&gt;0,"Tidak Valid",IF((I23+J23)&gt;0,"Valid","Tidak Valid")),IF(I23=0,"Tidak Valid",IF((I23+J23)&gt;0,"Valid","Tidak Valid"))))</f>
        <v/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 customHeight="1" ht="20">
      <c r="A24" s="7">
        <v>18</v>
      </c>
      <c r="B24" s="7" t="s">
        <v>83</v>
      </c>
      <c r="C24" s="7" t="s">
        <v>84</v>
      </c>
      <c r="D24" s="7">
        <v>1</v>
      </c>
      <c r="E24" s="7" t="s">
        <v>85</v>
      </c>
      <c r="F24" s="7" t="s">
        <v>86</v>
      </c>
      <c r="G24" s="11"/>
      <c r="H24" s="11"/>
      <c r="I24" s="8">
        <f>COUNTIF(H24:H24,"R")</f>
        <v>0</v>
      </c>
      <c r="J24" s="8">
        <f>COUNTIF(H24:H24,"T")</f>
        <v>0</v>
      </c>
      <c r="K24" s="9" t="str">
        <f>IF(G24="","",IF(G24=100,IF(I24&gt;0,"Tidak Valid",IF((I24+J24)&gt;0,"Valid","Tidak Valid")),IF(I24=0,"Tidak Valid",IF((I24+J24)&gt;0,"Valid","Tidak Valid"))))</f>
        <v/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 customHeight="1" ht="20">
      <c r="A25" s="7">
        <v>19</v>
      </c>
      <c r="B25" s="7" t="s">
        <v>87</v>
      </c>
      <c r="C25" s="7" t="s">
        <v>88</v>
      </c>
      <c r="D25" s="7">
        <v>1</v>
      </c>
      <c r="E25" s="7" t="s">
        <v>89</v>
      </c>
      <c r="F25" s="7" t="s">
        <v>90</v>
      </c>
      <c r="G25" s="11"/>
      <c r="H25" s="11"/>
      <c r="I25" s="8">
        <f>COUNTIF(H25:H25,"R")</f>
        <v>0</v>
      </c>
      <c r="J25" s="8">
        <f>COUNTIF(H25:H25,"T")</f>
        <v>0</v>
      </c>
      <c r="K25" s="9" t="str">
        <f>IF(G25="","",IF(G25=100,IF(I25&gt;0,"Tidak Valid",IF((I25+J25)&gt;0,"Valid","Tidak Valid")),IF(I25=0,"Tidak Valid",IF((I25+J25)&gt;0,"Valid","Tidak Valid"))))</f>
        <v/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 customHeight="1" ht="20">
      <c r="A26" s="7">
        <v>20</v>
      </c>
      <c r="B26" s="7" t="s">
        <v>91</v>
      </c>
      <c r="C26" s="7" t="s">
        <v>92</v>
      </c>
      <c r="D26" s="7">
        <v>1</v>
      </c>
      <c r="E26" s="7" t="s">
        <v>93</v>
      </c>
      <c r="F26" s="7" t="s">
        <v>94</v>
      </c>
      <c r="G26" s="11"/>
      <c r="H26" s="11"/>
      <c r="I26" s="8">
        <f>COUNTIF(H26:H26,"R")</f>
        <v>0</v>
      </c>
      <c r="J26" s="8">
        <f>COUNTIF(H26:H26,"T")</f>
        <v>0</v>
      </c>
      <c r="K26" s="9" t="str">
        <f>IF(G26="","",IF(G26=100,IF(I26&gt;0,"Tidak Valid",IF((I26+J26)&gt;0,"Valid","Tidak Valid")),IF(I26=0,"Tidak Valid",IF((I26+J26)&gt;0,"Valid","Tidak Valid"))))</f>
        <v/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 customHeight="1" ht="20">
      <c r="A27" s="7">
        <v>21</v>
      </c>
      <c r="B27" s="7" t="s">
        <v>95</v>
      </c>
      <c r="C27" s="7" t="s">
        <v>96</v>
      </c>
      <c r="D27" s="7">
        <v>1</v>
      </c>
      <c r="E27" s="7" t="s">
        <v>97</v>
      </c>
      <c r="F27" s="7" t="s">
        <v>98</v>
      </c>
      <c r="G27" s="11"/>
      <c r="H27" s="11"/>
      <c r="I27" s="8">
        <f>COUNTIF(H27:H27,"R")</f>
        <v>0</v>
      </c>
      <c r="J27" s="8">
        <f>COUNTIF(H27:H27,"T")</f>
        <v>0</v>
      </c>
      <c r="K27" s="9" t="str">
        <f>IF(G27="","",IF(G27=100,IF(I27&gt;0,"Tidak Valid",IF((I27+J27)&gt;0,"Valid","Tidak Valid")),IF(I27=0,"Tidak Valid",IF((I27+J27)&gt;0,"Valid","Tidak Valid"))))</f>
        <v/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 customHeight="1" ht="20">
      <c r="A28" s="7">
        <v>22</v>
      </c>
      <c r="B28" s="7" t="s">
        <v>99</v>
      </c>
      <c r="C28" s="7" t="s">
        <v>100</v>
      </c>
      <c r="D28" s="7">
        <v>1</v>
      </c>
      <c r="E28" s="7" t="s">
        <v>101</v>
      </c>
      <c r="F28" s="7" t="s">
        <v>102</v>
      </c>
      <c r="G28" s="11"/>
      <c r="H28" s="11"/>
      <c r="I28" s="8">
        <f>COUNTIF(H28:H28,"R")</f>
        <v>0</v>
      </c>
      <c r="J28" s="8">
        <f>COUNTIF(H28:H28,"T")</f>
        <v>0</v>
      </c>
      <c r="K28" s="9" t="str">
        <f>IF(G28="","",IF(G28=100,IF(I28&gt;0,"Tidak Valid",IF((I28+J28)&gt;0,"Valid","Tidak Valid")),IF(I28=0,"Tidak Valid",IF((I28+J28)&gt;0,"Valid","Tidak Valid"))))</f>
        <v/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 customHeight="1" ht="20">
      <c r="A29" s="7">
        <v>23</v>
      </c>
      <c r="B29" s="7" t="s">
        <v>103</v>
      </c>
      <c r="C29" s="7" t="s">
        <v>104</v>
      </c>
      <c r="D29" s="7">
        <v>1</v>
      </c>
      <c r="E29" s="7" t="s">
        <v>105</v>
      </c>
      <c r="F29" s="7" t="s">
        <v>106</v>
      </c>
      <c r="G29" s="11"/>
      <c r="H29" s="11"/>
      <c r="I29" s="8">
        <f>COUNTIF(H29:H29,"R")</f>
        <v>0</v>
      </c>
      <c r="J29" s="8">
        <f>COUNTIF(H29:H29,"T")</f>
        <v>0</v>
      </c>
      <c r="K29" s="9" t="str">
        <f>IF(G29="","",IF(G29=100,IF(I29&gt;0,"Tidak Valid",IF((I29+J29)&gt;0,"Valid","Tidak Valid")),IF(I29=0,"Tidak Valid",IF((I29+J29)&gt;0,"Valid","Tidak Valid"))))</f>
        <v/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 customHeight="1" ht="20">
      <c r="A30" s="7">
        <v>24</v>
      </c>
      <c r="B30" s="7" t="s">
        <v>107</v>
      </c>
      <c r="C30" s="7" t="s">
        <v>108</v>
      </c>
      <c r="D30" s="7">
        <v>1</v>
      </c>
      <c r="E30" s="7" t="s">
        <v>109</v>
      </c>
      <c r="F30" s="7" t="s">
        <v>110</v>
      </c>
      <c r="G30" s="11"/>
      <c r="H30" s="11"/>
      <c r="I30" s="8">
        <f>COUNTIF(H30:H30,"R")</f>
        <v>0</v>
      </c>
      <c r="J30" s="8">
        <f>COUNTIF(H30:H30,"T")</f>
        <v>0</v>
      </c>
      <c r="K30" s="9" t="str">
        <f>IF(G30="","",IF(G30=100,IF(I30&gt;0,"Tidak Valid",IF((I30+J30)&gt;0,"Valid","Tidak Valid")),IF(I30=0,"Tidak Valid",IF((I30+J30)&gt;0,"Valid","Tidak Valid"))))</f>
        <v/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 customHeight="1" ht="20">
      <c r="A31" s="7">
        <v>25</v>
      </c>
      <c r="B31" s="7" t="s">
        <v>111</v>
      </c>
      <c r="C31" s="7" t="s">
        <v>112</v>
      </c>
      <c r="D31" s="7">
        <v>1</v>
      </c>
      <c r="E31" s="7" t="s">
        <v>113</v>
      </c>
      <c r="F31" s="7" t="s">
        <v>114</v>
      </c>
      <c r="G31" s="11"/>
      <c r="H31" s="11"/>
      <c r="I31" s="8">
        <f>COUNTIF(H31:H31,"R")</f>
        <v>0</v>
      </c>
      <c r="J31" s="8">
        <f>COUNTIF(H31:H31,"T")</f>
        <v>0</v>
      </c>
      <c r="K31" s="9" t="str">
        <f>IF(G31="","",IF(G31=100,IF(I31&gt;0,"Tidak Valid",IF((I31+J31)&gt;0,"Valid","Tidak Valid")),IF(I31=0,"Tidak Valid",IF((I31+J31)&gt;0,"Valid","Tidak Valid"))))</f>
        <v/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 customHeight="1" ht="20">
      <c r="A32" s="7">
        <v>26</v>
      </c>
      <c r="B32" s="7" t="s">
        <v>115</v>
      </c>
      <c r="C32" s="7" t="s">
        <v>116</v>
      </c>
      <c r="D32" s="7">
        <v>1</v>
      </c>
      <c r="E32" s="7" t="s">
        <v>117</v>
      </c>
      <c r="F32" s="7" t="s">
        <v>118</v>
      </c>
      <c r="G32" s="11"/>
      <c r="H32" s="11"/>
      <c r="I32" s="8">
        <f>COUNTIF(H32:H32,"R")</f>
        <v>0</v>
      </c>
      <c r="J32" s="8">
        <f>COUNTIF(H32:H32,"T")</f>
        <v>0</v>
      </c>
      <c r="K32" s="9" t="str">
        <f>IF(G32="","",IF(G32=100,IF(I32&gt;0,"Tidak Valid",IF((I32+J32)&gt;0,"Valid","Tidak Valid")),IF(I32=0,"Tidak Valid",IF((I32+J32)&gt;0,"Valid","Tidak Valid"))))</f>
        <v/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 customHeight="1" ht="20">
      <c r="A33" s="7">
        <v>27</v>
      </c>
      <c r="B33" s="7" t="s">
        <v>119</v>
      </c>
      <c r="C33" s="7" t="s">
        <v>120</v>
      </c>
      <c r="D33" s="7">
        <v>1</v>
      </c>
      <c r="E33" s="7" t="s">
        <v>121</v>
      </c>
      <c r="F33" s="7" t="s">
        <v>122</v>
      </c>
      <c r="G33" s="11"/>
      <c r="H33" s="11"/>
      <c r="I33" s="8">
        <f>COUNTIF(H33:H33,"R")</f>
        <v>0</v>
      </c>
      <c r="J33" s="8">
        <f>COUNTIF(H33:H33,"T")</f>
        <v>0</v>
      </c>
      <c r="K33" s="9" t="str">
        <f>IF(G33="","",IF(G33=100,IF(I33&gt;0,"Tidak Valid",IF((I33+J33)&gt;0,"Valid","Tidak Valid")),IF(I33=0,"Tidak Valid",IF((I33+J33)&gt;0,"Valid","Tidak Valid"))))</f>
        <v/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 customHeight="1" ht="20">
      <c r="A34" s="7">
        <v>28</v>
      </c>
      <c r="B34" s="7" t="s">
        <v>123</v>
      </c>
      <c r="C34" s="7" t="s">
        <v>124</v>
      </c>
      <c r="D34" s="7">
        <v>1</v>
      </c>
      <c r="E34" s="7" t="s">
        <v>125</v>
      </c>
      <c r="F34" s="7" t="s">
        <v>126</v>
      </c>
      <c r="G34" s="11"/>
      <c r="H34" s="11"/>
      <c r="I34" s="8">
        <f>COUNTIF(H34:H34,"R")</f>
        <v>0</v>
      </c>
      <c r="J34" s="8">
        <f>COUNTIF(H34:H34,"T")</f>
        <v>0</v>
      </c>
      <c r="K34" s="9" t="str">
        <f>IF(G34="","",IF(G34=100,IF(I34&gt;0,"Tidak Valid",IF((I34+J34)&gt;0,"Valid","Tidak Valid")),IF(I34=0,"Tidak Valid",IF((I34+J34)&gt;0,"Valid","Tidak Valid"))))</f>
        <v/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 customHeight="1" ht="20">
      <c r="A35" s="7">
        <v>29</v>
      </c>
      <c r="B35" s="7" t="s">
        <v>127</v>
      </c>
      <c r="C35" s="7" t="s">
        <v>128</v>
      </c>
      <c r="D35" s="7">
        <v>1</v>
      </c>
      <c r="E35" s="7" t="s">
        <v>129</v>
      </c>
      <c r="F35" s="7" t="s">
        <v>130</v>
      </c>
      <c r="G35" s="11"/>
      <c r="H35" s="11"/>
      <c r="I35" s="8">
        <f>COUNTIF(H35:H35,"R")</f>
        <v>0</v>
      </c>
      <c r="J35" s="8">
        <f>COUNTIF(H35:H35,"T")</f>
        <v>0</v>
      </c>
      <c r="K35" s="9" t="str">
        <f>IF(G35="","",IF(G35=100,IF(I35&gt;0,"Tidak Valid",IF((I35+J35)&gt;0,"Valid","Tidak Valid")),IF(I35=0,"Tidak Valid",IF((I35+J35)&gt;0,"Valid","Tidak Valid"))))</f>
        <v/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 customHeight="1" ht="20">
      <c r="A36" s="7">
        <v>30</v>
      </c>
      <c r="B36" s="7" t="s">
        <v>131</v>
      </c>
      <c r="C36" s="7" t="s">
        <v>132</v>
      </c>
      <c r="D36" s="7">
        <v>1</v>
      </c>
      <c r="E36" s="7" t="s">
        <v>133</v>
      </c>
      <c r="F36" s="7" t="s">
        <v>134</v>
      </c>
      <c r="G36" s="11"/>
      <c r="H36" s="11"/>
      <c r="I36" s="8">
        <f>COUNTIF(H36:H36,"R")</f>
        <v>0</v>
      </c>
      <c r="J36" s="8">
        <f>COUNTIF(H36:H36,"T")</f>
        <v>0</v>
      </c>
      <c r="K36" s="9" t="str">
        <f>IF(G36="","",IF(G36=100,IF(I36&gt;0,"Tidak Valid",IF((I36+J36)&gt;0,"Valid","Tidak Valid")),IF(I36=0,"Tidak Valid",IF((I36+J36)&gt;0,"Valid","Tidak Valid"))))</f>
        <v/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 customHeight="1" ht="20">
      <c r="A37" s="7">
        <v>31</v>
      </c>
      <c r="B37" s="7" t="s">
        <v>135</v>
      </c>
      <c r="C37" s="7" t="s">
        <v>136</v>
      </c>
      <c r="D37" s="7">
        <v>1</v>
      </c>
      <c r="E37" s="7" t="s">
        <v>137</v>
      </c>
      <c r="F37" s="7" t="s">
        <v>138</v>
      </c>
      <c r="G37" s="11"/>
      <c r="H37" s="11"/>
      <c r="I37" s="8">
        <f>COUNTIF(H37:H37,"R")</f>
        <v>0</v>
      </c>
      <c r="J37" s="8">
        <f>COUNTIF(H37:H37,"T")</f>
        <v>0</v>
      </c>
      <c r="K37" s="9" t="str">
        <f>IF(G37="","",IF(G37=100,IF(I37&gt;0,"Tidak Valid",IF((I37+J37)&gt;0,"Valid","Tidak Valid")),IF(I37=0,"Tidak Valid",IF((I37+J37)&gt;0,"Valid","Tidak Valid"))))</f>
        <v/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 customHeight="1" ht="20">
      <c r="A38" s="7">
        <v>32</v>
      </c>
      <c r="B38" s="7" t="s">
        <v>139</v>
      </c>
      <c r="C38" s="7" t="s">
        <v>140</v>
      </c>
      <c r="D38" s="7">
        <v>1</v>
      </c>
      <c r="E38" s="7" t="s">
        <v>141</v>
      </c>
      <c r="F38" s="7" t="s">
        <v>142</v>
      </c>
      <c r="G38" s="11"/>
      <c r="H38" s="11"/>
      <c r="I38" s="8">
        <f>COUNTIF(H38:H38,"R")</f>
        <v>0</v>
      </c>
      <c r="J38" s="8">
        <f>COUNTIF(H38:H38,"T")</f>
        <v>0</v>
      </c>
      <c r="K38" s="9" t="str">
        <f>IF(G38="","",IF(G38=100,IF(I38&gt;0,"Tidak Valid",IF((I38+J38)&gt;0,"Valid","Tidak Valid")),IF(I38=0,"Tidak Valid",IF((I38+J38)&gt;0,"Valid","Tidak Valid"))))</f>
        <v/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1:52" customHeight="1" ht="20">
      <c r="A39" s="7">
        <v>33</v>
      </c>
      <c r="B39" s="7" t="s">
        <v>143</v>
      </c>
      <c r="C39" s="7" t="s">
        <v>144</v>
      </c>
      <c r="D39" s="7">
        <v>1</v>
      </c>
      <c r="E39" s="7" t="s">
        <v>145</v>
      </c>
      <c r="F39" s="7" t="s">
        <v>146</v>
      </c>
      <c r="G39" s="11"/>
      <c r="H39" s="11"/>
      <c r="I39" s="8">
        <f>COUNTIF(H39:H39,"R")</f>
        <v>0</v>
      </c>
      <c r="J39" s="8">
        <f>COUNTIF(H39:H39,"T")</f>
        <v>0</v>
      </c>
      <c r="K39" s="9" t="str">
        <f>IF(G39="","",IF(G39=100,IF(I39&gt;0,"Tidak Valid",IF((I39+J39)&gt;0,"Valid","Tidak Valid")),IF(I39=0,"Tidak Valid",IF((I39+J39)&gt;0,"Valid","Tidak Valid"))))</f>
        <v/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1:52" customHeight="1" ht="20">
      <c r="A40" s="7">
        <v>34</v>
      </c>
      <c r="B40" s="7" t="s">
        <v>147</v>
      </c>
      <c r="C40" s="7" t="s">
        <v>148</v>
      </c>
      <c r="D40" s="7">
        <v>1</v>
      </c>
      <c r="E40" s="7" t="s">
        <v>149</v>
      </c>
      <c r="F40" s="7" t="s">
        <v>150</v>
      </c>
      <c r="G40" s="11"/>
      <c r="H40" s="11"/>
      <c r="I40" s="8">
        <f>COUNTIF(H40:H40,"R")</f>
        <v>0</v>
      </c>
      <c r="J40" s="8">
        <f>COUNTIF(H40:H40,"T")</f>
        <v>0</v>
      </c>
      <c r="K40" s="9" t="str">
        <f>IF(G40="","",IF(G40=100,IF(I40&gt;0,"Tidak Valid",IF((I40+J40)&gt;0,"Valid","Tidak Valid")),IF(I40=0,"Tidak Valid",IF((I40+J40)&gt;0,"Valid","Tidak Valid"))))</f>
        <v/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1:52" customHeight="1" ht="20">
      <c r="A41" s="7">
        <v>35</v>
      </c>
      <c r="B41" s="7" t="s">
        <v>151</v>
      </c>
      <c r="C41" s="7" t="s">
        <v>152</v>
      </c>
      <c r="D41" s="7">
        <v>1</v>
      </c>
      <c r="E41" s="7" t="s">
        <v>153</v>
      </c>
      <c r="F41" s="7" t="s">
        <v>154</v>
      </c>
      <c r="G41" s="11"/>
      <c r="H41" s="11"/>
      <c r="I41" s="8">
        <f>COUNTIF(H41:H41,"R")</f>
        <v>0</v>
      </c>
      <c r="J41" s="8">
        <f>COUNTIF(H41:H41,"T")</f>
        <v>0</v>
      </c>
      <c r="K41" s="9" t="str">
        <f>IF(G41="","",IF(G41=100,IF(I41&gt;0,"Tidak Valid",IF((I41+J41)&gt;0,"Valid","Tidak Valid")),IF(I41=0,"Tidak Valid",IF((I41+J41)&gt;0,"Valid","Tidak Valid"))))</f>
        <v/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1:52" customHeight="1" ht="20">
      <c r="A42" s="7">
        <v>36</v>
      </c>
      <c r="B42" s="7" t="s">
        <v>155</v>
      </c>
      <c r="C42" s="7" t="s">
        <v>156</v>
      </c>
      <c r="D42" s="7">
        <v>1</v>
      </c>
      <c r="E42" s="7" t="s">
        <v>157</v>
      </c>
      <c r="F42" s="7" t="s">
        <v>158</v>
      </c>
      <c r="G42" s="11"/>
      <c r="H42" s="11"/>
      <c r="I42" s="8">
        <f>COUNTIF(H42:H42,"R")</f>
        <v>0</v>
      </c>
      <c r="J42" s="8">
        <f>COUNTIF(H42:H42,"T")</f>
        <v>0</v>
      </c>
      <c r="K42" s="9" t="str">
        <f>IF(G42="","",IF(G42=100,IF(I42&gt;0,"Tidak Valid",IF((I42+J42)&gt;0,"Valid","Tidak Valid")),IF(I42=0,"Tidak Valid",IF((I42+J42)&gt;0,"Valid","Tidak Valid"))))</f>
        <v/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spans="1:52" customHeight="1" ht="20">
      <c r="A43" s="7">
        <v>37</v>
      </c>
      <c r="B43" s="7" t="s">
        <v>159</v>
      </c>
      <c r="C43" s="7" t="s">
        <v>160</v>
      </c>
      <c r="D43" s="7">
        <v>1</v>
      </c>
      <c r="E43" s="7" t="s">
        <v>161</v>
      </c>
      <c r="F43" s="7" t="s">
        <v>162</v>
      </c>
      <c r="G43" s="11"/>
      <c r="H43" s="11"/>
      <c r="I43" s="8">
        <f>COUNTIF(H43:H43,"R")</f>
        <v>0</v>
      </c>
      <c r="J43" s="8">
        <f>COUNTIF(H43:H43,"T")</f>
        <v>0</v>
      </c>
      <c r="K43" s="9" t="str">
        <f>IF(G43="","",IF(G43=100,IF(I43&gt;0,"Tidak Valid",IF((I43+J43)&gt;0,"Valid","Tidak Valid")),IF(I43=0,"Tidak Valid",IF((I43+J43)&gt;0,"Valid","Tidak Valid"))))</f>
        <v/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spans="1:52" customHeight="1" ht="20">
      <c r="A44" s="7">
        <v>38</v>
      </c>
      <c r="B44" s="7" t="s">
        <v>163</v>
      </c>
      <c r="C44" s="7" t="s">
        <v>164</v>
      </c>
      <c r="D44" s="7">
        <v>1</v>
      </c>
      <c r="E44" s="7" t="s">
        <v>165</v>
      </c>
      <c r="F44" s="7" t="s">
        <v>166</v>
      </c>
      <c r="G44" s="11"/>
      <c r="H44" s="11"/>
      <c r="I44" s="8">
        <f>COUNTIF(H44:H44,"R")</f>
        <v>0</v>
      </c>
      <c r="J44" s="8">
        <f>COUNTIF(H44:H44,"T")</f>
        <v>0</v>
      </c>
      <c r="K44" s="9" t="str">
        <f>IF(G44="","",IF(G44=100,IF(I44&gt;0,"Tidak Valid",IF((I44+J44)&gt;0,"Valid","Tidak Valid")),IF(I44=0,"Tidak Valid",IF((I44+J44)&gt;0,"Valid","Tidak Valid"))))</f>
        <v/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spans="1:52" customHeight="1" ht="20">
      <c r="A45" s="7">
        <v>39</v>
      </c>
      <c r="B45" s="7" t="s">
        <v>167</v>
      </c>
      <c r="C45" s="7" t="s">
        <v>168</v>
      </c>
      <c r="D45" s="7">
        <v>1</v>
      </c>
      <c r="E45" s="7" t="s">
        <v>169</v>
      </c>
      <c r="F45" s="7" t="s">
        <v>170</v>
      </c>
      <c r="G45" s="11"/>
      <c r="H45" s="11"/>
      <c r="I45" s="8">
        <f>COUNTIF(H45:H45,"R")</f>
        <v>0</v>
      </c>
      <c r="J45" s="8">
        <f>COUNTIF(H45:H45,"T")</f>
        <v>0</v>
      </c>
      <c r="K45" s="9" t="str">
        <f>IF(G45="","",IF(G45=100,IF(I45&gt;0,"Tidak Valid",IF((I45+J45)&gt;0,"Valid","Tidak Valid")),IF(I45=0,"Tidak Valid",IF((I45+J45)&gt;0,"Valid","Tidak Valid"))))</f>
        <v/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spans="1:52" customHeight="1" ht="20">
      <c r="A46" s="7">
        <v>40</v>
      </c>
      <c r="B46" s="7" t="s">
        <v>171</v>
      </c>
      <c r="C46" s="7" t="s">
        <v>172</v>
      </c>
      <c r="D46" s="7">
        <v>1</v>
      </c>
      <c r="E46" s="7" t="s">
        <v>173</v>
      </c>
      <c r="F46" s="7" t="s">
        <v>174</v>
      </c>
      <c r="G46" s="11"/>
      <c r="H46" s="11"/>
      <c r="I46" s="8">
        <f>COUNTIF(H46:H46,"R")</f>
        <v>0</v>
      </c>
      <c r="J46" s="8">
        <f>COUNTIF(H46:H46,"T")</f>
        <v>0</v>
      </c>
      <c r="K46" s="9" t="str">
        <f>IF(G46="","",IF(G46=100,IF(I46&gt;0,"Tidak Valid",IF((I46+J46)&gt;0,"Valid","Tidak Valid")),IF(I46=0,"Tidak Valid",IF((I46+J46)&gt;0,"Valid","Tidak Valid"))))</f>
        <v/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8" spans="1:52">
      <c r="A48" s="1" t="s">
        <v>175</v>
      </c>
    </row>
    <row r="49" spans="1:52">
      <c r="A49" t="s">
        <v>176</v>
      </c>
    </row>
    <row r="50" spans="1:52">
      <c r="A50" s="2" t="s">
        <v>177</v>
      </c>
    </row>
    <row r="51" spans="1:52">
      <c r="A51" t="s">
        <v>178</v>
      </c>
    </row>
    <row r="52" spans="1:52">
      <c r="A52" t="s">
        <v>179</v>
      </c>
    </row>
    <row r="53" spans="1:52">
      <c r="A53" t="s">
        <v>180</v>
      </c>
    </row>
    <row r="54" spans="1:52">
      <c r="A54" t="s">
        <v>181</v>
      </c>
    </row>
  </sheetData>
  <sheetProtection password="E249" sheet="1"/>
  <mergeCells>
    <mergeCell ref="A3:A6"/>
    <mergeCell ref="B3:B6"/>
    <mergeCell ref="C3:C6"/>
    <mergeCell ref="D3:D6"/>
    <mergeCell ref="E3:E6"/>
    <mergeCell ref="F3:F6"/>
    <mergeCell ref="G3:G6"/>
    <mergeCell ref="H3:H3"/>
    <mergeCell ref="I3:K3"/>
  </mergeCells>
  <dataValidations count="80"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7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7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8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8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9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9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0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0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1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1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2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2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3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3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4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4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5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5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6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6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7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7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8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8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9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9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0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0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1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1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2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2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3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3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4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4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5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5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6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6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7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7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8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8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9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9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0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0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1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1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2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2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3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3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4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4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5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5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6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6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7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7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8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8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9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9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40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40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41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41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42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42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43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43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44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44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45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45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46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46">
      <formula1>"T,R"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2025-12-07T07:02:40+00:00</dcterms:created>
  <dcterms:modified xsi:type="dcterms:W3CDTF">2025-12-07T07:02:40+00:00</dcterms:modified>
  <dc:title>Untitled Spreadsheet</dc:title>
  <dc:description/>
  <dc:subject/>
  <cp:keywords/>
  <cp:category/>
</cp:coreProperties>
</file>