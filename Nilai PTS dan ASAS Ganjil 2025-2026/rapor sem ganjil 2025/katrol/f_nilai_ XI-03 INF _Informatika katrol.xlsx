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42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<sst xmlns="http://schemas.openxmlformats.org/spreadsheetml/2006/main" count="305" uniqueCount="188">
  <si>
    <t xml:space="preserve">FORMAT IMPORT NILAI RAPOR INFORMATIKA, KELAS  XI-03 INF </t>
  </si>
  <si>
    <t>98981248-caa2-4c39-a141-99091d677f1f</t>
  </si>
  <si>
    <t>NO</t>
  </si>
  <si>
    <t>NILRPT</t>
  </si>
  <si>
    <t>NISN</t>
  </si>
  <si>
    <t>NAMA SISWA</t>
  </si>
  <si>
    <t>NILAI RAPOR</t>
  </si>
  <si>
    <t>TINGKAT KETERCAPAIAN TP</t>
  </si>
  <si>
    <t>VALIDASI</t>
  </si>
  <si>
    <t>e316f9b8-6410-4d6d-bf96-2f9381c0415b</t>
  </si>
  <si>
    <t>d7faa9bb-2315-4d1f-91d8-ea3e05a3870d</t>
  </si>
  <si>
    <t>044c6346-d4a7-42a8-9e36-2f19ab8843c5</t>
  </si>
  <si>
    <t>Informatika masa kini dan masa depan</t>
  </si>
  <si>
    <t>strategi algoritmik serta menuliskan program sederhana</t>
  </si>
  <si>
    <t>mengidentifikasi dan mengevaluasi dampak sosial informatika untuk mengembangkan solusi yang tepat</t>
  </si>
  <si>
    <t>TP.1112</t>
  </si>
  <si>
    <t>TP.1113</t>
  </si>
  <si>
    <t>TP.1114</t>
  </si>
  <si>
    <t>TR</t>
  </si>
  <si>
    <t>OP</t>
  </si>
  <si>
    <t>NILAI</t>
  </si>
  <si>
    <t>f88191e2-3dce-11e5-bc45-2f2b8bc36b53</t>
  </si>
  <si>
    <t>ffb017af-f343-421d-b7d3-3ea0697d2ca0</t>
  </si>
  <si>
    <t>0081443370</t>
  </si>
  <si>
    <t>ABDHI RESTU PRATAMA</t>
  </si>
  <si>
    <t>T</t>
  </si>
  <si>
    <t>R</t>
  </si>
  <si>
    <t>043a2256-4cd4-11e5-9716-0309c84c3b60</t>
  </si>
  <si>
    <t>97a5c513-24b3-46f8-81fa-8eaaece1bd93</t>
  </si>
  <si>
    <t>0077233308</t>
  </si>
  <si>
    <t>ADEELA HALWA KHAIRANI</t>
  </si>
  <si>
    <t>6543e62c-5e2c-11e5-9638-13459c36ea51</t>
  </si>
  <si>
    <t>f2c531e4-8baa-424d-b8bd-8bf456cd81a6</t>
  </si>
  <si>
    <t>0095530152</t>
  </si>
  <si>
    <t>AGNA ARUNI AMALIA</t>
  </si>
  <si>
    <t>81b1bd2c-44ee-11e5-af8e-afc8db86757d</t>
  </si>
  <si>
    <t>a1c9156e-f417-4fd0-bd2c-59b7904e8729</t>
  </si>
  <si>
    <t>0098409105</t>
  </si>
  <si>
    <t>ALVIN NURAHMAN</t>
  </si>
  <si>
    <t>8b5426d2-3e9d-11e5-8fa2-33c54302d761</t>
  </si>
  <si>
    <t>e8c26ab4-bdcf-4615-9999-f207fcfa4fa3</t>
  </si>
  <si>
    <t>0085965772</t>
  </si>
  <si>
    <t>AMALIA TRIYANI</t>
  </si>
  <si>
    <t>dae8e1a2-3d07-11e5-bd3b-d33e4b3aa1ed</t>
  </si>
  <si>
    <t>5010a438-a1bc-4c48-88e1-2286b24ec2fa</t>
  </si>
  <si>
    <t>0086322601</t>
  </si>
  <si>
    <t>AMELIA PUTRI PRATIWI</t>
  </si>
  <si>
    <t>67e6b8fc-42a0-11e5-a2df-5f38f07d2172</t>
  </si>
  <si>
    <t>d526cb98-0bb2-43a5-a274-2ce84d41a883</t>
  </si>
  <si>
    <t>0096701256</t>
  </si>
  <si>
    <t>ANIS FITRY</t>
  </si>
  <si>
    <t>f1c1702c-4ef7-11e5-89ad-676b1b8f7c11</t>
  </si>
  <si>
    <t>81e3ef26-f710-4a10-8800-30923b6f04cd</t>
  </si>
  <si>
    <t>0085414542</t>
  </si>
  <si>
    <t>ANUGRAH WIYASA</t>
  </si>
  <si>
    <t>5c62acf8-4a06-11e5-afe4-9b5eb3b52c13</t>
  </si>
  <si>
    <t>24c55a5d-1057-4f8f-8537-e117faff5e8f</t>
  </si>
  <si>
    <t>0094352212</t>
  </si>
  <si>
    <t>ARLYN NAFIZA PUTRI RAHMAN</t>
  </si>
  <si>
    <t>938cec79-f59b-42d6-a237-d593bc40d5a8</t>
  </si>
  <si>
    <t>323a3686-c1c1-499d-b5b1-9e7c99588379</t>
  </si>
  <si>
    <t>3081028826</t>
  </si>
  <si>
    <t>CAHYA KUMAIRA PUTRI HIDAYAH</t>
  </si>
  <si>
    <t>5fc26a80-44f4-11e5-8844-1fae1e55940d</t>
  </si>
  <si>
    <t>c9912928-4418-47c6-ac41-88db69ef9a06</t>
  </si>
  <si>
    <t>0097984469</t>
  </si>
  <si>
    <t>CHIKA SAKURA</t>
  </si>
  <si>
    <t>c6387712-3fb5-11e5-96f1-8bf8481d3dfe</t>
  </si>
  <si>
    <t>5c14df43-874f-4a85-9c38-9df702aee0e8</t>
  </si>
  <si>
    <t>0101897198</t>
  </si>
  <si>
    <t>DEWI ANDRIYANI</t>
  </si>
  <si>
    <t>b7424b82-51e1-11e5-bbe8-37ce80a93096</t>
  </si>
  <si>
    <t>e0b2af9a-f026-4b45-8659-9769880ae445</t>
  </si>
  <si>
    <t>0093030566</t>
  </si>
  <si>
    <t>DIANA ARISTA</t>
  </si>
  <si>
    <t>b47c79ab-0ba5-11ec-ae6a-42010aba8125</t>
  </si>
  <si>
    <t>104e1ef1-fc0f-45b6-ad56-1bb26c7066e4</t>
  </si>
  <si>
    <t>0092065253</t>
  </si>
  <si>
    <t>FILDZA KHAIRINA RIDWAN</t>
  </si>
  <si>
    <t>2c08a49c-b150-4c80-baa3-fd76f6ea2f01</t>
  </si>
  <si>
    <t>0d1177fa-9f25-44d3-85c3-593e55344bd9</t>
  </si>
  <si>
    <t>3090168065</t>
  </si>
  <si>
    <t>GARNETTA ARTANTY</t>
  </si>
  <si>
    <t>0966923e-3f03-11e5-b863-83a499daf92b</t>
  </si>
  <si>
    <t>960e2932-1b41-4383-b552-444e59d466f6</t>
  </si>
  <si>
    <t>0099966202</t>
  </si>
  <si>
    <t>GHIANDRA MAULANA</t>
  </si>
  <si>
    <t>059f12e8-5204-11e5-a23b-e3c141aec469</t>
  </si>
  <si>
    <t>30cadb35-1a0f-4057-9489-c6819ee96ffa</t>
  </si>
  <si>
    <t>0091430065</t>
  </si>
  <si>
    <t>INTAN AULIA HIDAYAH</t>
  </si>
  <si>
    <t>5d8f0472-5132-11e5-b432-47e2e3575227</t>
  </si>
  <si>
    <t>4791c803-8761-4cb7-b110-503f41cf7d61</t>
  </si>
  <si>
    <t>0083864591</t>
  </si>
  <si>
    <t>JIHAN NAQIYA</t>
  </si>
  <si>
    <t>7f2e503e-394b-4989-b2b6-dff16e1adaa4</t>
  </si>
  <si>
    <t>e0a3bc4c-5b75-4ab1-bbb4-a5105b07806e</t>
  </si>
  <si>
    <t>0096630335</t>
  </si>
  <si>
    <t>KAFKA ABDEE HAFIEDZ</t>
  </si>
  <si>
    <t>acb44e54-3d41-11e5-a0a6-d7d698cfb79e</t>
  </si>
  <si>
    <t>1444e17a-247a-49bd-9aab-52b7c564e588</t>
  </si>
  <si>
    <t>0079470223</t>
  </si>
  <si>
    <t>KENFITRIA SALSABILA PEGARANI</t>
  </si>
  <si>
    <t>998f1674-51e1-11e5-9597-ab0c8dd0e3d1</t>
  </si>
  <si>
    <t>83e44a6f-95c3-49df-894f-41a849f32017</t>
  </si>
  <si>
    <t>0089775160</t>
  </si>
  <si>
    <t>LUBNA LUTFIFFAH</t>
  </si>
  <si>
    <t>e4c3d102-4291-11e5-8352-43708841f981</t>
  </si>
  <si>
    <t>81a1ca5c-5968-458c-94c8-8625de61a804</t>
  </si>
  <si>
    <t>0081792912</t>
  </si>
  <si>
    <t>LUTFIAH OKTAFIANI</t>
  </si>
  <si>
    <t>065c3e17-efb8-4717-b09b-7105f4b0ed06</t>
  </si>
  <si>
    <t>9c42e3ba-3a12-4ba9-9f1c-44fa20880441</t>
  </si>
  <si>
    <t>0093717526</t>
  </si>
  <si>
    <t>MALFA RAISYA KHANSA</t>
  </si>
  <si>
    <t>5046859c-3f21-11e5-87a2-a3f851425232</t>
  </si>
  <si>
    <t>c9b7f047-f37c-47d0-8e63-4c489eacc4d5</t>
  </si>
  <si>
    <t>0091973930</t>
  </si>
  <si>
    <t>MEGA LESTARI</t>
  </si>
  <si>
    <t>4e19842c-44fd-11e5-bf46-07899192b892</t>
  </si>
  <si>
    <t>0bea5f62-27d9-4785-a2ff-2df77a385c90</t>
  </si>
  <si>
    <t>0086007662</t>
  </si>
  <si>
    <t>MUHAMAD ALIFFIAN RAMADHANI</t>
  </si>
  <si>
    <t>e6f1c06a-40d4-11e5-8c93-d76eafab5305</t>
  </si>
  <si>
    <t>8b4fb588-d2f5-4dcd-ad8f-d9882ee5228f</t>
  </si>
  <si>
    <t>0092761255</t>
  </si>
  <si>
    <t>MUHAMMAD ARSYAD ALYASA</t>
  </si>
  <si>
    <t>13f65d8a-f4be-49ea-b839-5c7d09b2a010</t>
  </si>
  <si>
    <t>9eb067d2-1a23-4590-9d24-24b8e3a6be3e</t>
  </si>
  <si>
    <t>3098781299</t>
  </si>
  <si>
    <t>MUHAMMAD RIZKI MALIK ABDILAH</t>
  </si>
  <si>
    <t>d19fa2be-4baa-11e5-91bb-9f90ff291128</t>
  </si>
  <si>
    <t>566a5456-76b5-4008-937e-395e991f5c26</t>
  </si>
  <si>
    <t>0096209432</t>
  </si>
  <si>
    <t>MUHAMMAD ZIYAD ARHATTA</t>
  </si>
  <si>
    <t>7ca05a32-513c-11e5-ba9f-3f63d21811c1</t>
  </si>
  <si>
    <t>8a75cb6d-498e-4327-8337-d269f19ac0ab</t>
  </si>
  <si>
    <t>0082302994</t>
  </si>
  <si>
    <t>NABILLA KHOIRUNNISA</t>
  </si>
  <si>
    <t>2f91c52a-3f38-11e5-9b0f-5b1f414b3f29</t>
  </si>
  <si>
    <t>7ab836f8-cc83-4e99-b6be-440c01da93f5</t>
  </si>
  <si>
    <t>0085691465</t>
  </si>
  <si>
    <t>NAZWA HASNA PUTERI</t>
  </si>
  <si>
    <t>86353d26-3e25-11e5-8cca-5f1d1284fbdc</t>
  </si>
  <si>
    <t>3902928e-0716-4320-b51b-390e0534a548</t>
  </si>
  <si>
    <t>0099385990</t>
  </si>
  <si>
    <t>NISRINA ANDRIANI MARDIAH</t>
  </si>
  <si>
    <t>54ace326-1dce-11ec-a3a1-42010aba8125</t>
  </si>
  <si>
    <t>597fd9b2-4373-4dff-94d5-fcee8c8adb99</t>
  </si>
  <si>
    <t>0088405311</t>
  </si>
  <si>
    <t>OKTAVIANI FITRIA</t>
  </si>
  <si>
    <t>bfe662a2-486b-11e5-9ccc-0bc442109882</t>
  </si>
  <si>
    <t>5bcaecbe-4e69-4f81-b4bc-3cfed735e762</t>
  </si>
  <si>
    <t>0099022887</t>
  </si>
  <si>
    <t>PRISA RAHMA</t>
  </si>
  <si>
    <t>84ff9762-0f8e-11ec-ae6a-42010aba8125</t>
  </si>
  <si>
    <t>2ee0c6ab-31aa-4ab7-bcbc-ceb50baa2677</t>
  </si>
  <si>
    <t>0086113153</t>
  </si>
  <si>
    <t>PUTRI TSAMROTUL FUADAH</t>
  </si>
  <si>
    <t>88455e50-4629-11e5-8b31-774e1f935c3e</t>
  </si>
  <si>
    <t>4fda0dc7-4a8d-484a-9713-4c0822e21263</t>
  </si>
  <si>
    <t>0087973538</t>
  </si>
  <si>
    <t>RADEN MOCHAMAD REYHAN FIRDAUS</t>
  </si>
  <si>
    <t>8414eb44-42ef-11e5-a55b-63ebc0b79c43</t>
  </si>
  <si>
    <t>338d9ea1-f9e2-4fa1-9728-9759e7c5e40b</t>
  </si>
  <si>
    <t>0085808338</t>
  </si>
  <si>
    <t>REYSYA RINDU ANANDA</t>
  </si>
  <si>
    <t>d57a5fd4-499b-11e5-a020-6306ea0308aa</t>
  </si>
  <si>
    <t>42040daa-f799-4790-a61f-0cfbc21ed89c</t>
  </si>
  <si>
    <t>0088987256</t>
  </si>
  <si>
    <t>SAMMY ADHITYA RAHMAN</t>
  </si>
  <si>
    <t>28db5f40-3a45-11e5-a3f4-f3024a2f6ef9</t>
  </si>
  <si>
    <t>8cedef80-0480-485d-985c-f1faaf837c06</t>
  </si>
  <si>
    <t>0094726224</t>
  </si>
  <si>
    <t>SISKA UMAEROH</t>
  </si>
  <si>
    <t>5abe6de0-551b-11e5-abcb-bb55015f4322</t>
  </si>
  <si>
    <t>22539a29-8323-43b4-95e6-2072afa6ccf4</t>
  </si>
  <si>
    <t>0094336021</t>
  </si>
  <si>
    <t>ZIDANE DZIAULHAQ FAHDILLA</t>
  </si>
  <si>
    <t>KETERANGAN :</t>
  </si>
  <si>
    <t xml:space="preserve"> &gt; TP.1112 : Informatika masa kini dan masa depan</t>
  </si>
  <si>
    <t xml:space="preserve"> &gt; TP.1113 : strategi algoritmik serta menuliskan program sederhana</t>
  </si>
  <si>
    <t xml:space="preserve"> &gt; TP.1114 : mengidentifikasi dan mengevaluasi dampak sosial informatika untuk mengembangkan solusi yang tepat</t>
  </si>
  <si>
    <t>Catatan Validasi:</t>
  </si>
  <si>
    <t xml:space="preserve"> &gt; Jika Nilai Rapor Siswa kurang dari 100, silahkah dipilih Tujuan Pembelajaran mana saja yang masih perlu peningkatan (minimal 1)</t>
  </si>
  <si>
    <t xml:space="preserve"> &gt; Selain memilih Tujuan Pembelajaran yang masih perlu peningkatan, pilih juga Tujuan Pembelajaran yang mana saja sudah dicapai dengan sangat optimal (minimal 1)</t>
  </si>
  <si>
    <t xml:space="preserve"> &gt; Tidak mesti semua Tujuan Pembelajaran yarus dipilih, minimal pilih satu yang paling optimal dan satu yang paling minimal</t>
  </si>
  <si>
    <t xml:space="preserve"> &gt; Pahami Konsep Pembelajaran dan Asesmen sebagaimana telah dimuat pada Buku Panduan PPA agar tidak keliru dalam memahami format nilai rapor ini.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</si>
</sst>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b/>
      <sz val="12"/>
      <color rgb="FFFFFFFF"/>
      <name val="Calibri"/>
      <charset val="134"/>
    </font>
    <font>
      <b/>
      <sz val="11"/>
      <color rgb="FFFFFFFF"/>
      <name val="Calibri"/>
      <charset val="134"/>
    </font>
    <font>
      <b/>
      <sz val="12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Protection="1"/>
    <xf numFmtId="0" fontId="0" fillId="0" borderId="0" xfId="0" applyProtection="1"/>
    <xf numFmtId="0" fontId="2" fillId="2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top" wrapText="1"/>
    </xf>
    <xf numFmtId="0" fontId="3" fillId="2" borderId="1" xfId="0" applyFont="1" applyFill="1" applyBorder="1" applyAlignment="1" applyProtection="1">
      <alignment horizontal="center" vertical="top" wrapText="1"/>
      <protection locked="0"/>
    </xf>
    <xf numFmtId="0" fontId="0" fillId="0" borderId="1" xfId="0" applyBorder="1" applyAlignment="1" applyProtection="1">
      <alignment vertical="top" wrapText="1"/>
    </xf>
    <xf numFmtId="0" fontId="0" fillId="0" borderId="1" xfId="0" applyBorder="1" applyAlignment="1" applyProtection="1">
      <alignment horizontal="center" vertical="top" wrapText="1"/>
      <protection locked="0"/>
    </xf>
    <xf numFmtId="0" fontId="0" fillId="0" borderId="1" xfId="0" applyBorder="1" applyAlignment="1" applyProtection="1">
      <alignment horizontal="center" vertical="top" wrapText="1"/>
    </xf>
    <xf numFmtId="0" fontId="0" fillId="0" borderId="1" xfId="0" applyBorder="1" applyAlignment="1" applyProtection="1">
      <alignment vertical="top" wrapText="1"/>
      <protection hidden="1"/>
    </xf>
    <xf numFmtId="0" fontId="4" fillId="0" borderId="0" xfId="0" applyFont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55"/>
  <sheetViews>
    <sheetView tabSelected="1" topLeftCell="A19" workbookViewId="0">
      <selection activeCell="P34" sqref="P34"/>
    </sheetView>
  </sheetViews>
  <sheetFormatPr defaultColWidth="9" defaultRowHeight="14.25"/>
  <cols>
    <col min="1" max="1" width="5" customWidth="1"/>
    <col min="2" max="4" width="9" hidden="1" customWidth="1"/>
    <col min="5" max="5" width="13" customWidth="1"/>
    <col min="6" max="6" width="35.275" customWidth="1"/>
    <col min="7" max="7" width="17.7083333333333" customWidth="1"/>
    <col min="8" max="10" width="10" customWidth="1"/>
    <col min="11" max="12" width="9" hidden="1" customWidth="1"/>
    <col min="13" max="13" width="15" customWidth="1"/>
  </cols>
  <sheetData>
    <row r="1" ht="18" spans="1:52">
      <c r="A1" s="1" t="s">
        <v>0</v>
      </c>
      <c r="B1" s="2">
        <v>13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>
      <c r="A2" s="2"/>
      <c r="B2" s="2">
        <v>45</v>
      </c>
      <c r="C2" s="2" t="s">
        <v>1</v>
      </c>
      <c r="D2" s="2">
        <v>700106100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ht="25" customHeight="1" spans="1:52">
      <c r="A3" s="3" t="s">
        <v>2</v>
      </c>
      <c r="B3" s="3" t="s">
        <v>3</v>
      </c>
      <c r="C3" s="3" t="s">
        <v>3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/>
      <c r="J3" s="3"/>
      <c r="K3" s="3" t="s">
        <v>8</v>
      </c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ht="14.4" hidden="1" customHeight="1" spans="1:52">
      <c r="A4" s="4"/>
      <c r="B4" s="4"/>
      <c r="C4" s="4"/>
      <c r="D4" s="4"/>
      <c r="E4" s="4"/>
      <c r="F4" s="4"/>
      <c r="G4" s="5"/>
      <c r="H4" s="5" t="s">
        <v>9</v>
      </c>
      <c r="I4" s="5" t="s">
        <v>10</v>
      </c>
      <c r="J4" s="5" t="s">
        <v>11</v>
      </c>
      <c r="K4" s="4"/>
      <c r="L4" s="4"/>
      <c r="M4" s="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ht="14.4" hidden="1" customHeight="1" spans="1:52">
      <c r="A5" s="4"/>
      <c r="B5" s="4"/>
      <c r="C5" s="4"/>
      <c r="D5" s="4"/>
      <c r="E5" s="4"/>
      <c r="F5" s="4"/>
      <c r="G5" s="5"/>
      <c r="H5" s="5" t="s">
        <v>12</v>
      </c>
      <c r="I5" s="5" t="s">
        <v>13</v>
      </c>
      <c r="J5" s="5" t="s">
        <v>14</v>
      </c>
      <c r="K5" s="4"/>
      <c r="L5" s="4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>
      <c r="A6" s="4"/>
      <c r="B6" s="4"/>
      <c r="C6" s="4"/>
      <c r="D6" s="4"/>
      <c r="E6" s="4"/>
      <c r="F6" s="4"/>
      <c r="G6" s="5"/>
      <c r="H6" s="5" t="s">
        <v>15</v>
      </c>
      <c r="I6" s="5" t="s">
        <v>16</v>
      </c>
      <c r="J6" s="5" t="s">
        <v>17</v>
      </c>
      <c r="K6" s="4" t="s">
        <v>18</v>
      </c>
      <c r="L6" s="4" t="s">
        <v>19</v>
      </c>
      <c r="M6" s="4" t="s">
        <v>20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ht="20" customHeight="1" spans="1:52">
      <c r="A7" s="6">
        <v>1</v>
      </c>
      <c r="B7" s="6" t="s">
        <v>21</v>
      </c>
      <c r="C7" s="6" t="s">
        <v>22</v>
      </c>
      <c r="D7" s="6">
        <v>16</v>
      </c>
      <c r="E7" s="6" t="s">
        <v>23</v>
      </c>
      <c r="F7" s="6" t="s">
        <v>24</v>
      </c>
      <c r="G7" s="7">
        <v>90.7256089170221</v>
      </c>
      <c r="H7" s="7" t="s">
        <v>25</v>
      </c>
      <c r="I7" s="7" t="s">
        <v>26</v>
      </c>
      <c r="J7" s="7" t="s">
        <v>25</v>
      </c>
      <c r="K7" s="8">
        <f t="shared" ref="K7:K45" si="0">COUNTIF(H7:J7,"R")</f>
        <v>1</v>
      </c>
      <c r="L7" s="8">
        <f t="shared" ref="L7:L45" si="1">COUNTIF(H7:J7,"T")</f>
        <v>2</v>
      </c>
      <c r="M7" s="9" t="str">
        <f t="shared" ref="M7:M45" si="2">IF(G7="","",IF(G7=100,IF(K7&gt;0,"Tidak Valid",IF((K7+L7)&gt;0,"Valid","Tidak Valid")),IF(K7=0,"Tidak Valid",IF((K7+L7)&gt;0,"Valid","Tidak Valid"))))</f>
        <v>Valid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ht="20" customHeight="1" spans="1:52">
      <c r="A8" s="6">
        <v>2</v>
      </c>
      <c r="B8" s="6" t="s">
        <v>27</v>
      </c>
      <c r="C8" s="6" t="s">
        <v>28</v>
      </c>
      <c r="D8" s="6">
        <v>16</v>
      </c>
      <c r="E8" s="6" t="s">
        <v>29</v>
      </c>
      <c r="F8" s="6" t="s">
        <v>30</v>
      </c>
      <c r="G8" s="7">
        <v>90.6698316590982</v>
      </c>
      <c r="H8" s="7" t="s">
        <v>25</v>
      </c>
      <c r="I8" s="7" t="s">
        <v>26</v>
      </c>
      <c r="J8" s="7" t="s">
        <v>25</v>
      </c>
      <c r="K8" s="8">
        <f t="shared" si="0"/>
        <v>1</v>
      </c>
      <c r="L8" s="8">
        <f t="shared" si="1"/>
        <v>2</v>
      </c>
      <c r="M8" s="9" t="str">
        <f t="shared" si="2"/>
        <v>Valid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ht="20" customHeight="1" spans="1:52">
      <c r="A9" s="6">
        <v>3</v>
      </c>
      <c r="B9" s="6" t="s">
        <v>31</v>
      </c>
      <c r="C9" s="6" t="s">
        <v>32</v>
      </c>
      <c r="D9" s="6">
        <v>16</v>
      </c>
      <c r="E9" s="6" t="s">
        <v>33</v>
      </c>
      <c r="F9" s="6" t="s">
        <v>34</v>
      </c>
      <c r="G9" s="7">
        <v>90.7256089170221</v>
      </c>
      <c r="H9" s="7" t="s">
        <v>25</v>
      </c>
      <c r="I9" s="7" t="s">
        <v>26</v>
      </c>
      <c r="J9" s="7" t="s">
        <v>25</v>
      </c>
      <c r="K9" s="8">
        <f t="shared" si="0"/>
        <v>1</v>
      </c>
      <c r="L9" s="8">
        <f t="shared" si="1"/>
        <v>2</v>
      </c>
      <c r="M9" s="9" t="str">
        <f t="shared" si="2"/>
        <v>Valid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ht="20" customHeight="1" spans="1:52">
      <c r="A10" s="6">
        <v>4</v>
      </c>
      <c r="B10" s="6" t="s">
        <v>35</v>
      </c>
      <c r="C10" s="6" t="s">
        <v>36</v>
      </c>
      <c r="D10" s="6">
        <v>16</v>
      </c>
      <c r="E10" s="6" t="s">
        <v>37</v>
      </c>
      <c r="F10" s="6" t="s">
        <v>38</v>
      </c>
      <c r="G10" s="7">
        <v>91.2312737947801</v>
      </c>
      <c r="H10" s="7" t="s">
        <v>25</v>
      </c>
      <c r="I10" s="7" t="s">
        <v>26</v>
      </c>
      <c r="J10" s="7" t="s">
        <v>25</v>
      </c>
      <c r="K10" s="8">
        <f t="shared" si="0"/>
        <v>1</v>
      </c>
      <c r="L10" s="8">
        <f t="shared" si="1"/>
        <v>2</v>
      </c>
      <c r="M10" s="9" t="str">
        <f t="shared" si="2"/>
        <v>Valid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ht="20" customHeight="1" spans="1:52">
      <c r="A11" s="6">
        <v>5</v>
      </c>
      <c r="B11" s="6" t="s">
        <v>39</v>
      </c>
      <c r="C11" s="6" t="s">
        <v>40</v>
      </c>
      <c r="D11" s="6">
        <v>16</v>
      </c>
      <c r="E11" s="6" t="s">
        <v>41</v>
      </c>
      <c r="F11" s="6" t="s">
        <v>42</v>
      </c>
      <c r="G11" s="7">
        <v>90.7256089170221</v>
      </c>
      <c r="H11" s="7" t="s">
        <v>25</v>
      </c>
      <c r="I11" s="7" t="s">
        <v>26</v>
      </c>
      <c r="J11" s="7" t="s">
        <v>25</v>
      </c>
      <c r="K11" s="8">
        <f t="shared" si="0"/>
        <v>1</v>
      </c>
      <c r="L11" s="8">
        <f t="shared" si="1"/>
        <v>2</v>
      </c>
      <c r="M11" s="9" t="str">
        <f t="shared" si="2"/>
        <v>Valid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ht="20" customHeight="1" spans="1:52">
      <c r="A12" s="6">
        <v>6</v>
      </c>
      <c r="B12" s="6" t="s">
        <v>43</v>
      </c>
      <c r="C12" s="6" t="s">
        <v>44</v>
      </c>
      <c r="D12" s="6">
        <v>16</v>
      </c>
      <c r="E12" s="6" t="s">
        <v>45</v>
      </c>
      <c r="F12" s="6" t="s">
        <v>46</v>
      </c>
      <c r="G12" s="7">
        <v>90.402687950094</v>
      </c>
      <c r="H12" s="7" t="s">
        <v>25</v>
      </c>
      <c r="I12" s="7" t="s">
        <v>26</v>
      </c>
      <c r="J12" s="7" t="s">
        <v>25</v>
      </c>
      <c r="K12" s="8">
        <f t="shared" si="0"/>
        <v>1</v>
      </c>
      <c r="L12" s="8">
        <f t="shared" si="1"/>
        <v>2</v>
      </c>
      <c r="M12" s="9" t="str">
        <f t="shared" si="2"/>
        <v>Valid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ht="20" customHeight="1" spans="1:52">
      <c r="A13" s="6">
        <v>7</v>
      </c>
      <c r="B13" s="6" t="s">
        <v>47</v>
      </c>
      <c r="C13" s="6" t="s">
        <v>48</v>
      </c>
      <c r="D13" s="6">
        <v>16</v>
      </c>
      <c r="E13" s="6" t="s">
        <v>49</v>
      </c>
      <c r="F13" s="6" t="s">
        <v>50</v>
      </c>
      <c r="G13" s="7">
        <v>89.6717123067749</v>
      </c>
      <c r="H13" s="7" t="s">
        <v>25</v>
      </c>
      <c r="I13" s="7" t="s">
        <v>26</v>
      </c>
      <c r="J13" s="7" t="s">
        <v>25</v>
      </c>
      <c r="K13" s="8">
        <f t="shared" si="0"/>
        <v>1</v>
      </c>
      <c r="L13" s="8">
        <f t="shared" si="1"/>
        <v>2</v>
      </c>
      <c r="M13" s="9" t="str">
        <f t="shared" si="2"/>
        <v>Valid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ht="20" customHeight="1" spans="1:52">
      <c r="A14" s="6">
        <v>8</v>
      </c>
      <c r="B14" s="6" t="s">
        <v>51</v>
      </c>
      <c r="C14" s="6" t="s">
        <v>52</v>
      </c>
      <c r="D14" s="6">
        <v>16</v>
      </c>
      <c r="E14" s="6" t="s">
        <v>53</v>
      </c>
      <c r="F14" s="6" t="s">
        <v>54</v>
      </c>
      <c r="G14" s="7">
        <v>90.7054263565891</v>
      </c>
      <c r="H14" s="7" t="s">
        <v>25</v>
      </c>
      <c r="I14" s="7" t="s">
        <v>26</v>
      </c>
      <c r="J14" s="7" t="s">
        <v>25</v>
      </c>
      <c r="K14" s="8">
        <f t="shared" si="0"/>
        <v>1</v>
      </c>
      <c r="L14" s="8">
        <f t="shared" si="1"/>
        <v>2</v>
      </c>
      <c r="M14" s="9" t="str">
        <f t="shared" si="2"/>
        <v>Valid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ht="20" customHeight="1" spans="1:52">
      <c r="A15" s="6">
        <v>9</v>
      </c>
      <c r="B15" s="6" t="s">
        <v>55</v>
      </c>
      <c r="C15" s="6" t="s">
        <v>56</v>
      </c>
      <c r="D15" s="6">
        <v>16</v>
      </c>
      <c r="E15" s="6" t="s">
        <v>57</v>
      </c>
      <c r="F15" s="6" t="s">
        <v>58</v>
      </c>
      <c r="G15" s="7">
        <v>89.6717123067749</v>
      </c>
      <c r="H15" s="7" t="s">
        <v>25</v>
      </c>
      <c r="I15" s="7" t="s">
        <v>26</v>
      </c>
      <c r="J15" s="7" t="s">
        <v>25</v>
      </c>
      <c r="K15" s="8">
        <f t="shared" si="0"/>
        <v>1</v>
      </c>
      <c r="L15" s="8">
        <f t="shared" si="1"/>
        <v>2</v>
      </c>
      <c r="M15" s="9" t="str">
        <f t="shared" si="2"/>
        <v>Valid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ht="20" customHeight="1" spans="1:52">
      <c r="A16" s="6">
        <v>10</v>
      </c>
      <c r="B16" s="6" t="s">
        <v>59</v>
      </c>
      <c r="C16" s="6" t="s">
        <v>60</v>
      </c>
      <c r="D16" s="6">
        <v>16</v>
      </c>
      <c r="E16" s="6" t="s">
        <v>61</v>
      </c>
      <c r="F16" s="6" t="s">
        <v>62</v>
      </c>
      <c r="G16" s="7">
        <v>91.4771340764185</v>
      </c>
      <c r="H16" s="7" t="s">
        <v>25</v>
      </c>
      <c r="I16" s="7" t="s">
        <v>26</v>
      </c>
      <c r="J16" s="7" t="s">
        <v>25</v>
      </c>
      <c r="K16" s="8">
        <f t="shared" si="0"/>
        <v>1</v>
      </c>
      <c r="L16" s="8">
        <f t="shared" si="1"/>
        <v>2</v>
      </c>
      <c r="M16" s="9" t="str">
        <f t="shared" si="2"/>
        <v>Valid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ht="20" customHeight="1" spans="1:52">
      <c r="A17" s="6">
        <v>11</v>
      </c>
      <c r="B17" s="6" t="s">
        <v>63</v>
      </c>
      <c r="C17" s="6" t="s">
        <v>64</v>
      </c>
      <c r="D17" s="6">
        <v>16</v>
      </c>
      <c r="E17" s="6" t="s">
        <v>65</v>
      </c>
      <c r="F17" s="6" t="s">
        <v>66</v>
      </c>
      <c r="G17" s="7">
        <v>92.5009403238383</v>
      </c>
      <c r="H17" s="7" t="s">
        <v>25</v>
      </c>
      <c r="I17" s="7" t="s">
        <v>26</v>
      </c>
      <c r="J17" s="7" t="s">
        <v>25</v>
      </c>
      <c r="K17" s="8">
        <f t="shared" si="0"/>
        <v>1</v>
      </c>
      <c r="L17" s="8">
        <f t="shared" si="1"/>
        <v>2</v>
      </c>
      <c r="M17" s="9" t="str">
        <f t="shared" si="2"/>
        <v>Valid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ht="20" customHeight="1" spans="1:52">
      <c r="A18" s="6">
        <v>12</v>
      </c>
      <c r="B18" s="6" t="s">
        <v>67</v>
      </c>
      <c r="C18" s="6" t="s">
        <v>68</v>
      </c>
      <c r="D18" s="6">
        <v>16</v>
      </c>
      <c r="E18" s="6" t="s">
        <v>69</v>
      </c>
      <c r="F18" s="6" t="s">
        <v>70</v>
      </c>
      <c r="G18" s="7">
        <v>90.3322324664006</v>
      </c>
      <c r="H18" s="7" t="s">
        <v>25</v>
      </c>
      <c r="I18" s="7" t="s">
        <v>26</v>
      </c>
      <c r="J18" s="7" t="s">
        <v>25</v>
      </c>
      <c r="K18" s="8">
        <f t="shared" si="0"/>
        <v>1</v>
      </c>
      <c r="L18" s="8">
        <f t="shared" si="1"/>
        <v>2</v>
      </c>
      <c r="M18" s="9" t="str">
        <f t="shared" si="2"/>
        <v>Valid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ht="20" customHeight="1" spans="1:52">
      <c r="A19" s="6">
        <v>13</v>
      </c>
      <c r="B19" s="6" t="s">
        <v>71</v>
      </c>
      <c r="C19" s="6" t="s">
        <v>72</v>
      </c>
      <c r="D19" s="6">
        <v>16</v>
      </c>
      <c r="E19" s="6" t="s">
        <v>73</v>
      </c>
      <c r="F19" s="6" t="s">
        <v>74</v>
      </c>
      <c r="G19" s="7">
        <v>90.4496582725563</v>
      </c>
      <c r="H19" s="7" t="s">
        <v>25</v>
      </c>
      <c r="I19" s="7" t="s">
        <v>26</v>
      </c>
      <c r="J19" s="7" t="s">
        <v>25</v>
      </c>
      <c r="K19" s="8">
        <f t="shared" si="0"/>
        <v>1</v>
      </c>
      <c r="L19" s="8">
        <f t="shared" si="1"/>
        <v>2</v>
      </c>
      <c r="M19" s="9" t="str">
        <f t="shared" si="2"/>
        <v>Valid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ht="20" customHeight="1" spans="1:52">
      <c r="A20" s="6">
        <v>14</v>
      </c>
      <c r="B20" s="6" t="s">
        <v>75</v>
      </c>
      <c r="C20" s="6" t="s">
        <v>76</v>
      </c>
      <c r="D20" s="6">
        <v>16</v>
      </c>
      <c r="E20" s="6" t="s">
        <v>77</v>
      </c>
      <c r="F20" s="6" t="s">
        <v>78</v>
      </c>
      <c r="G20" s="7">
        <v>90.5289206917114</v>
      </c>
      <c r="H20" s="7" t="s">
        <v>25</v>
      </c>
      <c r="I20" s="7" t="s">
        <v>26</v>
      </c>
      <c r="J20" s="7" t="s">
        <v>25</v>
      </c>
      <c r="K20" s="8">
        <f t="shared" si="0"/>
        <v>1</v>
      </c>
      <c r="L20" s="8">
        <f t="shared" si="1"/>
        <v>2</v>
      </c>
      <c r="M20" s="9" t="str">
        <f t="shared" si="2"/>
        <v>Valid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ht="20" customHeight="1" spans="1:52">
      <c r="A21" s="6">
        <v>15</v>
      </c>
      <c r="B21" s="6" t="s">
        <v>79</v>
      </c>
      <c r="C21" s="6" t="s">
        <v>80</v>
      </c>
      <c r="D21" s="6">
        <v>16</v>
      </c>
      <c r="E21" s="6" t="s">
        <v>81</v>
      </c>
      <c r="F21" s="6" t="s">
        <v>82</v>
      </c>
      <c r="G21" s="7">
        <v>92.0569239943122</v>
      </c>
      <c r="H21" s="7" t="s">
        <v>25</v>
      </c>
      <c r="I21" s="7" t="s">
        <v>26</v>
      </c>
      <c r="J21" s="7" t="s">
        <v>25</v>
      </c>
      <c r="K21" s="8">
        <f t="shared" si="0"/>
        <v>1</v>
      </c>
      <c r="L21" s="8">
        <f t="shared" si="1"/>
        <v>2</v>
      </c>
      <c r="M21" s="9" t="str">
        <f t="shared" si="2"/>
        <v>Valid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ht="20" customHeight="1" spans="1:52">
      <c r="A22" s="6">
        <v>16</v>
      </c>
      <c r="B22" s="6" t="s">
        <v>83</v>
      </c>
      <c r="C22" s="6" t="s">
        <v>84</v>
      </c>
      <c r="D22" s="6">
        <v>16</v>
      </c>
      <c r="E22" s="6" t="s">
        <v>85</v>
      </c>
      <c r="F22" s="6" t="s">
        <v>86</v>
      </c>
      <c r="G22" s="7">
        <v>90.6322554011284</v>
      </c>
      <c r="H22" s="7" t="s">
        <v>25</v>
      </c>
      <c r="I22" s="7" t="s">
        <v>26</v>
      </c>
      <c r="J22" s="7" t="s">
        <v>25</v>
      </c>
      <c r="K22" s="8">
        <f t="shared" si="0"/>
        <v>1</v>
      </c>
      <c r="L22" s="8">
        <f t="shared" si="1"/>
        <v>2</v>
      </c>
      <c r="M22" s="9" t="str">
        <f t="shared" si="2"/>
        <v>Valid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ht="20" customHeight="1" spans="1:52">
      <c r="A23" s="6">
        <v>17</v>
      </c>
      <c r="B23" s="6" t="s">
        <v>87</v>
      </c>
      <c r="C23" s="6" t="s">
        <v>88</v>
      </c>
      <c r="D23" s="6">
        <v>16</v>
      </c>
      <c r="E23" s="6" t="s">
        <v>89</v>
      </c>
      <c r="F23" s="6" t="s">
        <v>90</v>
      </c>
      <c r="G23" s="7">
        <v>90.7696435943305</v>
      </c>
      <c r="H23" s="7" t="s">
        <v>25</v>
      </c>
      <c r="I23" s="7" t="s">
        <v>26</v>
      </c>
      <c r="J23" s="7" t="s">
        <v>25</v>
      </c>
      <c r="K23" s="8">
        <f t="shared" si="0"/>
        <v>1</v>
      </c>
      <c r="L23" s="8">
        <f t="shared" si="1"/>
        <v>2</v>
      </c>
      <c r="M23" s="9" t="str">
        <f t="shared" si="2"/>
        <v>Valid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ht="20" customHeight="1" spans="1:52">
      <c r="A24" s="6">
        <v>18</v>
      </c>
      <c r="B24" s="6" t="s">
        <v>91</v>
      </c>
      <c r="C24" s="6" t="s">
        <v>92</v>
      </c>
      <c r="D24" s="6">
        <v>16</v>
      </c>
      <c r="E24" s="6" t="s">
        <v>93</v>
      </c>
      <c r="F24" s="6" t="s">
        <v>94</v>
      </c>
      <c r="G24" s="7">
        <v>91.1248566579515</v>
      </c>
      <c r="H24" s="7" t="s">
        <v>25</v>
      </c>
      <c r="I24" s="7" t="s">
        <v>26</v>
      </c>
      <c r="J24" s="7" t="s">
        <v>25</v>
      </c>
      <c r="K24" s="8">
        <f t="shared" si="0"/>
        <v>1</v>
      </c>
      <c r="L24" s="8">
        <f t="shared" si="1"/>
        <v>2</v>
      </c>
      <c r="M24" s="9" t="str">
        <f t="shared" si="2"/>
        <v>Valid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ht="20" customHeight="1" spans="1:52">
      <c r="A25" s="6">
        <v>19</v>
      </c>
      <c r="B25" s="6" t="s">
        <v>95</v>
      </c>
      <c r="C25" s="6" t="s">
        <v>96</v>
      </c>
      <c r="D25" s="6">
        <v>16</v>
      </c>
      <c r="E25" s="6" t="s">
        <v>97</v>
      </c>
      <c r="F25" s="6" t="s">
        <v>98</v>
      </c>
      <c r="G25" s="7">
        <v>90.5242236594651</v>
      </c>
      <c r="H25" s="7" t="s">
        <v>25</v>
      </c>
      <c r="I25" s="7" t="s">
        <v>26</v>
      </c>
      <c r="J25" s="7" t="s">
        <v>25</v>
      </c>
      <c r="K25" s="8">
        <f t="shared" si="0"/>
        <v>1</v>
      </c>
      <c r="L25" s="8">
        <f t="shared" si="1"/>
        <v>2</v>
      </c>
      <c r="M25" s="9" t="str">
        <f t="shared" si="2"/>
        <v>Valid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ht="20" customHeight="1" spans="1:52">
      <c r="A26" s="6">
        <v>20</v>
      </c>
      <c r="B26" s="6" t="s">
        <v>99</v>
      </c>
      <c r="C26" s="6" t="s">
        <v>100</v>
      </c>
      <c r="D26" s="6">
        <v>16</v>
      </c>
      <c r="E26" s="6" t="s">
        <v>101</v>
      </c>
      <c r="F26" s="6" t="s">
        <v>102</v>
      </c>
      <c r="G26" s="7">
        <v>90.7490940782533</v>
      </c>
      <c r="H26" s="7" t="s">
        <v>25</v>
      </c>
      <c r="I26" s="7" t="s">
        <v>26</v>
      </c>
      <c r="J26" s="7" t="s">
        <v>25</v>
      </c>
      <c r="K26" s="8">
        <f t="shared" si="0"/>
        <v>1</v>
      </c>
      <c r="L26" s="8">
        <f t="shared" si="1"/>
        <v>2</v>
      </c>
      <c r="M26" s="9" t="str">
        <f t="shared" si="2"/>
        <v>Valid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ht="20" customHeight="1" spans="1:52">
      <c r="A27" s="6">
        <v>21</v>
      </c>
      <c r="B27" s="6" t="s">
        <v>103</v>
      </c>
      <c r="C27" s="6" t="s">
        <v>104</v>
      </c>
      <c r="D27" s="6">
        <v>16</v>
      </c>
      <c r="E27" s="6" t="s">
        <v>105</v>
      </c>
      <c r="F27" s="6" t="s">
        <v>106</v>
      </c>
      <c r="G27" s="7">
        <v>90.7725792394844</v>
      </c>
      <c r="H27" s="7" t="s">
        <v>25</v>
      </c>
      <c r="I27" s="7" t="s">
        <v>26</v>
      </c>
      <c r="J27" s="7" t="s">
        <v>25</v>
      </c>
      <c r="K27" s="8">
        <f t="shared" si="0"/>
        <v>1</v>
      </c>
      <c r="L27" s="8">
        <f t="shared" si="1"/>
        <v>2</v>
      </c>
      <c r="M27" s="9" t="str">
        <f t="shared" si="2"/>
        <v>Valid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ht="20" customHeight="1" spans="1:52">
      <c r="A28" s="6">
        <v>22</v>
      </c>
      <c r="B28" s="6" t="s">
        <v>107</v>
      </c>
      <c r="C28" s="6" t="s">
        <v>108</v>
      </c>
      <c r="D28" s="6">
        <v>16</v>
      </c>
      <c r="E28" s="6" t="s">
        <v>109</v>
      </c>
      <c r="F28" s="6" t="s">
        <v>110</v>
      </c>
      <c r="G28" s="7">
        <v>89.8824916288243</v>
      </c>
      <c r="H28" s="7" t="s">
        <v>25</v>
      </c>
      <c r="I28" s="7" t="s">
        <v>26</v>
      </c>
      <c r="J28" s="7" t="s">
        <v>25</v>
      </c>
      <c r="K28" s="8">
        <f t="shared" si="0"/>
        <v>1</v>
      </c>
      <c r="L28" s="8">
        <f t="shared" si="1"/>
        <v>2</v>
      </c>
      <c r="M28" s="9" t="str">
        <f t="shared" si="2"/>
        <v>Valid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ht="20" customHeight="1" spans="1:52">
      <c r="A29" s="6">
        <v>23</v>
      </c>
      <c r="B29" s="6" t="s">
        <v>111</v>
      </c>
      <c r="C29" s="6" t="s">
        <v>112</v>
      </c>
      <c r="D29" s="6">
        <v>16</v>
      </c>
      <c r="E29" s="6" t="s">
        <v>113</v>
      </c>
      <c r="F29" s="6" t="s">
        <v>114</v>
      </c>
      <c r="G29" s="7">
        <v>91.4771340764185</v>
      </c>
      <c r="H29" s="7" t="s">
        <v>25</v>
      </c>
      <c r="I29" s="7" t="s">
        <v>26</v>
      </c>
      <c r="J29" s="7" t="s">
        <v>25</v>
      </c>
      <c r="K29" s="8">
        <f t="shared" si="0"/>
        <v>1</v>
      </c>
      <c r="L29" s="8">
        <f t="shared" si="1"/>
        <v>2</v>
      </c>
      <c r="M29" s="9" t="str">
        <f t="shared" si="2"/>
        <v>Valid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ht="20" customHeight="1" spans="1:52">
      <c r="A30" s="6">
        <v>24</v>
      </c>
      <c r="B30" s="6" t="s">
        <v>115</v>
      </c>
      <c r="C30" s="6" t="s">
        <v>116</v>
      </c>
      <c r="D30" s="6">
        <v>16</v>
      </c>
      <c r="E30" s="6" t="s">
        <v>117</v>
      </c>
      <c r="F30" s="6" t="s">
        <v>118</v>
      </c>
      <c r="G30" s="7">
        <v>90.7256089170221</v>
      </c>
      <c r="H30" s="7" t="s">
        <v>25</v>
      </c>
      <c r="I30" s="7" t="s">
        <v>26</v>
      </c>
      <c r="J30" s="7" t="s">
        <v>25</v>
      </c>
      <c r="K30" s="8">
        <f t="shared" si="0"/>
        <v>1</v>
      </c>
      <c r="L30" s="8">
        <f t="shared" si="1"/>
        <v>2</v>
      </c>
      <c r="M30" s="9" t="str">
        <f t="shared" si="2"/>
        <v>Valid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ht="20" customHeight="1" spans="1:52">
      <c r="A31" s="6">
        <v>25</v>
      </c>
      <c r="B31" s="6" t="s">
        <v>119</v>
      </c>
      <c r="C31" s="6" t="s">
        <v>120</v>
      </c>
      <c r="D31" s="6">
        <v>16</v>
      </c>
      <c r="E31" s="6" t="s">
        <v>121</v>
      </c>
      <c r="F31" s="6" t="s">
        <v>122</v>
      </c>
      <c r="G31" s="7">
        <v>90.866519884409</v>
      </c>
      <c r="H31" s="7" t="s">
        <v>25</v>
      </c>
      <c r="I31" s="7" t="s">
        <v>26</v>
      </c>
      <c r="J31" s="7" t="s">
        <v>25</v>
      </c>
      <c r="K31" s="8">
        <f t="shared" si="0"/>
        <v>1</v>
      </c>
      <c r="L31" s="8">
        <f t="shared" si="1"/>
        <v>2</v>
      </c>
      <c r="M31" s="9" t="str">
        <f t="shared" si="2"/>
        <v>Valid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ht="20" customHeight="1" spans="1:52">
      <c r="A32" s="6">
        <v>26</v>
      </c>
      <c r="B32" s="6" t="s">
        <v>123</v>
      </c>
      <c r="C32" s="6" t="s">
        <v>124</v>
      </c>
      <c r="D32" s="6">
        <v>16</v>
      </c>
      <c r="E32" s="6" t="s">
        <v>125</v>
      </c>
      <c r="F32" s="6" t="s">
        <v>126</v>
      </c>
      <c r="G32" s="7">
        <v>89.451538920233</v>
      </c>
      <c r="H32" s="7" t="s">
        <v>25</v>
      </c>
      <c r="I32" s="7" t="s">
        <v>26</v>
      </c>
      <c r="J32" s="7" t="s">
        <v>25</v>
      </c>
      <c r="K32" s="8">
        <f t="shared" si="0"/>
        <v>1</v>
      </c>
      <c r="L32" s="8">
        <f t="shared" si="1"/>
        <v>2</v>
      </c>
      <c r="M32" s="9" t="str">
        <f t="shared" si="2"/>
        <v>Valid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ht="20" customHeight="1" spans="1:52">
      <c r="A33" s="6">
        <v>27</v>
      </c>
      <c r="B33" s="6" t="s">
        <v>127</v>
      </c>
      <c r="C33" s="6" t="s">
        <v>128</v>
      </c>
      <c r="D33" s="6">
        <v>16</v>
      </c>
      <c r="E33" s="6" t="s">
        <v>129</v>
      </c>
      <c r="F33" s="6" t="s">
        <v>130</v>
      </c>
      <c r="G33" s="7">
        <v>91.4661254070914</v>
      </c>
      <c r="H33" s="7" t="s">
        <v>25</v>
      </c>
      <c r="I33" s="7" t="s">
        <v>26</v>
      </c>
      <c r="J33" s="7" t="s">
        <v>25</v>
      </c>
      <c r="K33" s="8">
        <f t="shared" si="0"/>
        <v>1</v>
      </c>
      <c r="L33" s="8">
        <f t="shared" si="1"/>
        <v>2</v>
      </c>
      <c r="M33" s="9" t="str">
        <f t="shared" si="2"/>
        <v>Valid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ht="20" customHeight="1" spans="1:52">
      <c r="A34" s="6">
        <v>28</v>
      </c>
      <c r="B34" s="6" t="s">
        <v>131</v>
      </c>
      <c r="C34" s="6" t="s">
        <v>132</v>
      </c>
      <c r="D34" s="6">
        <v>16</v>
      </c>
      <c r="E34" s="6" t="s">
        <v>133</v>
      </c>
      <c r="F34" s="6" t="s">
        <v>134</v>
      </c>
      <c r="G34" s="7">
        <v>90.9839456905647</v>
      </c>
      <c r="H34" s="7" t="s">
        <v>25</v>
      </c>
      <c r="I34" s="7" t="s">
        <v>26</v>
      </c>
      <c r="J34" s="7" t="s">
        <v>25</v>
      </c>
      <c r="K34" s="8">
        <f t="shared" si="0"/>
        <v>1</v>
      </c>
      <c r="L34" s="8">
        <f t="shared" si="1"/>
        <v>2</v>
      </c>
      <c r="M34" s="9" t="str">
        <f t="shared" si="2"/>
        <v>Valid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ht="20" customHeight="1" spans="1:52">
      <c r="A35" s="6">
        <v>29</v>
      </c>
      <c r="B35" s="6" t="s">
        <v>135</v>
      </c>
      <c r="C35" s="6" t="s">
        <v>136</v>
      </c>
      <c r="D35" s="6">
        <v>16</v>
      </c>
      <c r="E35" s="6" t="s">
        <v>137</v>
      </c>
      <c r="F35" s="6" t="s">
        <v>138</v>
      </c>
      <c r="G35" s="7">
        <v>93</v>
      </c>
      <c r="H35" s="7" t="s">
        <v>25</v>
      </c>
      <c r="I35" s="7" t="s">
        <v>26</v>
      </c>
      <c r="J35" s="7" t="s">
        <v>25</v>
      </c>
      <c r="K35" s="8">
        <f t="shared" si="0"/>
        <v>1</v>
      </c>
      <c r="L35" s="8">
        <f t="shared" si="1"/>
        <v>2</v>
      </c>
      <c r="M35" s="9" t="str">
        <f t="shared" si="2"/>
        <v>Valid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ht="20" customHeight="1" spans="1:52">
      <c r="A36" s="6">
        <v>30</v>
      </c>
      <c r="B36" s="6" t="s">
        <v>139</v>
      </c>
      <c r="C36" s="6" t="s">
        <v>140</v>
      </c>
      <c r="D36" s="6">
        <v>16</v>
      </c>
      <c r="E36" s="6" t="s">
        <v>141</v>
      </c>
      <c r="F36" s="6" t="s">
        <v>142</v>
      </c>
      <c r="G36" s="7">
        <v>90.7725792394844</v>
      </c>
      <c r="H36" s="7" t="s">
        <v>25</v>
      </c>
      <c r="I36" s="7" t="s">
        <v>26</v>
      </c>
      <c r="J36" s="7" t="s">
        <v>25</v>
      </c>
      <c r="K36" s="8">
        <f t="shared" si="0"/>
        <v>1</v>
      </c>
      <c r="L36" s="8">
        <f t="shared" si="1"/>
        <v>2</v>
      </c>
      <c r="M36" s="9" t="str">
        <f t="shared" si="2"/>
        <v>Valid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ht="20" customHeight="1" spans="1:52">
      <c r="A37" s="6">
        <v>31</v>
      </c>
      <c r="B37" s="6" t="s">
        <v>143</v>
      </c>
      <c r="C37" s="6" t="s">
        <v>144</v>
      </c>
      <c r="D37" s="6">
        <v>16</v>
      </c>
      <c r="E37" s="6" t="s">
        <v>145</v>
      </c>
      <c r="F37" s="6" t="s">
        <v>146</v>
      </c>
      <c r="G37" s="7">
        <v>90.7725792394844</v>
      </c>
      <c r="H37" s="7" t="s">
        <v>25</v>
      </c>
      <c r="I37" s="7" t="s">
        <v>26</v>
      </c>
      <c r="J37" s="7" t="s">
        <v>25</v>
      </c>
      <c r="K37" s="8">
        <f t="shared" si="0"/>
        <v>1</v>
      </c>
      <c r="L37" s="8">
        <f t="shared" si="1"/>
        <v>2</v>
      </c>
      <c r="M37" s="9" t="str">
        <f t="shared" si="2"/>
        <v>Valid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ht="20" customHeight="1" spans="1:52">
      <c r="A38" s="6">
        <v>32</v>
      </c>
      <c r="B38" s="6" t="s">
        <v>147</v>
      </c>
      <c r="C38" s="6" t="s">
        <v>148</v>
      </c>
      <c r="D38" s="6">
        <v>16</v>
      </c>
      <c r="E38" s="6" t="s">
        <v>149</v>
      </c>
      <c r="F38" s="6" t="s">
        <v>150</v>
      </c>
      <c r="G38" s="7">
        <v>90.4496582725563</v>
      </c>
      <c r="H38" s="7" t="s">
        <v>25</v>
      </c>
      <c r="I38" s="7" t="s">
        <v>26</v>
      </c>
      <c r="J38" s="7" t="s">
        <v>25</v>
      </c>
      <c r="K38" s="8">
        <f t="shared" si="0"/>
        <v>1</v>
      </c>
      <c r="L38" s="8">
        <f t="shared" si="1"/>
        <v>2</v>
      </c>
      <c r="M38" s="9" t="str">
        <f t="shared" si="2"/>
        <v>Valid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ht="20" customHeight="1" spans="1:52">
      <c r="A39" s="6">
        <v>33</v>
      </c>
      <c r="B39" s="6" t="s">
        <v>151</v>
      </c>
      <c r="C39" s="6" t="s">
        <v>152</v>
      </c>
      <c r="D39" s="6">
        <v>16</v>
      </c>
      <c r="E39" s="6" t="s">
        <v>153</v>
      </c>
      <c r="F39" s="6" t="s">
        <v>154</v>
      </c>
      <c r="G39" s="7">
        <v>90.4402642080639</v>
      </c>
      <c r="H39" s="7" t="s">
        <v>25</v>
      </c>
      <c r="I39" s="7" t="s">
        <v>26</v>
      </c>
      <c r="J39" s="7" t="s">
        <v>25</v>
      </c>
      <c r="K39" s="8">
        <f t="shared" si="0"/>
        <v>1</v>
      </c>
      <c r="L39" s="8">
        <f t="shared" si="1"/>
        <v>2</v>
      </c>
      <c r="M39" s="9" t="str">
        <f t="shared" si="2"/>
        <v>Valid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ht="20" customHeight="1" spans="1:52">
      <c r="A40" s="6">
        <v>34</v>
      </c>
      <c r="B40" s="6" t="s">
        <v>155</v>
      </c>
      <c r="C40" s="6" t="s">
        <v>156</v>
      </c>
      <c r="D40" s="6">
        <v>16</v>
      </c>
      <c r="E40" s="6" t="s">
        <v>157</v>
      </c>
      <c r="F40" s="6" t="s">
        <v>158</v>
      </c>
      <c r="G40" s="7">
        <v>90.3028760148617</v>
      </c>
      <c r="H40" s="7" t="s">
        <v>25</v>
      </c>
      <c r="I40" s="7" t="s">
        <v>26</v>
      </c>
      <c r="J40" s="7" t="s">
        <v>25</v>
      </c>
      <c r="K40" s="8">
        <f t="shared" si="0"/>
        <v>1</v>
      </c>
      <c r="L40" s="8">
        <f t="shared" si="1"/>
        <v>2</v>
      </c>
      <c r="M40" s="9" t="str">
        <f t="shared" si="2"/>
        <v>Valid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ht="20" customHeight="1" spans="1:52">
      <c r="A41" s="6">
        <v>35</v>
      </c>
      <c r="B41" s="6" t="s">
        <v>159</v>
      </c>
      <c r="C41" s="6" t="s">
        <v>160</v>
      </c>
      <c r="D41" s="6">
        <v>16</v>
      </c>
      <c r="E41" s="6" t="s">
        <v>161</v>
      </c>
      <c r="F41" s="6" t="s">
        <v>162</v>
      </c>
      <c r="G41" s="7">
        <v>91.4661254070914</v>
      </c>
      <c r="H41" s="7" t="s">
        <v>25</v>
      </c>
      <c r="I41" s="7" t="s">
        <v>26</v>
      </c>
      <c r="J41" s="7" t="s">
        <v>25</v>
      </c>
      <c r="K41" s="8">
        <f t="shared" si="0"/>
        <v>1</v>
      </c>
      <c r="L41" s="8">
        <f t="shared" si="1"/>
        <v>2</v>
      </c>
      <c r="M41" s="9" t="str">
        <f t="shared" si="2"/>
        <v>Valid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ht="20" customHeight="1" spans="1:52">
      <c r="A42" s="6">
        <v>36</v>
      </c>
      <c r="B42" s="6" t="s">
        <v>163</v>
      </c>
      <c r="C42" s="6" t="s">
        <v>164</v>
      </c>
      <c r="D42" s="6">
        <v>16</v>
      </c>
      <c r="E42" s="6" t="s">
        <v>165</v>
      </c>
      <c r="F42" s="6" t="s">
        <v>166</v>
      </c>
      <c r="G42" s="7">
        <v>89</v>
      </c>
      <c r="H42" s="7" t="s">
        <v>25</v>
      </c>
      <c r="I42" s="7" t="s">
        <v>26</v>
      </c>
      <c r="J42" s="7" t="s">
        <v>25</v>
      </c>
      <c r="K42" s="8">
        <f t="shared" si="0"/>
        <v>1</v>
      </c>
      <c r="L42" s="8">
        <f t="shared" si="1"/>
        <v>2</v>
      </c>
      <c r="M42" s="9" t="str">
        <f t="shared" si="2"/>
        <v>Valid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ht="20" customHeight="1" spans="1:52">
      <c r="A43" s="6">
        <v>37</v>
      </c>
      <c r="B43" s="6" t="s">
        <v>167</v>
      </c>
      <c r="C43" s="6" t="s">
        <v>168</v>
      </c>
      <c r="D43" s="6">
        <v>16</v>
      </c>
      <c r="E43" s="6" t="s">
        <v>169</v>
      </c>
      <c r="F43" s="6" t="s">
        <v>170</v>
      </c>
      <c r="G43" s="7">
        <v>90.3469106921701</v>
      </c>
      <c r="H43" s="7" t="s">
        <v>25</v>
      </c>
      <c r="I43" s="7" t="s">
        <v>26</v>
      </c>
      <c r="J43" s="7" t="s">
        <v>25</v>
      </c>
      <c r="K43" s="8">
        <f t="shared" si="0"/>
        <v>1</v>
      </c>
      <c r="L43" s="8">
        <f t="shared" si="1"/>
        <v>2</v>
      </c>
      <c r="M43" s="9" t="str">
        <f t="shared" si="2"/>
        <v>Valid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ht="20" customHeight="1" spans="1:52">
      <c r="A44" s="6">
        <v>38</v>
      </c>
      <c r="B44" s="6" t="s">
        <v>171</v>
      </c>
      <c r="C44" s="6" t="s">
        <v>172</v>
      </c>
      <c r="D44" s="6">
        <v>16</v>
      </c>
      <c r="E44" s="6" t="s">
        <v>173</v>
      </c>
      <c r="F44" s="6" t="s">
        <v>174</v>
      </c>
      <c r="G44" s="7">
        <v>90.8900050456401</v>
      </c>
      <c r="H44" s="7" t="s">
        <v>25</v>
      </c>
      <c r="I44" s="7" t="s">
        <v>26</v>
      </c>
      <c r="J44" s="7" t="s">
        <v>25</v>
      </c>
      <c r="K44" s="8">
        <f t="shared" si="0"/>
        <v>1</v>
      </c>
      <c r="L44" s="8">
        <f t="shared" si="1"/>
        <v>2</v>
      </c>
      <c r="M44" s="9" t="str">
        <f t="shared" si="2"/>
        <v>Valid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ht="20" customHeight="1" spans="1:52">
      <c r="A45" s="6">
        <v>39</v>
      </c>
      <c r="B45" s="6" t="s">
        <v>175</v>
      </c>
      <c r="C45" s="6" t="s">
        <v>176</v>
      </c>
      <c r="D45" s="6">
        <v>16</v>
      </c>
      <c r="E45" s="6" t="s">
        <v>177</v>
      </c>
      <c r="F45" s="6" t="s">
        <v>178</v>
      </c>
      <c r="G45" s="7">
        <v>90.866519884409</v>
      </c>
      <c r="H45" s="7" t="s">
        <v>25</v>
      </c>
      <c r="I45" s="7" t="s">
        <v>26</v>
      </c>
      <c r="J45" s="7" t="s">
        <v>25</v>
      </c>
      <c r="K45" s="8">
        <f t="shared" si="0"/>
        <v>1</v>
      </c>
      <c r="L45" s="8">
        <f t="shared" si="1"/>
        <v>2</v>
      </c>
      <c r="M45" s="9" t="str">
        <f t="shared" si="2"/>
        <v>Valid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7" ht="15" spans="1:52">
      <c r="A47" s="10" t="s">
        <v>179</v>
      </c>
    </row>
    <row r="48" spans="1:52">
      <c r="A48" t="s">
        <v>180</v>
      </c>
    </row>
    <row r="49" spans="1:1">
      <c r="A49" t="s">
        <v>181</v>
      </c>
    </row>
    <row r="50" spans="1:1">
      <c r="A50" t="s">
        <v>182</v>
      </c>
    </row>
    <row r="51" spans="1:1">
      <c r="A51" s="11" t="s">
        <v>183</v>
      </c>
    </row>
    <row r="52" spans="1:1">
      <c r="A52" t="s">
        <v>184</v>
      </c>
    </row>
    <row r="53" spans="1:1">
      <c r="A53" t="s">
        <v>185</v>
      </c>
    </row>
    <row r="54" spans="1:1">
      <c r="A54" t="s">
        <v>186</v>
      </c>
    </row>
    <row r="55" spans="1:1">
      <c r="A55" t="s">
        <v>187</v>
      </c>
    </row>
  </sheetData>
  <sheetProtection password="E249" sheet="1"/>
  <mergeCells count="9">
    <mergeCell ref="H3:J3"/>
    <mergeCell ref="K3:M3"/>
    <mergeCell ref="A3:A6"/>
    <mergeCell ref="B3:B6"/>
    <mergeCell ref="C3:C6"/>
    <mergeCell ref="D3:D6"/>
    <mergeCell ref="E3:E6"/>
    <mergeCell ref="F3:F6"/>
    <mergeCell ref="G3:G6"/>
  </mergeCells>
  <dataValidations count="2">
    <dataValidation type="list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7:J7 I8:J8 H8:H45 I9:J45">
      <formula1>"T,R"</formula1>
    </dataValidation>
    <dataValidation type="whole" operator="between" showInputMessage="1" showErrorMessage="1" errorTitle="Input Salah" error="Hanya boleh memasukkan angka antara 1 dan 100." promptTitle="Input Angka" prompt="Masukkan angka antara 1 dan 100." sqref="G7:G45">
      <formula1>1</formula1>
      <formula2>100</formula2>
    </dataValidation>
  </dataValidation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daniarsyah</cp:lastModifiedBy>
  <dcterms:created xsi:type="dcterms:W3CDTF">2025-12-07T20:02:00Z</dcterms:created>
  <dcterms:modified xsi:type="dcterms:W3CDTF">2025-12-15T10:32:45Z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A428725C3B509A7D5D813F69538CF684_43</vt:lpwstr>
  </property>
  <property fmtid="{D5CDD505-2E9C-101B-9397-08002B2CF9AE}" pid="3" name="KSOProductBuildVer">
    <vt:lpwstr>1033-12.1.2.23578</vt:lpwstr>
  </property>
</Properties>
</file>