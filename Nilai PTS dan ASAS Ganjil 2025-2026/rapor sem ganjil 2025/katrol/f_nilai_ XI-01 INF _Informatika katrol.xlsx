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42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<sst xmlns="http://schemas.openxmlformats.org/spreadsheetml/2006/main" count="270" uniqueCount="168">
  <si>
    <t xml:space="preserve">FORMAT IMPORT NILAI RAPOR INFORMATIKA, KELAS  XI-01 INF </t>
  </si>
  <si>
    <t>ce479b91-6c7b-46e2-b181-e443a985f3fa</t>
  </si>
  <si>
    <t>NO</t>
  </si>
  <si>
    <t>NILRPT</t>
  </si>
  <si>
    <t>NISN</t>
  </si>
  <si>
    <t>NAMA SISWA</t>
  </si>
  <si>
    <t>NILAI RAPOR</t>
  </si>
  <si>
    <t>TINGKAT KETERCAPAIAN TP</t>
  </si>
  <si>
    <t>VALIDASI</t>
  </si>
  <si>
    <t>e316f9b8-6410-4d6d-bf96-2f9381c0415b</t>
  </si>
  <si>
    <t>d7faa9bb-2315-4d1f-91d8-ea3e05a3870d</t>
  </si>
  <si>
    <t>044c6346-d4a7-42a8-9e36-2f19ab8843c5</t>
  </si>
  <si>
    <t>Informatika masa kini dan masa depan</t>
  </si>
  <si>
    <t>strategi algoritmik serta menuliskan program sederhana</t>
  </si>
  <si>
    <t>mengidentifikasi dan mengevaluasi dampak sosial informatika untuk mengembangkan solusi yang tepat</t>
  </si>
  <si>
    <t>TP.1112</t>
  </si>
  <si>
    <t>TP.1113</t>
  </si>
  <si>
    <t>TP.1114</t>
  </si>
  <si>
    <t>TR</t>
  </si>
  <si>
    <t>OP</t>
  </si>
  <si>
    <t>NILAI</t>
  </si>
  <si>
    <t>ad4b5694-3cad-11e5-a61f-63c262a96f8a</t>
  </si>
  <si>
    <t>0518ce77-cca7-4e20-b01f-05d81079b536</t>
  </si>
  <si>
    <t>0099334640</t>
  </si>
  <si>
    <t>ALEA NUR BINTANG ANZARI</t>
  </si>
  <si>
    <t>T</t>
  </si>
  <si>
    <t>R</t>
  </si>
  <si>
    <t>d44b30ee-4d32-11e5-aef1-13200a424546</t>
  </si>
  <si>
    <t>64a33c7f-cd3e-4e4f-ae70-eb6a26384621</t>
  </si>
  <si>
    <t>0095292831</t>
  </si>
  <si>
    <t>ALODIA FIDELA ATMAJAYA HARMONO</t>
  </si>
  <si>
    <t>8564b764-4749-11e5-9223-3f2d7880061a</t>
  </si>
  <si>
    <t>8b1aa501-8d97-4a13-9e74-47a0599bd66d</t>
  </si>
  <si>
    <t>0098240225</t>
  </si>
  <si>
    <t>ANDRE</t>
  </si>
  <si>
    <t>a45a38f4-4cb9-11e5-8719-dfa7d6114c5e</t>
  </si>
  <si>
    <t>d6854f4a-71bd-4fb7-aad1-53cf24eca2e7</t>
  </si>
  <si>
    <t>0097255360</t>
  </si>
  <si>
    <t>ANNISA ILMAN HANIFA</t>
  </si>
  <si>
    <t>85decace-39be-11e5-9b7a-571bddb22efb</t>
  </si>
  <si>
    <t>869cf81c-bb78-4c2d-bfd9-440efe318521</t>
  </si>
  <si>
    <t>0083742368</t>
  </si>
  <si>
    <t>BOBBY ADONOVAN</t>
  </si>
  <si>
    <t>d48c2202-4279-11e5-9fcc-0b5abb9c03ee</t>
  </si>
  <si>
    <t>3b55501d-19a5-4d2f-a4c5-7d5e8cc3d5f2</t>
  </si>
  <si>
    <t>0099534089</t>
  </si>
  <si>
    <t>CALLISTA AURYN ANNAURA</t>
  </si>
  <si>
    <t>7bfde0d2-3e9e-11e5-b866-b7220b054889</t>
  </si>
  <si>
    <t>59fac9cc-45a2-4eee-b657-af0195eaa5ac</t>
  </si>
  <si>
    <t>0094429770</t>
  </si>
  <si>
    <t>CHESTA MAHARDIKA</t>
  </si>
  <si>
    <t>56b888c4-40ae-11e5-a27f-3baa85d9a928</t>
  </si>
  <si>
    <t>6cc73c39-7bc7-40b2-a62c-0d68d742d227</t>
  </si>
  <si>
    <t>0085044133</t>
  </si>
  <si>
    <t>DANIAL MOCH MISBAH</t>
  </si>
  <si>
    <t>f1192150-4d4f-11e5-8b49-a7123f766a79</t>
  </si>
  <si>
    <t>128ea202-233f-4890-ae04-9c012150460e</t>
  </si>
  <si>
    <t>0091904278</t>
  </si>
  <si>
    <t>DAVID ADITAMA BACHRUN</t>
  </si>
  <si>
    <t>1b55b03b-ffa9-45b7-ac1b-333df9f3fe9a</t>
  </si>
  <si>
    <t>18731eb2-081f-4138-8191-f323ddb691cc</t>
  </si>
  <si>
    <t>0098286456</t>
  </si>
  <si>
    <t>DEWI ANGGRAENI SINAGA</t>
  </si>
  <si>
    <t>46bdc23a-41b3-11e5-bbc6-cb29a8c9c1b9</t>
  </si>
  <si>
    <t>1dcdb693-8739-4be4-8358-921f89c85b36</t>
  </si>
  <si>
    <t>0094624518</t>
  </si>
  <si>
    <t>DWI AL FITRIYANI PUTRI KUSNADI</t>
  </si>
  <si>
    <t>d3837bae-5056-11e5-8862-a36129c5bb08</t>
  </si>
  <si>
    <t>17728feb-98ce-4ee5-b1c4-25890caa8cf0</t>
  </si>
  <si>
    <t>0097184233</t>
  </si>
  <si>
    <t>FADHYL RIZQY PRATAMA</t>
  </si>
  <si>
    <t>edcb0f0f-0ef0-11ec-ae6a-42010aba8125</t>
  </si>
  <si>
    <t>24133f84-c8ae-44ec-a19d-7f56e329ac79</t>
  </si>
  <si>
    <t>0092015852</t>
  </si>
  <si>
    <t>FAJRI HADIYAN ANGGARA</t>
  </si>
  <si>
    <t>18ea3c25-1ae6-4e00-94b5-db1ab4a943ed</t>
  </si>
  <si>
    <t>e949ac07-1528-41fa-bc1a-c4b4bad9d0e1</t>
  </si>
  <si>
    <t>0098153655</t>
  </si>
  <si>
    <t>FERNANDY ARDIANA SYAHRAYAN</t>
  </si>
  <si>
    <t>75d8765c-4f85-11e5-9a3f-677d5d3046ca</t>
  </si>
  <si>
    <t>dd028f98-d7ca-4178-a4e8-be94422d257f</t>
  </si>
  <si>
    <t>0093070911</t>
  </si>
  <si>
    <t>GELLARDY RAVA GUSMINAR</t>
  </si>
  <si>
    <t>4bee9654-45b3-11e5-aaff-171cfb77a158</t>
  </si>
  <si>
    <t>71d699d9-782d-4ab1-9d9f-1ae6b53df491</t>
  </si>
  <si>
    <t>0092374420</t>
  </si>
  <si>
    <t>GHAITSA NAJWA KAMILA</t>
  </si>
  <si>
    <t>da446db8-4499-11e5-b7c5-ef163180772a</t>
  </si>
  <si>
    <t>13962ee2-8263-461a-b1ab-166450533b03</t>
  </si>
  <si>
    <t>0087870138</t>
  </si>
  <si>
    <t>INDRI GUSMIANA</t>
  </si>
  <si>
    <t>1e0cb110-47db-11e5-854d-93ff3410d93b</t>
  </si>
  <si>
    <t>173dd29b-633a-4e38-893f-fa830531d4bd</t>
  </si>
  <si>
    <t>0081228149</t>
  </si>
  <si>
    <t>KAISYA RAHMAH ANGGUN PRIBADI</t>
  </si>
  <si>
    <t>c362378a-467c-11e5-88c6-bb4d5a03474a</t>
  </si>
  <si>
    <t>0a4307c5-5b16-41d3-b47c-813eaac68a25</t>
  </si>
  <si>
    <t>0095598217</t>
  </si>
  <si>
    <t>KIRANA PUSPITA MAHARANI</t>
  </si>
  <si>
    <t>5004aa86-4751-11e5-98b9-2f707185a5a7</t>
  </si>
  <si>
    <t>832266d7-5b49-4dac-b327-cb846600cbb2</t>
  </si>
  <si>
    <t>0096129871</t>
  </si>
  <si>
    <t>LAKEISHA AZIZAH</t>
  </si>
  <si>
    <t>00b667e4-3e7d-11e5-bf81-9701a321e4f9</t>
  </si>
  <si>
    <t>f87608eb-4b4d-459a-98e2-ba3f68b2bd09</t>
  </si>
  <si>
    <t>0082810569</t>
  </si>
  <si>
    <t>MAESYA SA'BANI</t>
  </si>
  <si>
    <t>53bcc988-4869-11e5-829d-a3c39e014199</t>
  </si>
  <si>
    <t>e0ead26d-1ecd-4f94-9c26-5a86bc85d7e6</t>
  </si>
  <si>
    <t>0081144388</t>
  </si>
  <si>
    <t>NADHIIFAH KIRANA SUMANTRI</t>
  </si>
  <si>
    <t>be6f29c0-45b1-11e5-9f2d-3b9e614ce70b</t>
  </si>
  <si>
    <t>518c02b8-c74d-46a9-a0ee-6fefd7e67a93</t>
  </si>
  <si>
    <t>0088497035</t>
  </si>
  <si>
    <t>NAURA SHAIRA OKTAVIANTI PRATAMI</t>
  </si>
  <si>
    <t>081a98f8-4c64-11e5-adcf-efdc3922263d</t>
  </si>
  <si>
    <t>2c6bf870-94a9-4c79-82bb-0fd016bd5c87</t>
  </si>
  <si>
    <t>0082717931</t>
  </si>
  <si>
    <t>NAZMA RAISHA PUTRI</t>
  </si>
  <si>
    <t>11d496c8-3b43-11e5-b71c-d34f22e9afca</t>
  </si>
  <si>
    <t>3c944720-d625-4c1f-95ef-7c832011fa80</t>
  </si>
  <si>
    <t>0088525509</t>
  </si>
  <si>
    <t>NAZWA DWI ANGGRAENI</t>
  </si>
  <si>
    <t>2040390a-480f-11e5-ad28-9b7451d66eb1</t>
  </si>
  <si>
    <t>70b02535-6da1-4301-aafa-6cc8cd8f74e0</t>
  </si>
  <si>
    <t>0095731844</t>
  </si>
  <si>
    <t>NESYA HAURA TASMIRA</t>
  </si>
  <si>
    <t>a2275ba8-46dc-11e5-a52c-b39674880979</t>
  </si>
  <si>
    <t>3ae0ca2b-c824-4bf8-a846-8090869f7e36</t>
  </si>
  <si>
    <t>0093497754</t>
  </si>
  <si>
    <t>PUTRI KIRANI SALWIYAH KHALID</t>
  </si>
  <si>
    <t>f6a886c3-6fea-4cb1-b6b8-226a9e126150</t>
  </si>
  <si>
    <t>8c0b32c6-c24a-4135-91f8-0d41542f8ef2</t>
  </si>
  <si>
    <t>0086545584</t>
  </si>
  <si>
    <t>RAISSA NAZDAH ABDIYANI</t>
  </si>
  <si>
    <t>de0ab570-3d77-11e5-a01d-7f2f6b3d7b96</t>
  </si>
  <si>
    <t>fbc283c8-d61a-4dec-94f0-b28b2d0b5fd5</t>
  </si>
  <si>
    <t>0087399214</t>
  </si>
  <si>
    <t>RAISYA AMALIA</t>
  </si>
  <si>
    <t>f44465f0-5250-11e5-a1bd-5778237ee8fa</t>
  </si>
  <si>
    <t>1d00d035-17f1-43a2-9808-9901d01dd591</t>
  </si>
  <si>
    <t>0092841307</t>
  </si>
  <si>
    <t>REHAN HUSNI SALIM</t>
  </si>
  <si>
    <t>80717c86-547a-11e5-bf3e-8fae87cae155</t>
  </si>
  <si>
    <t>3a3a2ad9-8cd1-4fe1-b732-8ae28118ccbd</t>
  </si>
  <si>
    <t>0085821008</t>
  </si>
  <si>
    <t>RENANDO BRAVOCIANO</t>
  </si>
  <si>
    <t>88537130-8dd9-416b-bd92-203ec2a74106</t>
  </si>
  <si>
    <t>7a384cb6-13f0-4f7f-a8ec-104996bcdb31</t>
  </si>
  <si>
    <t>3080779226</t>
  </si>
  <si>
    <t>SIFA ANGGRAENI</t>
  </si>
  <si>
    <t>8aa0d1dc-3c08-11e5-8a32-4349ff51318f</t>
  </si>
  <si>
    <t>2133e167-322c-49d9-8aa1-96ab345a02a5</t>
  </si>
  <si>
    <t>0095289888</t>
  </si>
  <si>
    <t>WINDY ALYA MUTIARA RAHMAH</t>
  </si>
  <si>
    <t>6aa0bf0e-5518-11e5-8767-eb2921b0987d</t>
  </si>
  <si>
    <t>c8f799fd-2c1b-44a7-b99f-45c69bb11076</t>
  </si>
  <si>
    <t>0097220505</t>
  </si>
  <si>
    <t>ZAHRA AULIA KIRANIA</t>
  </si>
  <si>
    <t>KETERANGAN :</t>
  </si>
  <si>
    <t xml:space="preserve"> &gt; TP.1112 : Informatika masa kini dan masa depan</t>
  </si>
  <si>
    <t xml:space="preserve"> &gt; TP.1113 : strategi algoritmik serta menuliskan program sederhana</t>
  </si>
  <si>
    <t xml:space="preserve"> &gt; TP.1114 : mengidentifikasi dan mengevaluasi dampak sosial informatika untuk mengembangkan solusi yang tepat</t>
  </si>
  <si>
    <t>Catatan Validasi:</t>
  </si>
  <si>
    <t xml:space="preserve"> &gt; Jika Nilai Rapor Siswa kurang dari 100, silahkah dipilih Tujuan Pembelajaran mana saja yang masih perlu peningkatan (minimal 1)</t>
  </si>
  <si>
    <t xml:space="preserve"> &gt; Selain memilih Tujuan Pembelajaran yang masih perlu peningkatan, pilih juga Tujuan Pembelajaran yang mana saja sudah dicapai dengan sangat optimal (minimal 1)</t>
  </si>
  <si>
    <t xml:space="preserve"> &gt; Tidak mesti semua Tujuan Pembelajaran yarus dipilih, minimal pilih satu yang paling optimal dan satu yang paling minimal</t>
  </si>
  <si>
    <t xml:space="preserve"> &gt; Pahami Konsep Pembelajaran dan Asesmen sebagaimana telah dimuat pada Buku Panduan PPA agar tidak keliru dalam memahami format nilai rapor ini.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</si>
</sst>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b/>
      <sz val="12"/>
      <color rgb="FFFFFFFF"/>
      <name val="Calibri"/>
      <charset val="134"/>
    </font>
    <font>
      <b/>
      <sz val="11"/>
      <color rgb="FFFFFFFF"/>
      <name val="Calibri"/>
      <charset val="134"/>
    </font>
    <font>
      <b/>
      <sz val="12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Protection="1"/>
    <xf numFmtId="0" fontId="0" fillId="0" borderId="0" xfId="0" applyProtection="1"/>
    <xf numFmtId="0" fontId="2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top" wrapText="1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vertical="top" wrapText="1"/>
    </xf>
    <xf numFmtId="0" fontId="0" fillId="0" borderId="1" xfId="0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</xf>
    <xf numFmtId="0" fontId="0" fillId="0" borderId="1" xfId="0" applyBorder="1" applyAlignment="1" applyProtection="1">
      <alignment vertical="top" wrapText="1"/>
      <protection hidden="1"/>
    </xf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0"/>
  <sheetViews>
    <sheetView tabSelected="1" workbookViewId="0">
      <selection activeCell="G7" sqref="G7:G40"/>
    </sheetView>
  </sheetViews>
  <sheetFormatPr defaultColWidth="9" defaultRowHeight="14.25"/>
  <cols>
    <col min="1" max="1" width="5" customWidth="1"/>
    <col min="2" max="4" width="9" hidden="1" customWidth="1"/>
    <col min="5" max="5" width="13" customWidth="1"/>
    <col min="6" max="6" width="37.7083333333333" customWidth="1"/>
    <col min="7" max="7" width="17.7083333333333" customWidth="1"/>
    <col min="8" max="10" width="10" customWidth="1"/>
    <col min="11" max="12" width="9" hidden="1" customWidth="1"/>
    <col min="13" max="13" width="15" customWidth="1"/>
  </cols>
  <sheetData>
    <row r="1" ht="18" spans="1:52">
      <c r="A1" s="1" t="s">
        <v>0</v>
      </c>
      <c r="B1" s="2">
        <v>13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>
        <v>40</v>
      </c>
      <c r="C2" s="2" t="s">
        <v>1</v>
      </c>
      <c r="D2" s="2">
        <v>700106100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25" customHeight="1" spans="1:52">
      <c r="A3" s="3" t="s">
        <v>2</v>
      </c>
      <c r="B3" s="3" t="s">
        <v>3</v>
      </c>
      <c r="C3" s="3" t="s">
        <v>3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/>
      <c r="J3" s="3"/>
      <c r="K3" s="3" t="s">
        <v>8</v>
      </c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14.4" hidden="1" customHeight="1" spans="1:52">
      <c r="A4" s="4"/>
      <c r="B4" s="4"/>
      <c r="C4" s="4"/>
      <c r="D4" s="4"/>
      <c r="E4" s="4"/>
      <c r="F4" s="4"/>
      <c r="G4" s="5"/>
      <c r="H4" s="5" t="s">
        <v>9</v>
      </c>
      <c r="I4" s="5" t="s">
        <v>10</v>
      </c>
      <c r="J4" s="5" t="s">
        <v>11</v>
      </c>
      <c r="K4" s="4"/>
      <c r="L4" s="4"/>
      <c r="M4" s="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ht="14.4" hidden="1" customHeight="1" spans="1:52">
      <c r="A5" s="4"/>
      <c r="B5" s="4"/>
      <c r="C5" s="4"/>
      <c r="D5" s="4"/>
      <c r="E5" s="4"/>
      <c r="F5" s="4"/>
      <c r="G5" s="5"/>
      <c r="H5" s="5" t="s">
        <v>12</v>
      </c>
      <c r="I5" s="5" t="s">
        <v>13</v>
      </c>
      <c r="J5" s="5" t="s">
        <v>14</v>
      </c>
      <c r="K5" s="4"/>
      <c r="L5" s="4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4"/>
      <c r="B6" s="4"/>
      <c r="C6" s="4"/>
      <c r="D6" s="4"/>
      <c r="E6" s="4"/>
      <c r="F6" s="4"/>
      <c r="G6" s="5"/>
      <c r="H6" s="5" t="s">
        <v>15</v>
      </c>
      <c r="I6" s="5" t="s">
        <v>16</v>
      </c>
      <c r="J6" s="5" t="s">
        <v>17</v>
      </c>
      <c r="K6" s="4" t="s">
        <v>18</v>
      </c>
      <c r="L6" s="4" t="s">
        <v>19</v>
      </c>
      <c r="M6" s="4" t="s">
        <v>20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ht="20" customHeight="1" spans="1:52">
      <c r="A7" s="6">
        <v>1</v>
      </c>
      <c r="B7" s="6" t="s">
        <v>21</v>
      </c>
      <c r="C7" s="6" t="s">
        <v>22</v>
      </c>
      <c r="D7" s="6">
        <v>16</v>
      </c>
      <c r="E7" s="6" t="s">
        <v>23</v>
      </c>
      <c r="F7" s="6" t="s">
        <v>24</v>
      </c>
      <c r="G7" s="7">
        <v>91.3328024124609</v>
      </c>
      <c r="H7" s="7" t="s">
        <v>25</v>
      </c>
      <c r="I7" s="7" t="s">
        <v>26</v>
      </c>
      <c r="J7" s="7" t="s">
        <v>25</v>
      </c>
      <c r="K7" s="8">
        <f t="shared" ref="K7:K40" si="0">COUNTIF(H7:J7,"R")</f>
        <v>1</v>
      </c>
      <c r="L7" s="8">
        <f t="shared" ref="L7:L40" si="1">COUNTIF(H7:J7,"T")</f>
        <v>2</v>
      </c>
      <c r="M7" s="9" t="str">
        <f t="shared" ref="M7:M40" si="2">IF(G7="","",IF(G7=100,IF(K7&gt;0,"Tidak Valid",IF((K7+L7)&gt;0,"Valid","Tidak Valid")),IF(K7=0,"Tidak Valid",IF((K7+L7)&gt;0,"Valid","Tidak Valid"))))</f>
        <v>Valid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ht="20" customHeight="1" spans="1:52">
      <c r="A8" s="6">
        <v>2</v>
      </c>
      <c r="B8" s="6" t="s">
        <v>27</v>
      </c>
      <c r="C8" s="6" t="s">
        <v>28</v>
      </c>
      <c r="D8" s="6">
        <v>16</v>
      </c>
      <c r="E8" s="6" t="s">
        <v>29</v>
      </c>
      <c r="F8" s="6" t="s">
        <v>30</v>
      </c>
      <c r="G8" s="7">
        <v>93</v>
      </c>
      <c r="H8" s="7" t="s">
        <v>25</v>
      </c>
      <c r="I8" s="7" t="s">
        <v>26</v>
      </c>
      <c r="J8" s="7" t="s">
        <v>25</v>
      </c>
      <c r="K8" s="8">
        <f t="shared" si="0"/>
        <v>1</v>
      </c>
      <c r="L8" s="8">
        <f t="shared" si="1"/>
        <v>2</v>
      </c>
      <c r="M8" s="9" t="str">
        <f t="shared" si="2"/>
        <v>Valid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ht="20" customHeight="1" spans="1:52">
      <c r="A9" s="6">
        <v>3</v>
      </c>
      <c r="B9" s="6" t="s">
        <v>31</v>
      </c>
      <c r="C9" s="6" t="s">
        <v>32</v>
      </c>
      <c r="D9" s="6">
        <v>16</v>
      </c>
      <c r="E9" s="6" t="s">
        <v>33</v>
      </c>
      <c r="F9" s="6" t="s">
        <v>34</v>
      </c>
      <c r="G9" s="7">
        <v>91.7346816412185</v>
      </c>
      <c r="H9" s="7" t="s">
        <v>25</v>
      </c>
      <c r="I9" s="7" t="s">
        <v>26</v>
      </c>
      <c r="J9" s="7" t="s">
        <v>25</v>
      </c>
      <c r="K9" s="8">
        <f t="shared" si="0"/>
        <v>1</v>
      </c>
      <c r="L9" s="8">
        <f t="shared" si="1"/>
        <v>2</v>
      </c>
      <c r="M9" s="9" t="str">
        <f t="shared" si="2"/>
        <v>Valid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ht="20" customHeight="1" spans="1:52">
      <c r="A10" s="6">
        <v>4</v>
      </c>
      <c r="B10" s="6" t="s">
        <v>35</v>
      </c>
      <c r="C10" s="6" t="s">
        <v>36</v>
      </c>
      <c r="D10" s="6">
        <v>16</v>
      </c>
      <c r="E10" s="6" t="s">
        <v>37</v>
      </c>
      <c r="F10" s="6" t="s">
        <v>38</v>
      </c>
      <c r="G10" s="7">
        <v>90.1197195976422</v>
      </c>
      <c r="H10" s="7" t="s">
        <v>25</v>
      </c>
      <c r="I10" s="7" t="s">
        <v>26</v>
      </c>
      <c r="J10" s="7" t="s">
        <v>25</v>
      </c>
      <c r="K10" s="8">
        <f t="shared" si="0"/>
        <v>1</v>
      </c>
      <c r="L10" s="8">
        <f t="shared" si="1"/>
        <v>2</v>
      </c>
      <c r="M10" s="9" t="str">
        <f t="shared" si="2"/>
        <v>Valid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ht="20" customHeight="1" spans="1:52">
      <c r="A11" s="6">
        <v>5</v>
      </c>
      <c r="B11" s="6" t="s">
        <v>39</v>
      </c>
      <c r="C11" s="6" t="s">
        <v>40</v>
      </c>
      <c r="D11" s="6">
        <v>16</v>
      </c>
      <c r="E11" s="6" t="s">
        <v>41</v>
      </c>
      <c r="F11" s="6" t="s">
        <v>42</v>
      </c>
      <c r="G11" s="7">
        <v>89.1372658186888</v>
      </c>
      <c r="H11" s="7" t="s">
        <v>25</v>
      </c>
      <c r="I11" s="7" t="s">
        <v>26</v>
      </c>
      <c r="J11" s="7" t="s">
        <v>25</v>
      </c>
      <c r="K11" s="8">
        <f t="shared" si="0"/>
        <v>1</v>
      </c>
      <c r="L11" s="8">
        <f t="shared" si="1"/>
        <v>2</v>
      </c>
      <c r="M11" s="9" t="str">
        <f t="shared" si="2"/>
        <v>Valid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ht="20" customHeight="1" spans="1:52">
      <c r="A12" s="6">
        <v>6</v>
      </c>
      <c r="B12" s="6" t="s">
        <v>43</v>
      </c>
      <c r="C12" s="6" t="s">
        <v>44</v>
      </c>
      <c r="D12" s="6">
        <v>16</v>
      </c>
      <c r="E12" s="6" t="s">
        <v>45</v>
      </c>
      <c r="F12" s="6" t="s">
        <v>46</v>
      </c>
      <c r="G12" s="7">
        <v>89.5788845767147</v>
      </c>
      <c r="H12" s="7" t="s">
        <v>25</v>
      </c>
      <c r="I12" s="7" t="s">
        <v>26</v>
      </c>
      <c r="J12" s="7" t="s">
        <v>25</v>
      </c>
      <c r="K12" s="8">
        <f t="shared" si="0"/>
        <v>1</v>
      </c>
      <c r="L12" s="8">
        <f t="shared" si="1"/>
        <v>2</v>
      </c>
      <c r="M12" s="9" t="str">
        <f t="shared" si="2"/>
        <v>Valid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ht="20" customHeight="1" spans="1:52">
      <c r="A13" s="6">
        <v>7</v>
      </c>
      <c r="B13" s="6" t="s">
        <v>47</v>
      </c>
      <c r="C13" s="6" t="s">
        <v>48</v>
      </c>
      <c r="D13" s="6">
        <v>16</v>
      </c>
      <c r="E13" s="6" t="s">
        <v>49</v>
      </c>
      <c r="F13" s="6" t="s">
        <v>50</v>
      </c>
      <c r="G13" s="7">
        <v>91.8021718130642</v>
      </c>
      <c r="H13" s="7" t="s">
        <v>25</v>
      </c>
      <c r="I13" s="7" t="s">
        <v>26</v>
      </c>
      <c r="J13" s="7" t="s">
        <v>25</v>
      </c>
      <c r="K13" s="8">
        <f t="shared" si="0"/>
        <v>1</v>
      </c>
      <c r="L13" s="8">
        <f t="shared" si="1"/>
        <v>2</v>
      </c>
      <c r="M13" s="9" t="str">
        <f t="shared" si="2"/>
        <v>Valid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ht="20" customHeight="1" spans="1:52">
      <c r="A14" s="6">
        <v>8</v>
      </c>
      <c r="B14" s="6" t="s">
        <v>51</v>
      </c>
      <c r="C14" s="6" t="s">
        <v>52</v>
      </c>
      <c r="D14" s="6">
        <v>16</v>
      </c>
      <c r="E14" s="6" t="s">
        <v>53</v>
      </c>
      <c r="F14" s="6" t="s">
        <v>54</v>
      </c>
      <c r="G14" s="7">
        <v>90.7617844379683</v>
      </c>
      <c r="H14" s="7" t="s">
        <v>25</v>
      </c>
      <c r="I14" s="7" t="s">
        <v>26</v>
      </c>
      <c r="J14" s="7" t="s">
        <v>25</v>
      </c>
      <c r="K14" s="8">
        <f t="shared" si="0"/>
        <v>1</v>
      </c>
      <c r="L14" s="8">
        <f t="shared" si="1"/>
        <v>2</v>
      </c>
      <c r="M14" s="9" t="str">
        <f t="shared" si="2"/>
        <v>Valid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ht="20" customHeight="1" spans="1:52">
      <c r="A15" s="6">
        <v>9</v>
      </c>
      <c r="B15" s="6" t="s">
        <v>55</v>
      </c>
      <c r="C15" s="6" t="s">
        <v>56</v>
      </c>
      <c r="D15" s="6">
        <v>16</v>
      </c>
      <c r="E15" s="6" t="s">
        <v>57</v>
      </c>
      <c r="F15" s="6" t="s">
        <v>58</v>
      </c>
      <c r="G15" s="7">
        <v>91.3252267630346</v>
      </c>
      <c r="H15" s="7" t="s">
        <v>25</v>
      </c>
      <c r="I15" s="7" t="s">
        <v>26</v>
      </c>
      <c r="J15" s="7" t="s">
        <v>25</v>
      </c>
      <c r="K15" s="8">
        <f t="shared" si="0"/>
        <v>1</v>
      </c>
      <c r="L15" s="8">
        <f t="shared" si="1"/>
        <v>2</v>
      </c>
      <c r="M15" s="9" t="str">
        <f t="shared" si="2"/>
        <v>Valid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ht="20" customHeight="1" spans="1:52">
      <c r="A16" s="6">
        <v>10</v>
      </c>
      <c r="B16" s="6" t="s">
        <v>59</v>
      </c>
      <c r="C16" s="6" t="s">
        <v>60</v>
      </c>
      <c r="D16" s="6">
        <v>16</v>
      </c>
      <c r="E16" s="6" t="s">
        <v>61</v>
      </c>
      <c r="F16" s="6" t="s">
        <v>62</v>
      </c>
      <c r="G16" s="7">
        <v>90.4574532521113</v>
      </c>
      <c r="H16" s="7" t="s">
        <v>25</v>
      </c>
      <c r="I16" s="7" t="s">
        <v>26</v>
      </c>
      <c r="J16" s="7" t="s">
        <v>25</v>
      </c>
      <c r="K16" s="8">
        <f t="shared" si="0"/>
        <v>1</v>
      </c>
      <c r="L16" s="8">
        <f t="shared" si="1"/>
        <v>2</v>
      </c>
      <c r="M16" s="9" t="str">
        <f t="shared" si="2"/>
        <v>Valid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ht="20" customHeight="1" spans="1:52">
      <c r="A17" s="6">
        <v>11</v>
      </c>
      <c r="B17" s="6" t="s">
        <v>63</v>
      </c>
      <c r="C17" s="6" t="s">
        <v>64</v>
      </c>
      <c r="D17" s="6">
        <v>16</v>
      </c>
      <c r="E17" s="6" t="s">
        <v>65</v>
      </c>
      <c r="F17" s="6" t="s">
        <v>66</v>
      </c>
      <c r="G17" s="7">
        <v>91.9140336458357</v>
      </c>
      <c r="H17" s="7" t="s">
        <v>25</v>
      </c>
      <c r="I17" s="7" t="s">
        <v>26</v>
      </c>
      <c r="J17" s="7" t="s">
        <v>25</v>
      </c>
      <c r="K17" s="8">
        <f t="shared" si="0"/>
        <v>1</v>
      </c>
      <c r="L17" s="8">
        <f t="shared" si="1"/>
        <v>2</v>
      </c>
      <c r="M17" s="9" t="str">
        <f t="shared" si="2"/>
        <v>Valid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ht="20" customHeight="1" spans="1:52">
      <c r="A18" s="6">
        <v>12</v>
      </c>
      <c r="B18" s="6" t="s">
        <v>67</v>
      </c>
      <c r="C18" s="6" t="s">
        <v>68</v>
      </c>
      <c r="D18" s="6">
        <v>16</v>
      </c>
      <c r="E18" s="6" t="s">
        <v>69</v>
      </c>
      <c r="F18" s="6" t="s">
        <v>70</v>
      </c>
      <c r="G18" s="7">
        <v>89.0094641234129</v>
      </c>
      <c r="H18" s="7" t="s">
        <v>25</v>
      </c>
      <c r="I18" s="7" t="s">
        <v>26</v>
      </c>
      <c r="J18" s="7" t="s">
        <v>25</v>
      </c>
      <c r="K18" s="8">
        <f t="shared" si="0"/>
        <v>1</v>
      </c>
      <c r="L18" s="8">
        <f t="shared" si="1"/>
        <v>2</v>
      </c>
      <c r="M18" s="9" t="str">
        <f t="shared" si="2"/>
        <v>Valid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ht="20" customHeight="1" spans="1:52">
      <c r="A19" s="6">
        <v>13</v>
      </c>
      <c r="B19" s="6" t="s">
        <v>71</v>
      </c>
      <c r="C19" s="6" t="s">
        <v>72</v>
      </c>
      <c r="D19" s="6">
        <v>16</v>
      </c>
      <c r="E19" s="6" t="s">
        <v>73</v>
      </c>
      <c r="F19" s="6" t="s">
        <v>74</v>
      </c>
      <c r="G19" s="7">
        <v>90.9276819151764</v>
      </c>
      <c r="H19" s="7" t="s">
        <v>25</v>
      </c>
      <c r="I19" s="7" t="s">
        <v>26</v>
      </c>
      <c r="J19" s="7" t="s">
        <v>25</v>
      </c>
      <c r="K19" s="8">
        <f t="shared" si="0"/>
        <v>1</v>
      </c>
      <c r="L19" s="8">
        <f t="shared" si="1"/>
        <v>2</v>
      </c>
      <c r="M19" s="9" t="str">
        <f t="shared" si="2"/>
        <v>Valid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ht="20" customHeight="1" spans="1:52">
      <c r="A20" s="6">
        <v>14</v>
      </c>
      <c r="B20" s="6" t="s">
        <v>75</v>
      </c>
      <c r="C20" s="6" t="s">
        <v>76</v>
      </c>
      <c r="D20" s="6">
        <v>16</v>
      </c>
      <c r="E20" s="6" t="s">
        <v>77</v>
      </c>
      <c r="F20" s="6" t="s">
        <v>78</v>
      </c>
      <c r="G20" s="7">
        <v>92.092526387991</v>
      </c>
      <c r="H20" s="7" t="s">
        <v>25</v>
      </c>
      <c r="I20" s="7" t="s">
        <v>26</v>
      </c>
      <c r="J20" s="7" t="s">
        <v>25</v>
      </c>
      <c r="K20" s="8">
        <f t="shared" si="0"/>
        <v>1</v>
      </c>
      <c r="L20" s="8">
        <f t="shared" si="1"/>
        <v>2</v>
      </c>
      <c r="M20" s="9" t="str">
        <f t="shared" si="2"/>
        <v>Valid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ht="20" customHeight="1" spans="1:52">
      <c r="A21" s="6">
        <v>15</v>
      </c>
      <c r="B21" s="6" t="s">
        <v>79</v>
      </c>
      <c r="C21" s="6" t="s">
        <v>80</v>
      </c>
      <c r="D21" s="6">
        <v>16</v>
      </c>
      <c r="E21" s="6" t="s">
        <v>81</v>
      </c>
      <c r="F21" s="6" t="s">
        <v>82</v>
      </c>
      <c r="G21" s="7">
        <v>92.9468344947653</v>
      </c>
      <c r="H21" s="7" t="s">
        <v>25</v>
      </c>
      <c r="I21" s="7" t="s">
        <v>26</v>
      </c>
      <c r="J21" s="7" t="s">
        <v>25</v>
      </c>
      <c r="K21" s="8">
        <f t="shared" si="0"/>
        <v>1</v>
      </c>
      <c r="L21" s="8">
        <f t="shared" si="1"/>
        <v>2</v>
      </c>
      <c r="M21" s="9" t="str">
        <f t="shared" si="2"/>
        <v>Valid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ht="20" customHeight="1" spans="1:52">
      <c r="A22" s="6">
        <v>16</v>
      </c>
      <c r="B22" s="6" t="s">
        <v>83</v>
      </c>
      <c r="C22" s="6" t="s">
        <v>84</v>
      </c>
      <c r="D22" s="6">
        <v>16</v>
      </c>
      <c r="E22" s="6" t="s">
        <v>85</v>
      </c>
      <c r="F22" s="6" t="s">
        <v>86</v>
      </c>
      <c r="G22" s="7">
        <v>89.9322698600775</v>
      </c>
      <c r="H22" s="7" t="s">
        <v>25</v>
      </c>
      <c r="I22" s="7" t="s">
        <v>26</v>
      </c>
      <c r="J22" s="7" t="s">
        <v>25</v>
      </c>
      <c r="K22" s="8">
        <f t="shared" si="0"/>
        <v>1</v>
      </c>
      <c r="L22" s="8">
        <f t="shared" si="1"/>
        <v>2</v>
      </c>
      <c r="M22" s="9" t="str">
        <f t="shared" si="2"/>
        <v>Valid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ht="20" customHeight="1" spans="1:52">
      <c r="A23" s="6">
        <v>17</v>
      </c>
      <c r="B23" s="6" t="s">
        <v>87</v>
      </c>
      <c r="C23" s="6" t="s">
        <v>88</v>
      </c>
      <c r="D23" s="6">
        <v>16</v>
      </c>
      <c r="E23" s="6" t="s">
        <v>89</v>
      </c>
      <c r="F23" s="6" t="s">
        <v>90</v>
      </c>
      <c r="G23" s="7">
        <v>92.3696929156393</v>
      </c>
      <c r="H23" s="7" t="s">
        <v>25</v>
      </c>
      <c r="I23" s="7" t="s">
        <v>26</v>
      </c>
      <c r="J23" s="7" t="s">
        <v>25</v>
      </c>
      <c r="K23" s="8">
        <f t="shared" si="0"/>
        <v>1</v>
      </c>
      <c r="L23" s="8">
        <f t="shared" si="1"/>
        <v>2</v>
      </c>
      <c r="M23" s="9" t="str">
        <f t="shared" si="2"/>
        <v>Valid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ht="20" customHeight="1" spans="1:52">
      <c r="A24" s="6">
        <v>18</v>
      </c>
      <c r="B24" s="6" t="s">
        <v>91</v>
      </c>
      <c r="C24" s="6" t="s">
        <v>92</v>
      </c>
      <c r="D24" s="6">
        <v>16</v>
      </c>
      <c r="E24" s="6" t="s">
        <v>93</v>
      </c>
      <c r="F24" s="6" t="s">
        <v>94</v>
      </c>
      <c r="G24" s="7">
        <v>89.8748406727536</v>
      </c>
      <c r="H24" s="7" t="s">
        <v>25</v>
      </c>
      <c r="I24" s="7" t="s">
        <v>26</v>
      </c>
      <c r="J24" s="7" t="s">
        <v>25</v>
      </c>
      <c r="K24" s="8">
        <f t="shared" si="0"/>
        <v>1</v>
      </c>
      <c r="L24" s="8">
        <f t="shared" si="1"/>
        <v>2</v>
      </c>
      <c r="M24" s="9" t="str">
        <f t="shared" si="2"/>
        <v>Valid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ht="20" customHeight="1" spans="1:52">
      <c r="A25" s="6">
        <v>19</v>
      </c>
      <c r="B25" s="6" t="s">
        <v>95</v>
      </c>
      <c r="C25" s="6" t="s">
        <v>96</v>
      </c>
      <c r="D25" s="6">
        <v>16</v>
      </c>
      <c r="E25" s="6" t="s">
        <v>97</v>
      </c>
      <c r="F25" s="6" t="s">
        <v>98</v>
      </c>
      <c r="G25" s="7">
        <v>92.1600165598367</v>
      </c>
      <c r="H25" s="7" t="s">
        <v>25</v>
      </c>
      <c r="I25" s="7" t="s">
        <v>26</v>
      </c>
      <c r="J25" s="7" t="s">
        <v>25</v>
      </c>
      <c r="K25" s="8">
        <f t="shared" si="0"/>
        <v>1</v>
      </c>
      <c r="L25" s="8">
        <f t="shared" si="1"/>
        <v>2</v>
      </c>
      <c r="M25" s="9" t="str">
        <f t="shared" si="2"/>
        <v>Valid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ht="20" customHeight="1" spans="1:52">
      <c r="A26" s="6">
        <v>20</v>
      </c>
      <c r="B26" s="6" t="s">
        <v>99</v>
      </c>
      <c r="C26" s="6" t="s">
        <v>100</v>
      </c>
      <c r="D26" s="6">
        <v>16</v>
      </c>
      <c r="E26" s="6" t="s">
        <v>101</v>
      </c>
      <c r="F26" s="6" t="s">
        <v>102</v>
      </c>
      <c r="G26" s="7">
        <v>90.804736684321</v>
      </c>
      <c r="H26" s="7" t="s">
        <v>25</v>
      </c>
      <c r="I26" s="7" t="s">
        <v>26</v>
      </c>
      <c r="J26" s="7" t="s">
        <v>25</v>
      </c>
      <c r="K26" s="8">
        <f t="shared" si="0"/>
        <v>1</v>
      </c>
      <c r="L26" s="8">
        <f t="shared" si="1"/>
        <v>2</v>
      </c>
      <c r="M26" s="9" t="str">
        <f t="shared" si="2"/>
        <v>Valid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ht="20" customHeight="1" spans="1:52">
      <c r="A27" s="6">
        <v>21</v>
      </c>
      <c r="B27" s="6" t="s">
        <v>103</v>
      </c>
      <c r="C27" s="6" t="s">
        <v>104</v>
      </c>
      <c r="D27" s="6">
        <v>16</v>
      </c>
      <c r="E27" s="6" t="s">
        <v>105</v>
      </c>
      <c r="F27" s="6" t="s">
        <v>106</v>
      </c>
      <c r="G27" s="7">
        <v>91.0898160403364</v>
      </c>
      <c r="H27" s="7" t="s">
        <v>25</v>
      </c>
      <c r="I27" s="7" t="s">
        <v>26</v>
      </c>
      <c r="J27" s="7" t="s">
        <v>25</v>
      </c>
      <c r="K27" s="8">
        <f t="shared" si="0"/>
        <v>1</v>
      </c>
      <c r="L27" s="8">
        <f t="shared" si="1"/>
        <v>2</v>
      </c>
      <c r="M27" s="9" t="str">
        <f t="shared" si="2"/>
        <v>Valid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ht="20" customHeight="1" spans="1:52">
      <c r="A28" s="6">
        <v>22</v>
      </c>
      <c r="B28" s="6" t="s">
        <v>107</v>
      </c>
      <c r="C28" s="6" t="s">
        <v>108</v>
      </c>
      <c r="D28" s="6">
        <v>16</v>
      </c>
      <c r="E28" s="6" t="s">
        <v>109</v>
      </c>
      <c r="F28" s="6" t="s">
        <v>110</v>
      </c>
      <c r="G28" s="7">
        <v>89</v>
      </c>
      <c r="H28" s="7" t="s">
        <v>25</v>
      </c>
      <c r="I28" s="7" t="s">
        <v>26</v>
      </c>
      <c r="J28" s="7" t="s">
        <v>25</v>
      </c>
      <c r="K28" s="8">
        <f t="shared" si="0"/>
        <v>1</v>
      </c>
      <c r="L28" s="8">
        <f t="shared" si="1"/>
        <v>2</v>
      </c>
      <c r="M28" s="9" t="str">
        <f t="shared" si="2"/>
        <v>Valid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ht="20" customHeight="1" spans="1:52">
      <c r="A29" s="6">
        <v>23</v>
      </c>
      <c r="B29" s="6" t="s">
        <v>111</v>
      </c>
      <c r="C29" s="6" t="s">
        <v>112</v>
      </c>
      <c r="D29" s="6">
        <v>16</v>
      </c>
      <c r="E29" s="6" t="s">
        <v>113</v>
      </c>
      <c r="F29" s="6" t="s">
        <v>114</v>
      </c>
      <c r="G29" s="7">
        <v>92.1997166609224</v>
      </c>
      <c r="H29" s="7" t="s">
        <v>25</v>
      </c>
      <c r="I29" s="7" t="s">
        <v>26</v>
      </c>
      <c r="J29" s="7" t="s">
        <v>25</v>
      </c>
      <c r="K29" s="8">
        <f t="shared" si="0"/>
        <v>1</v>
      </c>
      <c r="L29" s="8">
        <f t="shared" si="1"/>
        <v>2</v>
      </c>
      <c r="M29" s="9" t="str">
        <f t="shared" si="2"/>
        <v>Valid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ht="20" customHeight="1" spans="1:52">
      <c r="A30" s="6">
        <v>24</v>
      </c>
      <c r="B30" s="6" t="s">
        <v>115</v>
      </c>
      <c r="C30" s="6" t="s">
        <v>116</v>
      </c>
      <c r="D30" s="6">
        <v>16</v>
      </c>
      <c r="E30" s="6" t="s">
        <v>117</v>
      </c>
      <c r="F30" s="6" t="s">
        <v>118</v>
      </c>
      <c r="G30" s="7">
        <v>91.9441132703706</v>
      </c>
      <c r="H30" s="7" t="s">
        <v>25</v>
      </c>
      <c r="I30" s="7" t="s">
        <v>26</v>
      </c>
      <c r="J30" s="7" t="s">
        <v>25</v>
      </c>
      <c r="K30" s="8">
        <f t="shared" si="0"/>
        <v>1</v>
      </c>
      <c r="L30" s="8">
        <f t="shared" si="1"/>
        <v>2</v>
      </c>
      <c r="M30" s="9" t="str">
        <f t="shared" si="2"/>
        <v>Valid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ht="20" customHeight="1" spans="1:52">
      <c r="A31" s="6">
        <v>25</v>
      </c>
      <c r="B31" s="6" t="s">
        <v>119</v>
      </c>
      <c r="C31" s="6" t="s">
        <v>120</v>
      </c>
      <c r="D31" s="6">
        <v>16</v>
      </c>
      <c r="E31" s="6" t="s">
        <v>121</v>
      </c>
      <c r="F31" s="6" t="s">
        <v>122</v>
      </c>
      <c r="G31" s="7">
        <v>91.6666666666667</v>
      </c>
      <c r="H31" s="7" t="s">
        <v>25</v>
      </c>
      <c r="I31" s="7" t="s">
        <v>26</v>
      </c>
      <c r="J31" s="7" t="s">
        <v>25</v>
      </c>
      <c r="K31" s="8">
        <f t="shared" si="0"/>
        <v>1</v>
      </c>
      <c r="L31" s="8">
        <f t="shared" si="1"/>
        <v>2</v>
      </c>
      <c r="M31" s="9" t="str">
        <f t="shared" si="2"/>
        <v>Valid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ht="20" customHeight="1" spans="1:52">
      <c r="A32" s="6">
        <v>26</v>
      </c>
      <c r="B32" s="6" t="s">
        <v>123</v>
      </c>
      <c r="C32" s="6" t="s">
        <v>124</v>
      </c>
      <c r="D32" s="6">
        <v>16</v>
      </c>
      <c r="E32" s="6" t="s">
        <v>125</v>
      </c>
      <c r="F32" s="6" t="s">
        <v>126</v>
      </c>
      <c r="G32" s="7">
        <v>92.9091792208039</v>
      </c>
      <c r="H32" s="7" t="s">
        <v>25</v>
      </c>
      <c r="I32" s="7" t="s">
        <v>26</v>
      </c>
      <c r="J32" s="7" t="s">
        <v>25</v>
      </c>
      <c r="K32" s="8">
        <f t="shared" si="0"/>
        <v>1</v>
      </c>
      <c r="L32" s="8">
        <f t="shared" si="1"/>
        <v>2</v>
      </c>
      <c r="M32" s="9" t="str">
        <f t="shared" si="2"/>
        <v>Valid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ht="20" customHeight="1" spans="1:52">
      <c r="A33" s="6">
        <v>27</v>
      </c>
      <c r="B33" s="6" t="s">
        <v>127</v>
      </c>
      <c r="C33" s="6" t="s">
        <v>128</v>
      </c>
      <c r="D33" s="6">
        <v>16</v>
      </c>
      <c r="E33" s="6" t="s">
        <v>129</v>
      </c>
      <c r="F33" s="6" t="s">
        <v>130</v>
      </c>
      <c r="G33" s="7">
        <v>91.5261201512683</v>
      </c>
      <c r="H33" s="7" t="s">
        <v>25</v>
      </c>
      <c r="I33" s="7" t="s">
        <v>26</v>
      </c>
      <c r="J33" s="7" t="s">
        <v>25</v>
      </c>
      <c r="K33" s="8">
        <f t="shared" si="0"/>
        <v>1</v>
      </c>
      <c r="L33" s="8">
        <f t="shared" si="1"/>
        <v>2</v>
      </c>
      <c r="M33" s="9" t="str">
        <f t="shared" si="2"/>
        <v>Valid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ht="20" customHeight="1" spans="1:52">
      <c r="A34" s="6">
        <v>28</v>
      </c>
      <c r="B34" s="6" t="s">
        <v>131</v>
      </c>
      <c r="C34" s="6" t="s">
        <v>132</v>
      </c>
      <c r="D34" s="6">
        <v>16</v>
      </c>
      <c r="E34" s="6" t="s">
        <v>133</v>
      </c>
      <c r="F34" s="6" t="s">
        <v>134</v>
      </c>
      <c r="G34" s="7">
        <v>90.3067288272359</v>
      </c>
      <c r="H34" s="7" t="s">
        <v>25</v>
      </c>
      <c r="I34" s="7" t="s">
        <v>26</v>
      </c>
      <c r="J34" s="7" t="s">
        <v>25</v>
      </c>
      <c r="K34" s="8">
        <f t="shared" si="0"/>
        <v>1</v>
      </c>
      <c r="L34" s="8">
        <f t="shared" si="1"/>
        <v>2</v>
      </c>
      <c r="M34" s="9" t="str">
        <f t="shared" si="2"/>
        <v>Valid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ht="20" customHeight="1" spans="1:52">
      <c r="A35" s="6">
        <v>29</v>
      </c>
      <c r="B35" s="6" t="s">
        <v>135</v>
      </c>
      <c r="C35" s="6" t="s">
        <v>136</v>
      </c>
      <c r="D35" s="6">
        <v>16</v>
      </c>
      <c r="E35" s="6" t="s">
        <v>137</v>
      </c>
      <c r="F35" s="6" t="s">
        <v>138</v>
      </c>
      <c r="G35" s="7">
        <v>90.2249357422593</v>
      </c>
      <c r="H35" s="7" t="s">
        <v>25</v>
      </c>
      <c r="I35" s="7" t="s">
        <v>26</v>
      </c>
      <c r="J35" s="7" t="s">
        <v>25</v>
      </c>
      <c r="K35" s="8">
        <f t="shared" si="0"/>
        <v>1</v>
      </c>
      <c r="L35" s="8">
        <f t="shared" si="1"/>
        <v>2</v>
      </c>
      <c r="M35" s="9" t="str">
        <f t="shared" si="2"/>
        <v>Valid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ht="20" customHeight="1" spans="1:52">
      <c r="A36" s="6">
        <v>30</v>
      </c>
      <c r="B36" s="6" t="s">
        <v>139</v>
      </c>
      <c r="C36" s="6" t="s">
        <v>140</v>
      </c>
      <c r="D36" s="6">
        <v>16</v>
      </c>
      <c r="E36" s="6" t="s">
        <v>141</v>
      </c>
      <c r="F36" s="6" t="s">
        <v>142</v>
      </c>
      <c r="G36" s="7">
        <v>92.2244884363259</v>
      </c>
      <c r="H36" s="7" t="s">
        <v>25</v>
      </c>
      <c r="I36" s="7" t="s">
        <v>26</v>
      </c>
      <c r="J36" s="7" t="s">
        <v>25</v>
      </c>
      <c r="K36" s="8">
        <f t="shared" si="0"/>
        <v>1</v>
      </c>
      <c r="L36" s="8">
        <f t="shared" si="1"/>
        <v>2</v>
      </c>
      <c r="M36" s="9" t="str">
        <f t="shared" si="2"/>
        <v>Valid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ht="20" customHeight="1" spans="1:52">
      <c r="A37" s="6">
        <v>31</v>
      </c>
      <c r="B37" s="6" t="s">
        <v>143</v>
      </c>
      <c r="C37" s="6" t="s">
        <v>144</v>
      </c>
      <c r="D37" s="6">
        <v>16</v>
      </c>
      <c r="E37" s="6" t="s">
        <v>145</v>
      </c>
      <c r="F37" s="6" t="s">
        <v>146</v>
      </c>
      <c r="G37" s="7">
        <v>89.5362559133777</v>
      </c>
      <c r="H37" s="7" t="s">
        <v>25</v>
      </c>
      <c r="I37" s="7" t="s">
        <v>26</v>
      </c>
      <c r="J37" s="7" t="s">
        <v>25</v>
      </c>
      <c r="K37" s="8">
        <f t="shared" si="0"/>
        <v>1</v>
      </c>
      <c r="L37" s="8">
        <f t="shared" si="1"/>
        <v>2</v>
      </c>
      <c r="M37" s="9" t="str">
        <f t="shared" si="2"/>
        <v>Valid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ht="20" customHeight="1" spans="1:52">
      <c r="A38" s="6">
        <v>32</v>
      </c>
      <c r="B38" s="6" t="s">
        <v>147</v>
      </c>
      <c r="C38" s="6" t="s">
        <v>148</v>
      </c>
      <c r="D38" s="6">
        <v>16</v>
      </c>
      <c r="E38" s="6" t="s">
        <v>149</v>
      </c>
      <c r="F38" s="6" t="s">
        <v>150</v>
      </c>
      <c r="G38" s="7">
        <v>91.3471162023319</v>
      </c>
      <c r="H38" s="7" t="s">
        <v>25</v>
      </c>
      <c r="I38" s="7" t="s">
        <v>26</v>
      </c>
      <c r="J38" s="7" t="s">
        <v>25</v>
      </c>
      <c r="K38" s="8">
        <f t="shared" si="0"/>
        <v>1</v>
      </c>
      <c r="L38" s="8">
        <f t="shared" si="1"/>
        <v>2</v>
      </c>
      <c r="M38" s="9" t="str">
        <f t="shared" si="2"/>
        <v>Valid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ht="20" customHeight="1" spans="1:52">
      <c r="A39" s="6">
        <v>33</v>
      </c>
      <c r="B39" s="6" t="s">
        <v>151</v>
      </c>
      <c r="C39" s="6" t="s">
        <v>152</v>
      </c>
      <c r="D39" s="6">
        <v>16</v>
      </c>
      <c r="E39" s="6" t="s">
        <v>153</v>
      </c>
      <c r="F39" s="6" t="s">
        <v>154</v>
      </c>
      <c r="G39" s="7">
        <v>91.4622193036303</v>
      </c>
      <c r="H39" s="7" t="s">
        <v>25</v>
      </c>
      <c r="I39" s="7" t="s">
        <v>26</v>
      </c>
      <c r="J39" s="7" t="s">
        <v>25</v>
      </c>
      <c r="K39" s="8">
        <f t="shared" si="0"/>
        <v>1</v>
      </c>
      <c r="L39" s="8">
        <f t="shared" si="1"/>
        <v>2</v>
      </c>
      <c r="M39" s="9" t="str">
        <f t="shared" si="2"/>
        <v>Valid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ht="20" customHeight="1" spans="1:52">
      <c r="A40" s="6">
        <v>34</v>
      </c>
      <c r="B40" s="6" t="s">
        <v>155</v>
      </c>
      <c r="C40" s="6" t="s">
        <v>156</v>
      </c>
      <c r="D40" s="6">
        <v>16</v>
      </c>
      <c r="E40" s="6" t="s">
        <v>157</v>
      </c>
      <c r="F40" s="6" t="s">
        <v>158</v>
      </c>
      <c r="G40" s="7">
        <v>92.0361304909693</v>
      </c>
      <c r="H40" s="7" t="s">
        <v>25</v>
      </c>
      <c r="I40" s="7" t="s">
        <v>26</v>
      </c>
      <c r="J40" s="7" t="s">
        <v>25</v>
      </c>
      <c r="K40" s="8">
        <f t="shared" si="0"/>
        <v>1</v>
      </c>
      <c r="L40" s="8">
        <f t="shared" si="1"/>
        <v>2</v>
      </c>
      <c r="M40" s="9" t="str">
        <f t="shared" si="2"/>
        <v>Valid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2" ht="15" spans="1:52">
      <c r="A42" s="10" t="s">
        <v>159</v>
      </c>
    </row>
    <row r="43" spans="1:52">
      <c r="A43" t="s">
        <v>160</v>
      </c>
    </row>
    <row r="44" spans="1:52">
      <c r="A44" t="s">
        <v>161</v>
      </c>
    </row>
    <row r="45" spans="1:52">
      <c r="A45" t="s">
        <v>162</v>
      </c>
    </row>
    <row r="46" spans="1:52">
      <c r="A46" s="11" t="s">
        <v>163</v>
      </c>
    </row>
    <row r="47" spans="1:52">
      <c r="A47" t="s">
        <v>164</v>
      </c>
    </row>
    <row r="48" spans="1:52">
      <c r="A48" t="s">
        <v>165</v>
      </c>
    </row>
    <row r="49" spans="1:1">
      <c r="A49" t="s">
        <v>166</v>
      </c>
    </row>
    <row r="50" spans="1:1">
      <c r="A50" t="s">
        <v>167</v>
      </c>
    </row>
  </sheetData>
  <sheetProtection password="E249" sheet="1"/>
  <mergeCells count="9">
    <mergeCell ref="H3:J3"/>
    <mergeCell ref="K3:M3"/>
    <mergeCell ref="A3:A6"/>
    <mergeCell ref="B3:B6"/>
    <mergeCell ref="C3:C6"/>
    <mergeCell ref="D3:D6"/>
    <mergeCell ref="E3:E6"/>
    <mergeCell ref="F3:F6"/>
    <mergeCell ref="G3:G6"/>
  </mergeCells>
  <dataValidations count="2">
    <dataValidation type="list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7:J7 I8:J8 H8:H40 I9:J40">
      <formula1>"T,R"</formula1>
    </dataValidation>
    <dataValidation type="whole" operator="between" showInputMessage="1" showErrorMessage="1" errorTitle="Input Salah" error="Hanya boleh memasukkan angka antara 1 dan 100." promptTitle="Input Angka" prompt="Masukkan angka antara 1 dan 100." sqref="G7:G40">
      <formula1>1</formula1>
      <formula2>100</formula2>
    </dataValidation>
  </dataValidation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daniarsyah</cp:lastModifiedBy>
  <dcterms:created xsi:type="dcterms:W3CDTF">2025-12-07T19:41:00Z</dcterms:created>
  <dcterms:modified xsi:type="dcterms:W3CDTF">2025-12-15T10:02:01Z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369C89920FE347FB297A3F69D2883E12_43</vt:lpwstr>
  </property>
  <property fmtid="{D5CDD505-2E9C-101B-9397-08002B2CF9AE}" pid="3" name="KSOProductBuildVer">
    <vt:lpwstr>1033-12.1.2.23578</vt:lpwstr>
  </property>
</Properties>
</file>