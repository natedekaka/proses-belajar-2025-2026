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420" activeTab="2"/>
  </bookViews>
  <sheets>
    <sheet name="XI-1" sheetId="1" r:id="rId1"/>
    <sheet name="XI-2" sheetId="2" r:id="rId2"/>
    <sheet name="XI-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<sst xmlns="http://schemas.openxmlformats.org/spreadsheetml/2006/main" count="83" uniqueCount="79">
  <si>
    <t>kelas XI-1</t>
  </si>
  <si>
    <r>
      <t>=tentukan</t>
    </r>
    <r>
      <rPr>
        <sz val="13"/>
        <color rgb="FF000000"/>
        <rFont val="Instrument Sans"/>
        <charset val="134"/>
      </rPr>
      <t xml:space="preserve"> </t>
    </r>
    <r>
      <rPr>
        <sz val="13"/>
        <color rgb="FF000000"/>
        <rFont val="Liberation Sans"/>
        <charset val="134"/>
      </rPr>
      <t>nilai</t>
    </r>
    <r>
      <rPr>
        <sz val="13"/>
        <color rgb="FF000000"/>
        <rFont val="Instrument Sans"/>
        <charset val="134"/>
      </rPr>
      <t xml:space="preserve"> </t>
    </r>
    <r>
      <rPr>
        <sz val="13"/>
        <color rgb="FF000000"/>
        <rFont val="Liberation Sans"/>
        <charset val="134"/>
      </rPr>
      <t>diatas</t>
    </r>
    <r>
      <rPr>
        <sz val="13"/>
        <color rgb="FF000000"/>
        <rFont val="Instrument Sans"/>
        <charset val="134"/>
      </rPr>
      <t xml:space="preserve"> </t>
    </r>
    <r>
      <rPr>
        <sz val="13"/>
        <color rgb="FF000000"/>
        <rFont val="Liberation Sans"/>
        <charset val="134"/>
      </rPr>
      <t>KKM</t>
    </r>
    <r>
      <rPr>
        <sz val="13"/>
        <color rgb="FF000000"/>
        <rFont val="Instrument Sans"/>
        <charset val="134"/>
      </rPr>
      <t xml:space="preserve"> </t>
    </r>
    <r>
      <rPr>
        <sz val="13"/>
        <color rgb="FF000000"/>
        <rFont val="Liberation Sans"/>
        <charset val="134"/>
      </rPr>
      <t>dikit</t>
    </r>
    <r>
      <rPr>
        <sz val="13"/>
        <color rgb="FF000000"/>
        <rFont val="Instrument Sans"/>
        <charset val="134"/>
      </rPr>
      <t xml:space="preserve"> </t>
    </r>
    <r>
      <rPr>
        <sz val="13"/>
        <color rgb="FF000000"/>
        <rFont val="Liberation Sans"/>
        <charset val="134"/>
      </rPr>
      <t>yang</t>
    </r>
    <r>
      <rPr>
        <sz val="13"/>
        <color rgb="FF000000"/>
        <rFont val="Instrument Sans"/>
        <charset val="134"/>
      </rPr>
      <t xml:space="preserve"> </t>
    </r>
    <r>
      <rPr>
        <sz val="13"/>
        <color rgb="FF000000"/>
        <rFont val="Liberation Sans"/>
        <charset val="134"/>
      </rPr>
      <t>diinginkan+((nilai</t>
    </r>
    <r>
      <rPr>
        <sz val="13"/>
        <color rgb="FF000000"/>
        <rFont val="Instrument Sans"/>
        <charset val="134"/>
      </rPr>
      <t xml:space="preserve"> </t>
    </r>
    <r>
      <rPr>
        <sz val="13"/>
        <color rgb="FF000000"/>
        <rFont val="Liberation Sans"/>
        <charset val="134"/>
      </rPr>
      <t>anak</t>
    </r>
    <r>
      <rPr>
        <sz val="13"/>
        <color rgb="FF000000"/>
        <rFont val="Instrument Sans"/>
        <charset val="134"/>
      </rPr>
      <t xml:space="preserve"> </t>
    </r>
    <r>
      <rPr>
        <sz val="13"/>
        <color rgb="FF000000"/>
        <rFont val="Liberation Sans"/>
        <charset val="134"/>
      </rPr>
      <t>–</t>
    </r>
    <r>
      <rPr>
        <sz val="13"/>
        <color rgb="FF000000"/>
        <rFont val="Instrument Sans"/>
        <charset val="134"/>
      </rPr>
      <t xml:space="preserve"> </t>
    </r>
    <r>
      <rPr>
        <sz val="13"/>
        <color rgb="FF000000"/>
        <rFont val="Liberation Sans"/>
        <charset val="134"/>
      </rPr>
      <t>nilai</t>
    </r>
    <r>
      <rPr>
        <sz val="13"/>
        <color rgb="FF000000"/>
        <rFont val="Instrument Sans"/>
        <charset val="134"/>
      </rPr>
      <t xml:space="preserve"> </t>
    </r>
    <r>
      <rPr>
        <sz val="13"/>
        <color rgb="FF000000"/>
        <rFont val="Liberation Sans"/>
        <charset val="134"/>
      </rPr>
      <t>terkecil</t>
    </r>
    <r>
      <rPr>
        <sz val="13"/>
        <color rgb="FF000000"/>
        <rFont val="Instrument Sans"/>
        <charset val="134"/>
      </rPr>
      <t xml:space="preserve"> </t>
    </r>
    <r>
      <rPr>
        <sz val="13"/>
        <color rgb="FF000000"/>
        <rFont val="Liberation Sans"/>
        <charset val="134"/>
      </rPr>
      <t>keseluruhan)/(nilai</t>
    </r>
    <r>
      <rPr>
        <sz val="13"/>
        <color rgb="FF000000"/>
        <rFont val="Instrument Sans"/>
        <charset val="134"/>
      </rPr>
      <t xml:space="preserve"> </t>
    </r>
    <r>
      <rPr>
        <sz val="13"/>
        <color rgb="FF000000"/>
        <rFont val="Liberation Sans"/>
        <charset val="134"/>
      </rPr>
      <t>terbesar</t>
    </r>
    <r>
      <rPr>
        <sz val="13"/>
        <color rgb="FF000000"/>
        <rFont val="Instrument Sans"/>
        <charset val="134"/>
      </rPr>
      <t xml:space="preserve"> </t>
    </r>
    <r>
      <rPr>
        <sz val="13"/>
        <color rgb="FF000000"/>
        <rFont val="Liberation Sans"/>
        <charset val="134"/>
      </rPr>
      <t>keseluruhan</t>
    </r>
    <r>
      <rPr>
        <sz val="13"/>
        <color rgb="FF000000"/>
        <rFont val="Instrument Sans"/>
        <charset val="134"/>
      </rPr>
      <t xml:space="preserve"> </t>
    </r>
    <r>
      <rPr>
        <sz val="13"/>
        <color rgb="FF000000"/>
        <rFont val="Liberation Sans"/>
        <charset val="134"/>
      </rPr>
      <t>–</t>
    </r>
    <r>
      <rPr>
        <sz val="13"/>
        <color rgb="FF000000"/>
        <rFont val="Instrument Sans"/>
        <charset val="134"/>
      </rPr>
      <t xml:space="preserve"> </t>
    </r>
    <r>
      <rPr>
        <sz val="13"/>
        <color rgb="FF000000"/>
        <rFont val="Liberation Sans"/>
        <charset val="134"/>
      </rPr>
      <t>nilai</t>
    </r>
    <r>
      <rPr>
        <sz val="13"/>
        <color rgb="FF000000"/>
        <rFont val="Instrument Sans"/>
        <charset val="134"/>
      </rPr>
      <t xml:space="preserve"> </t>
    </r>
    <r>
      <rPr>
        <sz val="13"/>
        <color rgb="FF000000"/>
        <rFont val="Liberation Sans"/>
        <charset val="134"/>
      </rPr>
      <t>terkecil</t>
    </r>
    <r>
      <rPr>
        <sz val="13"/>
        <color rgb="FF000000"/>
        <rFont val="Instrument Sans"/>
        <charset val="134"/>
      </rPr>
      <t xml:space="preserve"> </t>
    </r>
    <r>
      <rPr>
        <sz val="13"/>
        <color rgb="FF000000"/>
        <rFont val="Liberation Sans"/>
        <charset val="134"/>
      </rPr>
      <t>keseluruhan)*(nilai</t>
    </r>
    <r>
      <rPr>
        <sz val="13"/>
        <color rgb="FF000000"/>
        <rFont val="Instrument Sans"/>
        <charset val="134"/>
      </rPr>
      <t xml:space="preserve"> </t>
    </r>
    <r>
      <rPr>
        <sz val="13"/>
        <color rgb="FF000000"/>
        <rFont val="Liberation Sans"/>
        <charset val="134"/>
      </rPr>
      <t>terbesar</t>
    </r>
    <r>
      <rPr>
        <sz val="13"/>
        <color rgb="FF000000"/>
        <rFont val="Instrument Sans"/>
        <charset val="134"/>
      </rPr>
      <t xml:space="preserve"> </t>
    </r>
    <r>
      <rPr>
        <sz val="13"/>
        <color rgb="FF000000"/>
        <rFont val="Liberation Sans"/>
        <charset val="134"/>
      </rPr>
      <t>yang</t>
    </r>
    <r>
      <rPr>
        <sz val="13"/>
        <color rgb="FF000000"/>
        <rFont val="Instrument Sans"/>
        <charset val="134"/>
      </rPr>
      <t xml:space="preserve"> </t>
    </r>
    <r>
      <rPr>
        <sz val="13"/>
        <color rgb="FF000000"/>
        <rFont val="Liberation Sans"/>
        <charset val="134"/>
      </rPr>
      <t>diinginkan</t>
    </r>
    <r>
      <rPr>
        <sz val="13"/>
        <color rgb="FF000000"/>
        <rFont val="Instrument Sans"/>
        <charset val="134"/>
      </rPr>
      <t xml:space="preserve"> </t>
    </r>
    <r>
      <rPr>
        <sz val="13"/>
        <color rgb="FF000000"/>
        <rFont val="Liberation Sans"/>
        <charset val="134"/>
      </rPr>
      <t>–</t>
    </r>
    <r>
      <rPr>
        <sz val="13"/>
        <color rgb="FF000000"/>
        <rFont val="Instrument Sans"/>
        <charset val="134"/>
      </rPr>
      <t xml:space="preserve"> </t>
    </r>
    <r>
      <rPr>
        <sz val="13"/>
        <color rgb="FF000000"/>
        <rFont val="Liberation Sans"/>
        <charset val="134"/>
      </rPr>
      <t>nilai</t>
    </r>
    <r>
      <rPr>
        <sz val="13"/>
        <color rgb="FF000000"/>
        <rFont val="Instrument Sans"/>
        <charset val="134"/>
      </rPr>
      <t xml:space="preserve"> </t>
    </r>
    <r>
      <rPr>
        <sz val="13"/>
        <color rgb="FF000000"/>
        <rFont val="Liberation Sans"/>
        <charset val="134"/>
      </rPr>
      <t>diatas</t>
    </r>
    <r>
      <rPr>
        <sz val="13"/>
        <color rgb="FF000000"/>
        <rFont val="Instrument Sans"/>
        <charset val="134"/>
      </rPr>
      <t xml:space="preserve"> </t>
    </r>
    <r>
      <rPr>
        <sz val="13"/>
        <color rgb="FF000000"/>
        <rFont val="Liberation Sans"/>
        <charset val="134"/>
      </rPr>
      <t>KKM</t>
    </r>
    <r>
      <rPr>
        <sz val="13"/>
        <color rgb="FF000000"/>
        <rFont val="Instrument Sans"/>
        <charset val="134"/>
      </rPr>
      <t xml:space="preserve"> </t>
    </r>
    <r>
      <rPr>
        <sz val="13"/>
        <color rgb="FF000000"/>
        <rFont val="Liberation Sans"/>
        <charset val="134"/>
      </rPr>
      <t>dikit</t>
    </r>
    <r>
      <rPr>
        <sz val="13"/>
        <color rgb="FF000000"/>
        <rFont val="Instrument Sans"/>
        <charset val="134"/>
      </rPr>
      <t xml:space="preserve"> </t>
    </r>
    <r>
      <rPr>
        <sz val="13"/>
        <color rgb="FF000000"/>
        <rFont val="Liberation Sans"/>
        <charset val="134"/>
      </rPr>
      <t>yang</t>
    </r>
    <r>
      <rPr>
        <sz val="13"/>
        <color rgb="FF000000"/>
        <rFont val="Instrument Sans"/>
        <charset val="134"/>
      </rPr>
      <t xml:space="preserve"> </t>
    </r>
    <r>
      <rPr>
        <sz val="13"/>
        <color rgb="FF000000"/>
        <rFont val="Liberation Sans"/>
        <charset val="134"/>
      </rPr>
      <t>diinginkan))</t>
    </r>
  </si>
  <si>
    <t>max</t>
  </si>
  <si>
    <t>min</t>
  </si>
  <si>
    <t>ALFAIRA BERLIYANI</t>
  </si>
  <si>
    <t>AMELIA RAHMA ARISTAWATI</t>
  </si>
  <si>
    <t>ANGGITA ASTYANI</t>
  </si>
  <si>
    <t>AULIA AZKA MUKAYYIS</t>
  </si>
  <si>
    <t>AURA DWI ANZHANI</t>
  </si>
  <si>
    <t>AZKA BAHARRIZKI PUTRA HERMANTO</t>
  </si>
  <si>
    <t>CINTA DWI APRILIANA</t>
  </si>
  <si>
    <t>DERIEL RAFIQAYSA</t>
  </si>
  <si>
    <t>EFFLLY RACHMAWATI NOERANI</t>
  </si>
  <si>
    <t>FAREL ANDHIKA PUTRA</t>
  </si>
  <si>
    <t>FATHIN ABIYYU SUKMA</t>
  </si>
  <si>
    <t>FAWAZA BARIQ ALKAMIL</t>
  </si>
  <si>
    <t>FITRIA RIZQI AMALIA SUCI</t>
  </si>
  <si>
    <t>GUIDO JOSAFAT</t>
  </si>
  <si>
    <t>KAYLA HUMAIRA MAULIDA AZZAHRA</t>
  </si>
  <si>
    <t>KEIKO AQILA ANANDIRA</t>
  </si>
  <si>
    <t>KESYA KIANYA QUROTA'AYUNI</t>
  </si>
  <si>
    <t>KEYSA REGITA NURFITRI ADRIANA</t>
  </si>
  <si>
    <t>KEYZILA NAFFISAHANIF</t>
  </si>
  <si>
    <t>LAUDYA CANTIKA SARI</t>
  </si>
  <si>
    <t>LESTARI DWI ALTHAFUNISA</t>
  </si>
  <si>
    <t>MUHAMMAD AHNAF ALFAREZI</t>
  </si>
  <si>
    <t>MUHAMMAD FAUZAN AZMI HANIF</t>
  </si>
  <si>
    <t>NABIILA NUR TAMIIMAH</t>
  </si>
  <si>
    <t>NABILA GUNAWAN</t>
  </si>
  <si>
    <t>NADIA MAHARANI</t>
  </si>
  <si>
    <t>NADYA NUR ATTIFA RISALMA</t>
  </si>
  <si>
    <t>NAYARI ISNA LATIFAH</t>
  </si>
  <si>
    <t>NAZLA NA'IMAH SIBGHATULLAH</t>
  </si>
  <si>
    <t>RADEN MUHAMMAD RAFI SHOLIHUDDIN</t>
  </si>
  <si>
    <t>RAFI IKHSAN ALRASYID</t>
  </si>
  <si>
    <t>RAISYA ANGELIA</t>
  </si>
  <si>
    <t>SAFFANAH PUTRI KAMILAH</t>
  </si>
  <si>
    <t>SILMI AGHNIYA AZ-ZAHRA</t>
  </si>
  <si>
    <t>TANTI AZIZAH PUTRI JAMALUDIN</t>
  </si>
  <si>
    <t>TASYA ASTI AURELIA</t>
  </si>
  <si>
    <t>ABDHI RESTU PRATAMA</t>
  </si>
  <si>
    <t>ADEELA HALWA KHAIRANI</t>
  </si>
  <si>
    <t>AGNA ARUNI AMALIA</t>
  </si>
  <si>
    <t>ALVIN NURAHMAN</t>
  </si>
  <si>
    <t>AMALIA TRIYANI</t>
  </si>
  <si>
    <t>AMELIA PUTRI PRATIWI</t>
  </si>
  <si>
    <t>ANIS FITRY</t>
  </si>
  <si>
    <t>ANUGRAH WIYASA</t>
  </si>
  <si>
    <t>ARLYN NAFIZA PUTRI RAHMAN</t>
  </si>
  <si>
    <t>CAHYA KUMAIRA PUTRI HIDAYAH</t>
  </si>
  <si>
    <t>CHIKA SAKURA</t>
  </si>
  <si>
    <t>DEWI ANDRIYANI</t>
  </si>
  <si>
    <t>DIANA ARISTA</t>
  </si>
  <si>
    <t>FILDZA KHAIRINA RIDWAN</t>
  </si>
  <si>
    <t>GARNETTA ARTANTY</t>
  </si>
  <si>
    <t>GHIANDRA MAULANA</t>
  </si>
  <si>
    <t>INTAN AULIA HIDAYAH</t>
  </si>
  <si>
    <t>JIHAN NAQIYA</t>
  </si>
  <si>
    <t>KAFKA ABDEE HAFIEDZ</t>
  </si>
  <si>
    <t>KENFITRIA SALSABILA PEGARANI</t>
  </si>
  <si>
    <t>LUBNA LUTFIFFAH</t>
  </si>
  <si>
    <t>LUTFIAH OKTAFIANI</t>
  </si>
  <si>
    <t>MALFA RAISYA KHANSA</t>
  </si>
  <si>
    <t>MEGA LESTARI</t>
  </si>
  <si>
    <t>MUHAMAD ALIFFIAN RAMADHANI</t>
  </si>
  <si>
    <t>MUHAMMAD ARSYAD ALYASA</t>
  </si>
  <si>
    <t>MUHAMMAD RIZKI MALIK ABDILAH</t>
  </si>
  <si>
    <t>MUHAMMAD ZIYAD ARHATTA</t>
  </si>
  <si>
    <t>NABILLA KHOIRUNNISA</t>
  </si>
  <si>
    <t>NAZWA HASNA PUTERI</t>
  </si>
  <si>
    <t>NISRINA ANDRIANI MARDIAH</t>
  </si>
  <si>
    <t>OKTAVIANI FITRIA</t>
  </si>
  <si>
    <t>PRISA RAHMA</t>
  </si>
  <si>
    <t>PUTRI TSAMROTUL FUADAH</t>
  </si>
  <si>
    <t>RADEN MOCHAMAD REYHAN FIRDAUS</t>
  </si>
  <si>
    <t>REYSYA RINDU ANANDA</t>
  </si>
  <si>
    <t>SAMMY ADHITYA RAHMAN</t>
  </si>
  <si>
    <t>SISKA UMAEROH</t>
  </si>
  <si>
    <t>ZIDANE DZIAULHAQ FAHDILLA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</si>
</sst>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sz val="13"/>
      <color rgb="FF000000"/>
      <name val="Liberation San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3"/>
      <color rgb="FF000000"/>
      <name val="Instrument Sans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Fill="1" applyBorder="1" applyAlignment="1" applyProtection="1">
      <alignment vertical="top"/>
    </xf>
    <xf numFmtId="0" fontId="1" fillId="0" borderId="1" xfId="0" applyFont="1" applyFill="1" applyBorder="1" applyAlignment="1" applyProtection="1">
      <alignment horizontal="center" vertical="top"/>
      <protection locked="0"/>
    </xf>
    <xf numFmtId="0" fontId="1" fillId="0" borderId="1" xfId="0" applyFont="1" applyFill="1" applyBorder="1" applyAlignment="1" applyProtection="1">
      <alignment horizontal="center" vertical="top" wrapText="1"/>
      <protection locked="0"/>
    </xf>
    <xf numFmtId="0" fontId="2" fillId="0" borderId="0" xfId="0" applyFont="1" applyAlignment="1">
      <alignment vertical="center"/>
    </xf>
    <xf numFmtId="0" fontId="2" fillId="0" borderId="0" xfId="0" applyFont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2:M43"/>
  <sheetViews>
    <sheetView workbookViewId="0">
      <selection activeCell="I6" sqref="I6"/>
    </sheetView>
  </sheetViews>
  <sheetFormatPr defaultColWidth="9" defaultRowHeight="14.25"/>
  <cols>
    <col min="8" max="8" width="12.625" customWidth="1"/>
    <col min="9" max="9" width="12.625"/>
  </cols>
  <sheetData>
    <row r="2" spans="8:13">
      <c r="H2" t="s">
        <v>0</v>
      </c>
    </row>
    <row r="5" ht="16.5" spans="8:13">
      <c r="H5" s="3">
        <v>89.4992036186914</v>
      </c>
      <c r="I5">
        <f>89+((H5-$H$41)/($H$40-$H$41)*(93-89))</f>
        <v>91.3328024124609</v>
      </c>
      <c r="M5" s="5" t="s">
        <v>1</v>
      </c>
    </row>
    <row r="6" spans="8:13">
      <c r="H6" s="3">
        <v>92</v>
      </c>
      <c r="I6">
        <f t="shared" ref="I6:I38" si="0">89+((H6-$H$41)/($H$40-$H$41)*(93-89))</f>
        <v>93</v>
      </c>
    </row>
    <row r="7" spans="8:13">
      <c r="H7" s="3">
        <v>90.1020224618278</v>
      </c>
      <c r="I7">
        <f t="shared" si="0"/>
        <v>91.7346816412185</v>
      </c>
    </row>
    <row r="8" spans="8:13">
      <c r="H8" s="3">
        <v>87.6795793964633</v>
      </c>
      <c r="I8">
        <f t="shared" si="0"/>
        <v>90.1197195976422</v>
      </c>
    </row>
    <row r="9" spans="8:13">
      <c r="H9" s="3">
        <v>86.2058987280332</v>
      </c>
      <c r="I9">
        <f t="shared" si="0"/>
        <v>89.1372658186888</v>
      </c>
    </row>
    <row r="10" spans="8:13">
      <c r="H10" s="3">
        <v>86.868326865072</v>
      </c>
      <c r="I10">
        <f t="shared" si="0"/>
        <v>89.5788845767147</v>
      </c>
    </row>
    <row r="11" spans="8:13">
      <c r="H11" s="3">
        <v>90.2032577195963</v>
      </c>
      <c r="I11">
        <f t="shared" si="0"/>
        <v>91.8021718130642</v>
      </c>
    </row>
    <row r="12" spans="8:13">
      <c r="H12" s="3">
        <v>88.6426766569524</v>
      </c>
      <c r="I12">
        <f t="shared" si="0"/>
        <v>90.7617844379683</v>
      </c>
    </row>
    <row r="13" spans="8:13">
      <c r="H13" s="3">
        <v>89.4878401445519</v>
      </c>
      <c r="I13">
        <f t="shared" si="0"/>
        <v>91.3252267630346</v>
      </c>
    </row>
    <row r="14" spans="8:13">
      <c r="H14" s="3">
        <v>88.1861798781669</v>
      </c>
      <c r="I14">
        <f t="shared" si="0"/>
        <v>90.4574532521113</v>
      </c>
    </row>
    <row r="15" spans="8:13">
      <c r="H15" s="3">
        <v>90.3710504687535</v>
      </c>
      <c r="I15">
        <f t="shared" si="0"/>
        <v>91.9140336458357</v>
      </c>
    </row>
    <row r="16" spans="8:13">
      <c r="H16" s="3">
        <v>86.0141961851194</v>
      </c>
      <c r="I16">
        <f t="shared" si="0"/>
        <v>89.0094641234129</v>
      </c>
    </row>
    <row r="17" spans="8:9">
      <c r="H17" s="3">
        <v>88.8915228727646</v>
      </c>
      <c r="I17">
        <f t="shared" si="0"/>
        <v>90.9276819151764</v>
      </c>
    </row>
    <row r="18" spans="8:9">
      <c r="H18" s="3">
        <v>90.6387895819865</v>
      </c>
      <c r="I18">
        <f t="shared" si="0"/>
        <v>92.092526387991</v>
      </c>
    </row>
    <row r="19" spans="8:9">
      <c r="H19" s="3">
        <v>91.9202517421479</v>
      </c>
      <c r="I19">
        <f t="shared" si="0"/>
        <v>92.9468344947653</v>
      </c>
    </row>
    <row r="20" spans="8:9">
      <c r="H20" s="3">
        <v>87.3984047901163</v>
      </c>
      <c r="I20">
        <f t="shared" si="0"/>
        <v>89.9322698600775</v>
      </c>
    </row>
    <row r="21" spans="8:9">
      <c r="H21" s="3">
        <v>91.054539373459</v>
      </c>
      <c r="I21">
        <f t="shared" si="0"/>
        <v>92.3696929156393</v>
      </c>
    </row>
    <row r="22" spans="8:9">
      <c r="H22" s="3">
        <v>87.3122610091304</v>
      </c>
      <c r="I22">
        <f t="shared" si="0"/>
        <v>89.8748406727536</v>
      </c>
    </row>
    <row r="23" spans="8:9">
      <c r="H23" s="3">
        <v>90.740024839755</v>
      </c>
      <c r="I23">
        <f t="shared" si="0"/>
        <v>92.1600165598367</v>
      </c>
    </row>
    <row r="24" spans="8:9">
      <c r="H24" s="3">
        <v>88.7071050264815</v>
      </c>
      <c r="I24">
        <f t="shared" si="0"/>
        <v>90.804736684321</v>
      </c>
    </row>
    <row r="25" spans="8:9">
      <c r="H25" s="3">
        <v>89.1347240605046</v>
      </c>
      <c r="I25">
        <f t="shared" si="0"/>
        <v>91.0898160403364</v>
      </c>
    </row>
    <row r="26" spans="8:9">
      <c r="H26" s="3">
        <v>86</v>
      </c>
      <c r="I26">
        <f t="shared" si="0"/>
        <v>89</v>
      </c>
    </row>
    <row r="27" spans="8:9">
      <c r="H27" s="3">
        <v>90.7995749913836</v>
      </c>
      <c r="I27">
        <f t="shared" si="0"/>
        <v>92.1997166609224</v>
      </c>
    </row>
    <row r="28" spans="8:9">
      <c r="H28" s="3">
        <v>90.4161699055559</v>
      </c>
      <c r="I28">
        <f t="shared" si="0"/>
        <v>91.9441132703706</v>
      </c>
    </row>
    <row r="29" spans="8:9">
      <c r="H29" s="3">
        <v>90</v>
      </c>
      <c r="I29">
        <f t="shared" si="0"/>
        <v>91.6666666666667</v>
      </c>
    </row>
    <row r="30" spans="8:9">
      <c r="H30" s="3">
        <v>91.8637688312059</v>
      </c>
      <c r="I30">
        <f t="shared" si="0"/>
        <v>92.9091792208039</v>
      </c>
    </row>
    <row r="31" spans="8:9">
      <c r="H31" s="3">
        <v>89.7891802269024</v>
      </c>
      <c r="I31">
        <f t="shared" si="0"/>
        <v>91.5261201512683</v>
      </c>
    </row>
    <row r="32" spans="8:9">
      <c r="H32" s="3">
        <v>87.9600932408539</v>
      </c>
      <c r="I32">
        <f t="shared" si="0"/>
        <v>90.3067288272359</v>
      </c>
    </row>
    <row r="33" spans="7:9">
      <c r="H33" s="3">
        <v>87.837403613389</v>
      </c>
      <c r="I33">
        <f t="shared" si="0"/>
        <v>90.2249357422593</v>
      </c>
    </row>
    <row r="34" spans="7:9">
      <c r="H34" s="3">
        <v>90.8367326544888</v>
      </c>
      <c r="I34">
        <f t="shared" si="0"/>
        <v>92.2244884363259</v>
      </c>
    </row>
    <row r="35" spans="7:9">
      <c r="H35" s="3">
        <v>86.8043838700665</v>
      </c>
      <c r="I35">
        <f t="shared" si="0"/>
        <v>89.5362559133777</v>
      </c>
    </row>
    <row r="36" spans="7:9">
      <c r="H36" s="3">
        <v>89.5206743034978</v>
      </c>
      <c r="I36">
        <f t="shared" si="0"/>
        <v>91.3471162023319</v>
      </c>
    </row>
    <row r="37" spans="7:9">
      <c r="H37" s="3">
        <v>89.6933289554455</v>
      </c>
      <c r="I37">
        <f t="shared" si="0"/>
        <v>91.4622193036303</v>
      </c>
    </row>
    <row r="38" spans="7:9">
      <c r="H38" s="3">
        <v>90.5541957364539</v>
      </c>
      <c r="I38">
        <f t="shared" si="0"/>
        <v>92.0361304909693</v>
      </c>
    </row>
    <row r="40" spans="7:9">
      <c r="G40" t="s">
        <v>2</v>
      </c>
      <c r="H40">
        <f>MAX(H5:H38)</f>
        <v>92</v>
      </c>
      <c r="I40">
        <f>MAX(I5:I38)</f>
        <v>93</v>
      </c>
    </row>
    <row r="41" spans="7:9">
      <c r="G41" t="s">
        <v>3</v>
      </c>
      <c r="H41">
        <f>MIN(H5:H38)</f>
        <v>86</v>
      </c>
      <c r="I41">
        <f>MIN(I5:I38)</f>
        <v>89</v>
      </c>
    </row>
    <row r="43" spans="7:9">
      <c r="I43">
        <f>AVERAGE(I5:I38)</f>
        <v>91.1398698382121</v>
      </c>
    </row>
  </sheetData>
  <dataValidations count="1">
    <dataValidation type="whole" operator="between" showInputMessage="1" showErrorMessage="1" errorTitle="Input Salah" error="Hanya boleh memasukkan angka antara 1 dan 100." promptTitle="Input Angka" prompt="Masukkan angka antara 1 dan 100." sqref="H5:H38">
      <formula1>1</formula1>
      <formula2>100</formula2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E42"/>
  <sheetViews>
    <sheetView topLeftCell="A3" workbookViewId="0">
      <selection activeCell="E4" sqref="E4"/>
    </sheetView>
  </sheetViews>
  <sheetFormatPr defaultColWidth="9" defaultRowHeight="14.25" outlineLevelCol="4"/>
  <cols>
    <col min="3" max="3" width="41.375" customWidth="1"/>
    <col min="4" max="5" width="12.625"/>
  </cols>
  <sheetData>
    <row r="4" spans="3:5">
      <c r="C4" s="1" t="s">
        <v>4</v>
      </c>
      <c r="D4" s="2">
        <v>90.3305011271025</v>
      </c>
      <c r="E4">
        <f>89+((D4-$D$42)/($D$41-$D$42)*(93-89))</f>
        <v>91.8870007514017</v>
      </c>
    </row>
    <row r="5" spans="3:5">
      <c r="C5" s="1" t="s">
        <v>5</v>
      </c>
      <c r="D5" s="2">
        <v>88.9467660828854</v>
      </c>
      <c r="E5">
        <f t="shared" ref="E5:E39" si="0">89+((D5-$D$42)/($D$41-$D$42)*(93-89))</f>
        <v>90.9645107219236</v>
      </c>
    </row>
    <row r="6" spans="3:5">
      <c r="C6" s="1" t="s">
        <v>6</v>
      </c>
      <c r="D6" s="2">
        <v>89.9011617825559</v>
      </c>
      <c r="E6">
        <f t="shared" si="0"/>
        <v>91.6007745217039</v>
      </c>
    </row>
    <row r="7" spans="3:5">
      <c r="C7" s="1" t="s">
        <v>7</v>
      </c>
      <c r="D7" s="2">
        <v>91.4229235304318</v>
      </c>
      <c r="E7">
        <f t="shared" si="0"/>
        <v>92.6152823536212</v>
      </c>
    </row>
    <row r="8" spans="3:5">
      <c r="C8" s="1" t="s">
        <v>8</v>
      </c>
      <c r="D8" s="2">
        <v>87.4693948326686</v>
      </c>
      <c r="E8">
        <f t="shared" si="0"/>
        <v>89.9795965551124</v>
      </c>
    </row>
    <row r="9" spans="3:5">
      <c r="C9" s="1" t="s">
        <v>9</v>
      </c>
      <c r="D9" s="2">
        <v>88.6367262007976</v>
      </c>
      <c r="E9">
        <f t="shared" si="0"/>
        <v>90.7578174671984</v>
      </c>
    </row>
    <row r="10" spans="3:5">
      <c r="C10" s="1" t="s">
        <v>10</v>
      </c>
      <c r="D10" s="2">
        <v>87.7600138720305</v>
      </c>
      <c r="E10">
        <f t="shared" si="0"/>
        <v>90.1733425813537</v>
      </c>
    </row>
    <row r="11" spans="3:5">
      <c r="C11" s="1" t="s">
        <v>11</v>
      </c>
      <c r="D11" s="2">
        <v>89.773539101786</v>
      </c>
      <c r="E11">
        <f t="shared" si="0"/>
        <v>91.515692734524</v>
      </c>
    </row>
    <row r="12" spans="3:5">
      <c r="C12" s="1" t="s">
        <v>12</v>
      </c>
      <c r="D12" s="2">
        <v>89.9011617825559</v>
      </c>
      <c r="E12">
        <f t="shared" si="0"/>
        <v>91.6007745217039</v>
      </c>
    </row>
    <row r="13" spans="3:5">
      <c r="C13" s="1" t="s">
        <v>13</v>
      </c>
      <c r="D13" s="2">
        <v>86</v>
      </c>
      <c r="E13">
        <f t="shared" si="0"/>
        <v>89</v>
      </c>
    </row>
    <row r="14" spans="3:5">
      <c r="C14" s="1" t="s">
        <v>14</v>
      </c>
      <c r="D14" s="2">
        <v>88.986301369863</v>
      </c>
      <c r="E14">
        <f t="shared" si="0"/>
        <v>90.9908675799087</v>
      </c>
    </row>
    <row r="15" spans="3:5">
      <c r="C15" s="1" t="s">
        <v>15</v>
      </c>
      <c r="D15" s="2">
        <v>89.7589734697416</v>
      </c>
      <c r="E15">
        <f t="shared" si="0"/>
        <v>91.5059823131611</v>
      </c>
    </row>
    <row r="16" spans="3:5">
      <c r="C16" s="1" t="s">
        <v>16</v>
      </c>
      <c r="D16" s="2">
        <v>88.4036760880874</v>
      </c>
      <c r="E16">
        <f t="shared" si="0"/>
        <v>90.6024507253916</v>
      </c>
    </row>
    <row r="17" spans="3:5">
      <c r="C17" s="1" t="s">
        <v>17</v>
      </c>
      <c r="D17" s="2">
        <v>92</v>
      </c>
      <c r="E17">
        <f t="shared" si="0"/>
        <v>93</v>
      </c>
    </row>
    <row r="18" spans="3:5">
      <c r="C18" s="1" t="s">
        <v>18</v>
      </c>
      <c r="D18" s="2">
        <v>89.6258019767644</v>
      </c>
      <c r="E18">
        <f t="shared" si="0"/>
        <v>91.4172013178429</v>
      </c>
    </row>
    <row r="19" spans="3:5">
      <c r="C19" s="1" t="s">
        <v>19</v>
      </c>
      <c r="D19" s="2">
        <v>91.1565805444772</v>
      </c>
      <c r="E19">
        <f t="shared" si="0"/>
        <v>92.4377203629848</v>
      </c>
    </row>
    <row r="20" spans="3:5">
      <c r="C20" s="1" t="s">
        <v>20</v>
      </c>
      <c r="D20" s="2">
        <v>89.4447719784984</v>
      </c>
      <c r="E20">
        <f t="shared" si="0"/>
        <v>91.2965146523323</v>
      </c>
    </row>
    <row r="21" spans="3:5">
      <c r="C21" s="1" t="s">
        <v>21</v>
      </c>
      <c r="D21" s="2">
        <v>87.8044043696896</v>
      </c>
      <c r="E21">
        <f t="shared" si="0"/>
        <v>90.2029362464597</v>
      </c>
    </row>
    <row r="22" spans="3:5">
      <c r="C22" s="1" t="s">
        <v>22</v>
      </c>
      <c r="D22" s="2">
        <v>89.1728801803364</v>
      </c>
      <c r="E22">
        <f t="shared" si="0"/>
        <v>91.1152534535576</v>
      </c>
    </row>
    <row r="23" spans="3:5">
      <c r="C23" s="1" t="s">
        <v>23</v>
      </c>
      <c r="D23" s="2">
        <v>89.8865961505115</v>
      </c>
      <c r="E23">
        <f t="shared" si="0"/>
        <v>91.591064100341</v>
      </c>
    </row>
    <row r="24" spans="3:5">
      <c r="C24" s="1" t="s">
        <v>24</v>
      </c>
      <c r="D24" s="2">
        <v>89.0452574995665</v>
      </c>
      <c r="E24">
        <f t="shared" si="0"/>
        <v>91.0301716663777</v>
      </c>
    </row>
    <row r="25" spans="3:5">
      <c r="C25" s="1" t="s">
        <v>25</v>
      </c>
      <c r="D25" s="2">
        <v>89.0251430553147</v>
      </c>
      <c r="E25">
        <f t="shared" si="0"/>
        <v>91.0167620368765</v>
      </c>
    </row>
    <row r="26" spans="3:5">
      <c r="C26" s="1" t="s">
        <v>26</v>
      </c>
      <c r="D26" s="2">
        <v>88.6755678862494</v>
      </c>
      <c r="E26">
        <f t="shared" si="0"/>
        <v>90.7837119241663</v>
      </c>
    </row>
    <row r="27" spans="3:5">
      <c r="C27" s="1" t="s">
        <v>27</v>
      </c>
      <c r="D27" s="2">
        <v>89.2027050459511</v>
      </c>
      <c r="E27">
        <f t="shared" si="0"/>
        <v>91.1351366973007</v>
      </c>
    </row>
    <row r="28" spans="3:5">
      <c r="C28" s="1" t="s">
        <v>28</v>
      </c>
      <c r="D28" s="2">
        <v>89.5224553494018</v>
      </c>
      <c r="E28">
        <f t="shared" si="0"/>
        <v>91.3483035662679</v>
      </c>
    </row>
    <row r="29" spans="3:5">
      <c r="C29" s="1" t="s">
        <v>29</v>
      </c>
      <c r="D29" s="2">
        <v>89.9954915900815</v>
      </c>
      <c r="E29">
        <f t="shared" si="0"/>
        <v>91.6636610600543</v>
      </c>
    </row>
    <row r="30" spans="3:5">
      <c r="C30" s="1" t="s">
        <v>30</v>
      </c>
      <c r="D30" s="2">
        <v>88.5923357031385</v>
      </c>
      <c r="E30">
        <f t="shared" si="0"/>
        <v>90.7282238020923</v>
      </c>
    </row>
    <row r="31" spans="3:5">
      <c r="C31" s="1" t="s">
        <v>31</v>
      </c>
      <c r="D31" s="2">
        <v>89.4093983006763</v>
      </c>
      <c r="E31">
        <f t="shared" si="0"/>
        <v>91.2729322004509</v>
      </c>
    </row>
    <row r="32" spans="3:5">
      <c r="C32" s="1" t="s">
        <v>32</v>
      </c>
      <c r="D32" s="2">
        <v>89.3802670365875</v>
      </c>
      <c r="E32">
        <f t="shared" si="0"/>
        <v>91.253511357725</v>
      </c>
    </row>
    <row r="33" spans="3:5">
      <c r="C33" s="1" t="s">
        <v>33</v>
      </c>
      <c r="D33" s="2">
        <v>89.3358765389284</v>
      </c>
      <c r="E33">
        <f t="shared" si="0"/>
        <v>91.2239176926189</v>
      </c>
    </row>
    <row r="34" spans="3:5">
      <c r="C34" s="1" t="s">
        <v>34</v>
      </c>
      <c r="D34" s="2">
        <v>89.6757412866308</v>
      </c>
      <c r="E34">
        <f t="shared" si="0"/>
        <v>91.4504941910872</v>
      </c>
    </row>
    <row r="35" spans="3:5">
      <c r="C35" s="1" t="s">
        <v>35</v>
      </c>
      <c r="D35" s="2">
        <v>89.6258019767644</v>
      </c>
      <c r="E35">
        <f t="shared" si="0"/>
        <v>91.4172013178429</v>
      </c>
    </row>
    <row r="36" spans="3:5">
      <c r="C36" s="1" t="s">
        <v>36</v>
      </c>
      <c r="D36" s="2">
        <v>87.3972602739726</v>
      </c>
      <c r="E36">
        <f t="shared" si="0"/>
        <v>89.9315068493151</v>
      </c>
    </row>
    <row r="37" spans="3:5">
      <c r="C37" s="1" t="s">
        <v>37</v>
      </c>
      <c r="D37" s="2">
        <v>88.3461071614358</v>
      </c>
      <c r="E37">
        <f t="shared" si="0"/>
        <v>90.5640714409572</v>
      </c>
    </row>
    <row r="38" spans="3:5">
      <c r="C38" s="1" t="s">
        <v>38</v>
      </c>
      <c r="D38" s="2">
        <v>89.5224553494018</v>
      </c>
      <c r="E38">
        <f t="shared" si="0"/>
        <v>91.3483035662679</v>
      </c>
    </row>
    <row r="39" spans="3:5">
      <c r="C39" s="1" t="s">
        <v>39</v>
      </c>
      <c r="D39" s="2">
        <v>90.3305011271025</v>
      </c>
      <c r="E39">
        <f t="shared" si="0"/>
        <v>91.8870007514017</v>
      </c>
    </row>
    <row r="41" spans="3:5">
      <c r="C41" t="s">
        <v>2</v>
      </c>
      <c r="D41">
        <f>MAX(D4:D39)</f>
        <v>92</v>
      </c>
    </row>
    <row r="42" spans="3:5">
      <c r="C42" t="s">
        <v>3</v>
      </c>
      <c r="D42">
        <f>MIN(D4:D39)</f>
        <v>86</v>
      </c>
    </row>
  </sheetData>
  <dataValidations count="1">
    <dataValidation type="whole" operator="between" showInputMessage="1" showErrorMessage="1" errorTitle="Input Salah" error="Hanya boleh memasukkan angka antara 1 dan 100." promptTitle="Input Angka" prompt="Masukkan angka antara 1 dan 100." sqref="D4:D39">
      <formula1>1</formula1>
      <formula2>100</formula2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D44"/>
  <sheetViews>
    <sheetView tabSelected="1" workbookViewId="0">
      <selection activeCell="F5" sqref="F5"/>
    </sheetView>
  </sheetViews>
  <sheetFormatPr defaultColWidth="9" defaultRowHeight="14.25" outlineLevelCol="3"/>
  <cols>
    <col min="2" max="2" width="40" customWidth="1"/>
    <col min="3" max="4" width="12.625"/>
  </cols>
  <sheetData>
    <row r="3" spans="2:4">
      <c r="B3" s="1" t="s">
        <v>40</v>
      </c>
      <c r="C3" s="2">
        <v>88.5884133755332</v>
      </c>
      <c r="D3">
        <f>89+((C3-$C$44)/($C$43-$C$44)*(93-89))</f>
        <v>90.7256089170221</v>
      </c>
    </row>
    <row r="4" spans="2:4">
      <c r="B4" s="1" t="s">
        <v>41</v>
      </c>
      <c r="C4" s="2">
        <v>88.5047474886473</v>
      </c>
      <c r="D4">
        <f t="shared" ref="D4:D41" si="0">89+((C4-$C$44)/($C$43-$C$44)*(93-89))</f>
        <v>90.6698316590982</v>
      </c>
    </row>
    <row r="5" spans="2:4">
      <c r="B5" s="1" t="s">
        <v>42</v>
      </c>
      <c r="C5" s="2">
        <v>88.5884133755332</v>
      </c>
      <c r="D5">
        <f t="shared" si="0"/>
        <v>90.7256089170221</v>
      </c>
    </row>
    <row r="6" spans="2:4">
      <c r="B6" s="1" t="s">
        <v>43</v>
      </c>
      <c r="C6" s="2">
        <v>89.3469106921701</v>
      </c>
      <c r="D6">
        <f t="shared" si="0"/>
        <v>91.2312737947801</v>
      </c>
    </row>
    <row r="7" spans="2:4">
      <c r="B7" s="1" t="s">
        <v>44</v>
      </c>
      <c r="C7" s="2">
        <v>88.5884133755332</v>
      </c>
      <c r="D7">
        <f t="shared" si="0"/>
        <v>90.7256089170221</v>
      </c>
    </row>
    <row r="8" spans="2:4">
      <c r="B8" s="1" t="s">
        <v>45</v>
      </c>
      <c r="C8" s="2">
        <v>88.104031925141</v>
      </c>
      <c r="D8">
        <f t="shared" si="0"/>
        <v>90.402687950094</v>
      </c>
    </row>
    <row r="9" spans="2:4">
      <c r="B9" s="1" t="s">
        <v>46</v>
      </c>
      <c r="C9" s="2">
        <v>87.0075684601624</v>
      </c>
      <c r="D9">
        <f t="shared" si="0"/>
        <v>89.6717123067749</v>
      </c>
    </row>
    <row r="10" spans="2:4">
      <c r="B10" s="1" t="s">
        <v>47</v>
      </c>
      <c r="C10" s="2">
        <v>88.5581395348837</v>
      </c>
      <c r="D10">
        <f t="shared" si="0"/>
        <v>90.7054263565891</v>
      </c>
    </row>
    <row r="11" spans="2:4">
      <c r="B11" s="1" t="s">
        <v>48</v>
      </c>
      <c r="C11" s="2">
        <v>87.0075684601624</v>
      </c>
      <c r="D11">
        <f t="shared" si="0"/>
        <v>89.6717123067749</v>
      </c>
    </row>
    <row r="12" spans="2:4">
      <c r="B12" s="1" t="s">
        <v>49</v>
      </c>
      <c r="C12" s="2">
        <v>89.7157011146278</v>
      </c>
      <c r="D12">
        <f t="shared" si="0"/>
        <v>91.4771340764185</v>
      </c>
    </row>
    <row r="13" spans="2:4">
      <c r="B13" s="1" t="s">
        <v>50</v>
      </c>
      <c r="C13" s="2">
        <v>91.2514104857575</v>
      </c>
      <c r="D13">
        <f t="shared" si="0"/>
        <v>92.5009403238383</v>
      </c>
    </row>
    <row r="14" spans="2:4">
      <c r="B14" s="1" t="s">
        <v>51</v>
      </c>
      <c r="C14" s="2">
        <v>87.9983486996009</v>
      </c>
      <c r="D14">
        <f t="shared" si="0"/>
        <v>90.3322324664006</v>
      </c>
    </row>
    <row r="15" spans="2:4">
      <c r="B15" s="1" t="s">
        <v>52</v>
      </c>
      <c r="C15" s="2">
        <v>88.1744874088345</v>
      </c>
      <c r="D15">
        <f t="shared" si="0"/>
        <v>90.4496582725563</v>
      </c>
    </row>
    <row r="16" spans="2:4">
      <c r="B16" s="1" t="s">
        <v>53</v>
      </c>
      <c r="C16" s="2">
        <v>88.2933810375671</v>
      </c>
      <c r="D16">
        <f t="shared" si="0"/>
        <v>90.5289206917114</v>
      </c>
    </row>
    <row r="17" spans="2:4">
      <c r="B17" s="1" t="s">
        <v>54</v>
      </c>
      <c r="C17" s="2">
        <v>90.5853859914683</v>
      </c>
      <c r="D17">
        <f t="shared" si="0"/>
        <v>92.0569239943122</v>
      </c>
    </row>
    <row r="18" spans="2:4">
      <c r="B18" s="1" t="s">
        <v>55</v>
      </c>
      <c r="C18" s="2">
        <v>88.4483831016926</v>
      </c>
      <c r="D18">
        <f t="shared" si="0"/>
        <v>90.6322554011284</v>
      </c>
    </row>
    <row r="19" spans="2:4">
      <c r="B19" s="1" t="s">
        <v>56</v>
      </c>
      <c r="C19" s="2">
        <v>88.6544653914958</v>
      </c>
      <c r="D19">
        <f t="shared" si="0"/>
        <v>90.7696435943305</v>
      </c>
    </row>
    <row r="20" spans="2:4">
      <c r="B20" s="1" t="s">
        <v>57</v>
      </c>
      <c r="C20" s="2">
        <v>89.1872849869272</v>
      </c>
      <c r="D20">
        <f t="shared" si="0"/>
        <v>91.1248566579515</v>
      </c>
    </row>
    <row r="21" spans="2:4">
      <c r="B21" s="1" t="s">
        <v>58</v>
      </c>
      <c r="C21" s="2">
        <v>88.2863354891977</v>
      </c>
      <c r="D21">
        <f t="shared" si="0"/>
        <v>90.5242236594651</v>
      </c>
    </row>
    <row r="22" spans="2:4">
      <c r="B22" s="1" t="s">
        <v>59</v>
      </c>
      <c r="C22" s="2">
        <v>88.6236411173799</v>
      </c>
      <c r="D22">
        <f t="shared" si="0"/>
        <v>90.7490940782533</v>
      </c>
    </row>
    <row r="23" spans="2:4">
      <c r="B23" s="1" t="s">
        <v>60</v>
      </c>
      <c r="C23" s="2">
        <v>88.6588688592266</v>
      </c>
      <c r="D23">
        <f t="shared" si="0"/>
        <v>90.7725792394844</v>
      </c>
    </row>
    <row r="24" spans="2:4">
      <c r="B24" s="1" t="s">
        <v>61</v>
      </c>
      <c r="C24" s="2">
        <v>87.3237374432365</v>
      </c>
      <c r="D24">
        <f t="shared" si="0"/>
        <v>89.8824916288243</v>
      </c>
    </row>
    <row r="25" spans="2:4">
      <c r="B25" s="1" t="s">
        <v>62</v>
      </c>
      <c r="C25" s="2">
        <v>89.7157011146278</v>
      </c>
      <c r="D25">
        <f t="shared" si="0"/>
        <v>91.4771340764185</v>
      </c>
    </row>
    <row r="26" spans="2:4">
      <c r="B26" s="1" t="s">
        <v>63</v>
      </c>
      <c r="C26" s="2">
        <v>88.5884133755332</v>
      </c>
      <c r="D26">
        <f t="shared" si="0"/>
        <v>90.7256089170221</v>
      </c>
    </row>
    <row r="27" spans="2:4">
      <c r="B27" s="1" t="s">
        <v>64</v>
      </c>
      <c r="C27" s="2">
        <v>88.7997798266135</v>
      </c>
      <c r="D27">
        <f t="shared" si="0"/>
        <v>90.866519884409</v>
      </c>
    </row>
    <row r="28" spans="2:4">
      <c r="B28" s="1" t="s">
        <v>65</v>
      </c>
      <c r="C28" s="2">
        <v>86.6773083803495</v>
      </c>
      <c r="D28">
        <f t="shared" si="0"/>
        <v>89.451538920233</v>
      </c>
    </row>
    <row r="29" spans="2:4">
      <c r="B29" s="1" t="s">
        <v>66</v>
      </c>
      <c r="C29" s="2">
        <v>89.6991881106371</v>
      </c>
      <c r="D29">
        <f t="shared" si="0"/>
        <v>91.4661254070914</v>
      </c>
    </row>
    <row r="30" spans="2:4">
      <c r="B30" s="1" t="s">
        <v>67</v>
      </c>
      <c r="C30" s="2">
        <v>88.975918535847</v>
      </c>
      <c r="D30">
        <f t="shared" si="0"/>
        <v>90.9839456905647</v>
      </c>
    </row>
    <row r="31" spans="2:4">
      <c r="B31" s="1" t="s">
        <v>68</v>
      </c>
      <c r="C31" s="2">
        <v>92</v>
      </c>
      <c r="D31">
        <f t="shared" si="0"/>
        <v>93</v>
      </c>
    </row>
    <row r="32" spans="2:4">
      <c r="B32" s="1" t="s">
        <v>69</v>
      </c>
      <c r="C32" s="2">
        <v>88.6588688592266</v>
      </c>
      <c r="D32">
        <f t="shared" si="0"/>
        <v>90.7725792394844</v>
      </c>
    </row>
    <row r="33" spans="2:4">
      <c r="B33" s="1" t="s">
        <v>70</v>
      </c>
      <c r="C33" s="2">
        <v>88.6588688592266</v>
      </c>
      <c r="D33">
        <f t="shared" si="0"/>
        <v>90.7725792394844</v>
      </c>
    </row>
    <row r="34" spans="2:4">
      <c r="B34" s="1" t="s">
        <v>71</v>
      </c>
      <c r="C34" s="2">
        <v>88.1744874088345</v>
      </c>
      <c r="D34">
        <f t="shared" si="0"/>
        <v>90.4496582725563</v>
      </c>
    </row>
    <row r="35" spans="2:4">
      <c r="B35" s="1" t="s">
        <v>72</v>
      </c>
      <c r="C35" s="2">
        <v>88.1603963120958</v>
      </c>
      <c r="D35">
        <f t="shared" si="0"/>
        <v>90.4402642080639</v>
      </c>
    </row>
    <row r="36" spans="2:4">
      <c r="B36" s="1" t="s">
        <v>73</v>
      </c>
      <c r="C36" s="2">
        <v>87.9543140222926</v>
      </c>
      <c r="D36">
        <f t="shared" si="0"/>
        <v>90.3028760148617</v>
      </c>
    </row>
    <row r="37" spans="2:4">
      <c r="B37" s="1" t="s">
        <v>74</v>
      </c>
      <c r="C37" s="2">
        <v>89.6991881106371</v>
      </c>
      <c r="D37">
        <f t="shared" si="0"/>
        <v>91.4661254070914</v>
      </c>
    </row>
    <row r="38" spans="2:4">
      <c r="B38" s="1" t="s">
        <v>75</v>
      </c>
      <c r="C38" s="2">
        <v>86</v>
      </c>
      <c r="D38">
        <f t="shared" si="0"/>
        <v>89</v>
      </c>
    </row>
    <row r="39" spans="2:4">
      <c r="B39" s="1" t="s">
        <v>76</v>
      </c>
      <c r="C39" s="2">
        <v>88.0203660382551</v>
      </c>
      <c r="D39">
        <f t="shared" si="0"/>
        <v>90.3469106921701</v>
      </c>
    </row>
    <row r="40" spans="2:4">
      <c r="B40" s="1" t="s">
        <v>77</v>
      </c>
      <c r="C40" s="2">
        <v>88.8350075684602</v>
      </c>
      <c r="D40">
        <f t="shared" si="0"/>
        <v>90.8900050456401</v>
      </c>
    </row>
    <row r="41" spans="2:4">
      <c r="B41" s="1" t="s">
        <v>78</v>
      </c>
      <c r="C41" s="2">
        <v>88.7997798266135</v>
      </c>
      <c r="D41">
        <f t="shared" si="0"/>
        <v>90.866519884409</v>
      </c>
    </row>
    <row r="43" spans="2:4">
      <c r="B43" t="s">
        <v>2</v>
      </c>
      <c r="C43">
        <f>MAX(C3:C41)</f>
        <v>92</v>
      </c>
      <c r="D43">
        <f>MAX(D3:D41)</f>
        <v>93</v>
      </c>
    </row>
    <row r="44" spans="2:4">
      <c r="B44" t="s">
        <v>3</v>
      </c>
      <c r="C44">
        <f>MIN(C3:C41)</f>
        <v>86</v>
      </c>
      <c r="D44">
        <f>MIN(D3:D41)</f>
        <v>89</v>
      </c>
    </row>
  </sheetData>
  <dataValidations count="1">
    <dataValidation type="whole" operator="between" showInputMessage="1" showErrorMessage="1" errorTitle="Input Salah" error="Hanya boleh memasukkan angka antara 1 dan 100." promptTitle="Input Angka" prompt="Masukkan angka antara 1 dan 100." sqref="C3:C41">
      <formula1>1</formula1>
      <formula2>100</formula2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XI-1</vt:lpstr>
      <vt:lpstr>XI-2</vt:lpstr>
      <vt:lpstr>XI-3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daniarsyah</dc:creator>
  <cp:lastModifiedBy>daniarsyah</cp:lastModifiedBy>
  <dcterms:created xsi:type="dcterms:W3CDTF">2025-12-15T09:51:07Z</dcterms:created>
  <dcterms:modified xsi:type="dcterms:W3CDTF">2025-12-15T10:33:11Z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758F9E128AF794409B773F69E1691950_41</vt:lpwstr>
  </property>
  <property fmtid="{D5CDD505-2E9C-101B-9397-08002B2CF9AE}" pid="3" name="KSOProductBuildVer">
    <vt:lpwstr>1033-12.1.2.23578</vt:lpwstr>
  </property>
</Properties>
</file>