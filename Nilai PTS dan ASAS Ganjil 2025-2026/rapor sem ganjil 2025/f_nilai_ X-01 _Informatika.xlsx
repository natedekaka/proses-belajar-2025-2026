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1750" windowHeight="11950"/>
  </bookViews>
  <sheets>
    <sheet name="Workshe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<sst xmlns="http://schemas.openxmlformats.org/spreadsheetml/2006/main" count="420" uniqueCount="228">
  <si>
    <t xml:space="preserve">FORMAT IMPORT NILAI RAPOR INFORMATIKA, KELAS  X-01 </t>
  </si>
  <si>
    <t>9a30ef4b-931e-481e-a773-ad12cd165f20</t>
  </si>
  <si>
    <t>NO</t>
  </si>
  <si>
    <t>NILRPT</t>
  </si>
  <si>
    <t>NISN</t>
  </si>
  <si>
    <t>NAMA SISWA</t>
  </si>
  <si>
    <t>NILAI RAPOR</t>
  </si>
  <si>
    <t>TINGKAT KETERCAPAIAN TP</t>
  </si>
  <si>
    <t>VALIDASI</t>
  </si>
  <si>
    <t>8d504eb0-60c1-4af1-98b6-db3f0d9e0565</t>
  </si>
  <si>
    <t>28085350-99e4-464c-a0b3-1e5ddb14a275</t>
  </si>
  <si>
    <t>164fa34c-94aa-43d3-b024-85af37e6fd8b</t>
  </si>
  <si>
    <t>4034a132-83e7-498b-9272-fa35be2ef877</t>
  </si>
  <si>
    <t>Informatika dan Kemampuan Umum</t>
  </si>
  <si>
    <t>Berpikir Komputasional</t>
  </si>
  <si>
    <t>Teknologi Informasi dan Komunikasi</t>
  </si>
  <si>
    <t>Sistem Komputer</t>
  </si>
  <si>
    <t>TP.1015</t>
  </si>
  <si>
    <t>TP.1016</t>
  </si>
  <si>
    <t>TP.1017</t>
  </si>
  <si>
    <t>TP.1018</t>
  </si>
  <si>
    <t>TR</t>
  </si>
  <si>
    <t>OP</t>
  </si>
  <si>
    <t>NILAI</t>
  </si>
  <si>
    <t>3c08804b-a363-4930-b19a-e5141c7ceca1</t>
  </si>
  <si>
    <t>6cc39d82-1d26-437a-9f6f-c5bdfa10c043</t>
  </si>
  <si>
    <t>0093563232</t>
  </si>
  <si>
    <t>ADELIA ANANDA PUTRI</t>
  </si>
  <si>
    <t>T</t>
  </si>
  <si>
    <t>R</t>
  </si>
  <si>
    <t>34dd062a-d676-49c1-a8a9-0bfcd2a8a75c</t>
  </si>
  <si>
    <t>97f74f9f-77ad-4554-809d-301bf8df808e</t>
  </si>
  <si>
    <t>0091424360</t>
  </si>
  <si>
    <t>AIRA NAURAH ZAIDA</t>
  </si>
  <si>
    <t>29b0a278-7c28-464d-b658-336c825f2879</t>
  </si>
  <si>
    <t>9e0f5e42-26fe-4e4e-9706-375f342acb9c</t>
  </si>
  <si>
    <t>0098216101</t>
  </si>
  <si>
    <t>AKHDAM MAULANA RIZKY</t>
  </si>
  <si>
    <t>776858d9-6efe-492c-9a3f-bc4db2f55564</t>
  </si>
  <si>
    <t>6c41752e-c9e5-4bba-ab49-ab6b7c881577</t>
  </si>
  <si>
    <t>0094405844</t>
  </si>
  <si>
    <t>ALFIKRI SURYA AYUBI</t>
  </si>
  <si>
    <t>b05c2c71-8c2e-498a-a1c7-55884a7dbb88</t>
  </si>
  <si>
    <t>e1657bc7-2b21-4033-a2f0-70f6b51c0ef5</t>
  </si>
  <si>
    <t>0104606607</t>
  </si>
  <si>
    <t>ALIF RAFKA WIJAYA</t>
  </si>
  <si>
    <t>3fd9c3b6-9fad-4845-8c12-143137f55611</t>
  </si>
  <si>
    <t>3c8ea910-63bd-4512-8b78-e8a089254df7</t>
  </si>
  <si>
    <t>0095446594</t>
  </si>
  <si>
    <t>ALVINS SONJAYA ALBAR</t>
  </si>
  <si>
    <t>b30faaf8-fa87-44da-913c-ef8f14bc60ce</t>
  </si>
  <si>
    <t>b4fb9a82-9a86-4c60-9e9d-cd5bbfb61c0c</t>
  </si>
  <si>
    <t>0095121325</t>
  </si>
  <si>
    <t>AMALIYA SITI MABRURROH</t>
  </si>
  <si>
    <t>b054ad1b-a61b-49c7-9ec7-fdda2408d781</t>
  </si>
  <si>
    <t>00f7ad20-7355-4698-adde-59840805eabf</t>
  </si>
  <si>
    <t>0097581098</t>
  </si>
  <si>
    <t>ANNISA HIDAYANTI</t>
  </si>
  <si>
    <t>495055d6-f87c-40cf-9019-28f28e2cfdf4</t>
  </si>
  <si>
    <t>961635df-eccf-4b4d-90fd-a78b5018eeb5</t>
  </si>
  <si>
    <t>0107672332</t>
  </si>
  <si>
    <t>AURELL SHABILA JAYNAPUTRI</t>
  </si>
  <si>
    <t>dbb03c4f-fb90-4f49-a42b-250ebea1f039</t>
  </si>
  <si>
    <t>23a6fa0d-b8ca-4edc-ba08-e6677098144b</t>
  </si>
  <si>
    <t>0098239827</t>
  </si>
  <si>
    <t>AZKA MAYLA KHANSA</t>
  </si>
  <si>
    <t>3e4ae982-4731-491e-a72b-a47d2ee53836</t>
  </si>
  <si>
    <t>cacdfb52-3b8f-43cb-8055-3ac774078b00</t>
  </si>
  <si>
    <t>0091095712</t>
  </si>
  <si>
    <t>AZWAR AUFA HARDIANSYAH</t>
  </si>
  <si>
    <t>1aed2009-b24c-4eb2-b8f9-8c09b779d841</t>
  </si>
  <si>
    <t>22affa92-ef43-4661-9773-b72a0a2b430e</t>
  </si>
  <si>
    <t>0102789907</t>
  </si>
  <si>
    <t>AZZIRA SYIFA SUPANGAT</t>
  </si>
  <si>
    <t>cdf3585c-871a-4f7d-8f19-81f15ec4eb81</t>
  </si>
  <si>
    <t>232effb1-71bc-41c5-807b-04c3e8b033cc</t>
  </si>
  <si>
    <t>0097604287</t>
  </si>
  <si>
    <t>CHEISYA YOLLANDA PUTRI AZKIA</t>
  </si>
  <si>
    <t>f79f12ba-b8c8-411f-b294-1fdc18c9997a</t>
  </si>
  <si>
    <t>19a5abba-6484-44f9-bee8-087360a8680a</t>
  </si>
  <si>
    <t>0102493202</t>
  </si>
  <si>
    <t>DAVINA ADHYA KHAIRUNNISA</t>
  </si>
  <si>
    <t>84501972-6759-4559-b8a1-dcde8653a38f</t>
  </si>
  <si>
    <t>4b923ff5-a6da-4181-a4be-8fc8096f3888</t>
  </si>
  <si>
    <t>0095180836</t>
  </si>
  <si>
    <t>DEPSA EKA NUGRAHA</t>
  </si>
  <si>
    <t>ca65daf8-f91a-4f93-a1bc-279180a8612c</t>
  </si>
  <si>
    <t>fc60412c-259e-4497-bb82-825d4f241fea</t>
  </si>
  <si>
    <t>0092909295</t>
  </si>
  <si>
    <t>FELLISA PUTRIANI</t>
  </si>
  <si>
    <t>4f7a81bb-88ee-456c-875e-957b6e510b2c</t>
  </si>
  <si>
    <t>5ed96e98-4ab9-4089-b5ba-3b1f454e64bf</t>
  </si>
  <si>
    <t>0109789387</t>
  </si>
  <si>
    <t>FIRAS ILMI CAHYADIN</t>
  </si>
  <si>
    <t>9d9700b4-40fb-4805-a8bc-7d014de56e42</t>
  </si>
  <si>
    <t>27b84855-a868-406c-bdf5-5a33036cd059</t>
  </si>
  <si>
    <t>0098559297</t>
  </si>
  <si>
    <t>GAZZA AKBAR</t>
  </si>
  <si>
    <t>bb36f5ab-1d0c-43f1-ba73-c23c9418579b</t>
  </si>
  <si>
    <t>f26f9395-762f-4b25-9d5f-3a1ef8ad1bf6</t>
  </si>
  <si>
    <t>0104965756</t>
  </si>
  <si>
    <t>GIO GUCFA AL HAQKI</t>
  </si>
  <si>
    <t>2ba9c764-3c99-4a5c-bdd1-5e48b91bca46</t>
  </si>
  <si>
    <t>ad386df3-7098-4110-84b6-f9ac89b8d73a</t>
  </si>
  <si>
    <t>0095325840</t>
  </si>
  <si>
    <t>HASAN MAULANA</t>
  </si>
  <si>
    <t>9bc71cc3-6e53-454b-b771-18ff9566f5fc</t>
  </si>
  <si>
    <t>e82c3d16-461b-4060-9982-43f894d8dea1</t>
  </si>
  <si>
    <t>0093049968</t>
  </si>
  <si>
    <t>ICHA KAHERUNNISA</t>
  </si>
  <si>
    <t>61cb851c-ead2-4333-a1d4-f49ca3da25a7</t>
  </si>
  <si>
    <t>e842f595-4a11-4fb5-aa07-dc869dc03554</t>
  </si>
  <si>
    <t>3097211597</t>
  </si>
  <si>
    <t>KANZA BERLIANA</t>
  </si>
  <si>
    <t>8d278eb3-2c05-401c-8a88-b9290fbd0cad</t>
  </si>
  <si>
    <t>693efbbe-5b14-4ea2-aa65-c38052639f51</t>
  </si>
  <si>
    <t>0091260792</t>
  </si>
  <si>
    <t>KEYLA OKTAVIANI ERYAN PUTRI</t>
  </si>
  <si>
    <t>b2c5b8bc-4e28-11e5-aa7d-97e6736cec51</t>
  </si>
  <si>
    <t>247b850b-4fa1-4458-b09c-c4195153a4bc</t>
  </si>
  <si>
    <t>0096096984</t>
  </si>
  <si>
    <t>KHOIRUNNISA</t>
  </si>
  <si>
    <t>2dc0a48d-60f1-4bcf-aecb-2d6ed6ac10f8</t>
  </si>
  <si>
    <t>dd7db954-6f20-41d3-ac20-cff1c24ecc8d</t>
  </si>
  <si>
    <t>0096890249</t>
  </si>
  <si>
    <t>KIFA AGUSTINA AZ-ZAHRA</t>
  </si>
  <si>
    <t>a8920634-428e-439a-a4b1-af6b2bd09001</t>
  </si>
  <si>
    <t>ab97b5e6-564e-4473-a3fd-886523046f81</t>
  </si>
  <si>
    <t>0094628236</t>
  </si>
  <si>
    <t>LUTHFI FAUZAN PRAYATA</t>
  </si>
  <si>
    <t>17dd47b5-4154-4007-b1b2-84ff3b79273d</t>
  </si>
  <si>
    <t>36d9a71e-fe0d-4d7a-b65a-81528d50b6a8</t>
  </si>
  <si>
    <t>0106017855</t>
  </si>
  <si>
    <t>MASAGUS MUHAMAD HANIF ATHALLAH</t>
  </si>
  <si>
    <t>8a6586f8-82d5-4789-91f6-912dfad517ac</t>
  </si>
  <si>
    <t>75c8cd54-f79d-42e2-b5d5-afc75c599568</t>
  </si>
  <si>
    <t>0093582245</t>
  </si>
  <si>
    <t>MUHAMMAD DESTA DAVITRAH PUTRA NUGRAHA</t>
  </si>
  <si>
    <t>b1c6aafd-9b56-412f-9fdd-92b739abeb9f</t>
  </si>
  <si>
    <t>ecf77df1-2eb8-4d71-9a9a-f92d1e3df34d</t>
  </si>
  <si>
    <t>0106272994</t>
  </si>
  <si>
    <t>MUHAMMAD FAHRI ABDUL HADI</t>
  </si>
  <si>
    <t>d715ed96-e62c-4704-bd70-804bb88ff30e</t>
  </si>
  <si>
    <t>271a5b28-e1df-40a8-97c9-2ef079ed2122</t>
  </si>
  <si>
    <t>0097596437</t>
  </si>
  <si>
    <t>MUHAMMAD RAKA IMANSYAH</t>
  </si>
  <si>
    <t>ea8fdae7-ae7f-4a35-b16a-deedf7e57be7</t>
  </si>
  <si>
    <t>a5a7d727-2bd5-45c9-a4e2-1bb4996ca149</t>
  </si>
  <si>
    <t>0102060663</t>
  </si>
  <si>
    <t>MUHAMMAD RAZVAN PUTRA DENA</t>
  </si>
  <si>
    <t>adc82c52-4809-4cd9-b160-109577ef3a8a</t>
  </si>
  <si>
    <t>24d19994-1294-471a-9163-8f482175f196</t>
  </si>
  <si>
    <t>0109875071</t>
  </si>
  <si>
    <t>NABIL MUKARROM</t>
  </si>
  <si>
    <t>06c25c13-13b7-45a9-99b3-580a7fcef810</t>
  </si>
  <si>
    <t>7e9f2413-db99-4293-a25f-b2bd74756aac</t>
  </si>
  <si>
    <t>0094465082</t>
  </si>
  <si>
    <t>NADITA PRATIWI</t>
  </si>
  <si>
    <t>55671e98-996e-48ed-b102-6a7e929b8e1f</t>
  </si>
  <si>
    <t>f8afb644-8876-4794-abf3-93fa9fdc3b35</t>
  </si>
  <si>
    <t>0108682068</t>
  </si>
  <si>
    <t>NADZIFA ZIVANA LETISYA</t>
  </si>
  <si>
    <t>4bac2e57-6bce-4bcb-9873-dae10a2c6676</t>
  </si>
  <si>
    <t>333e9f9e-ca30-42a4-9e70-24452e41e10a</t>
  </si>
  <si>
    <t>0102638303</t>
  </si>
  <si>
    <t>NAYLA ZULFA SAPHIRA</t>
  </si>
  <si>
    <t>125873d5-0e17-476d-aa64-8e95afa18ffb</t>
  </si>
  <si>
    <t>03caa88c-c378-4bc1-9a66-0bd66191471a</t>
  </si>
  <si>
    <t>0093078194</t>
  </si>
  <si>
    <t>PUTRI KHOIRUN NISA</t>
  </si>
  <si>
    <t>e4bb8985-c3b6-4fa2-9e10-13fd5f220fbb</t>
  </si>
  <si>
    <t>d8e28658-4802-4b91-8150-15eb2776cf55</t>
  </si>
  <si>
    <t>0093687829</t>
  </si>
  <si>
    <t>RADITYA FACHREZA</t>
  </si>
  <si>
    <t>c7e61adb-d8e5-4d38-8b78-fef741394a2f</t>
  </si>
  <si>
    <t>8e50cb38-08f0-4635-bc65-b17594ca4692</t>
  </si>
  <si>
    <t>0103004404</t>
  </si>
  <si>
    <t>RAFI AHMAD BASIL IBNI MAULUDI</t>
  </si>
  <si>
    <t>78040d8a-1d3b-41cf-b387-f7501873c037</t>
  </si>
  <si>
    <t>858a59c8-e256-4b4b-ab43-6e610515d718</t>
  </si>
  <si>
    <t>0093618654</t>
  </si>
  <si>
    <t>RAISSA OKTAHAVIAN STEPANI</t>
  </si>
  <si>
    <t>8744a5f8-3846-4aec-a389-d38a99771bd0</t>
  </si>
  <si>
    <t>8e3af0ec-1da2-46e8-bd75-427d08093a75</t>
  </si>
  <si>
    <t>0098639858</t>
  </si>
  <si>
    <t>RAYNA KHANSA'A YASNISA</t>
  </si>
  <si>
    <t>3b5db6b1-1a77-477f-9de2-e00862d7dd5a</t>
  </si>
  <si>
    <t>3369d0be-823c-4cf6-918d-bba7a46d42fb</t>
  </si>
  <si>
    <t>0098266032</t>
  </si>
  <si>
    <t>REGINA MELIANI PUTRI</t>
  </si>
  <si>
    <t>d7a033e4-2415-4030-89ce-042ad2268327</t>
  </si>
  <si>
    <t>26a0781a-a11c-48f5-8846-6e53b6bd134b</t>
  </si>
  <si>
    <t>0093283561</t>
  </si>
  <si>
    <t>RESTINA SITI MARIYAM</t>
  </si>
  <si>
    <t>4ec084f9-cc70-4ae0-bfd5-01f176b6a881</t>
  </si>
  <si>
    <t>530b5414-0011-4bf1-bff0-f09d776d98d6</t>
  </si>
  <si>
    <t>0097293475</t>
  </si>
  <si>
    <t>RIKA AMELIA JAELANI</t>
  </si>
  <si>
    <t>3f519ff6-6fe4-4339-b336-3e1eaf4ef9b4</t>
  </si>
  <si>
    <t>ce0a054b-4724-459d-9601-a2053d3cf536</t>
  </si>
  <si>
    <t>3099406088</t>
  </si>
  <si>
    <t>SENDY ANDYKA PURNAMA</t>
  </si>
  <si>
    <t>299a14bd-1fff-4e3f-a6e8-d93981809eab</t>
  </si>
  <si>
    <t>99f1d8b6-645f-4587-b886-e1a8e53cb879</t>
  </si>
  <si>
    <t>0102934008</t>
  </si>
  <si>
    <t>SHOPIA KHAIRUNISA</t>
  </si>
  <si>
    <t>e785a471-d977-4189-8b7f-b91f7c4a7be4</t>
  </si>
  <si>
    <t>74f8567b-493a-4376-ac27-75d588249f4a</t>
  </si>
  <si>
    <t>0096817934</t>
  </si>
  <si>
    <t>SILFA SULIASTI NURUL HIJJAH</t>
  </si>
  <si>
    <t>1d076c81-c7a2-4a1a-8dfb-a751115967fe</t>
  </si>
  <si>
    <t>388f7c22-1081-46d4-9266-cbadf7614b97</t>
  </si>
  <si>
    <t>3090259322</t>
  </si>
  <si>
    <t>SYAFA FITRIANI</t>
  </si>
  <si>
    <t>8cf8b24d-1407-4fe4-b2e4-ab31ead1f75b</t>
  </si>
  <si>
    <t>3755b949-1eac-496f-99c8-85c7ddb16e1a</t>
  </si>
  <si>
    <t>0096080554</t>
  </si>
  <si>
    <t>ULFI FAUZIAH AZKIAH</t>
  </si>
  <si>
    <t>KETERANGAN :</t>
  </si>
  <si>
    <t xml:space="preserve"> &gt; TP.1015 : Informatika dan Kemampuan Umum</t>
  </si>
  <si>
    <t xml:space="preserve"> &gt; TP.1016 : Berpikir Komputasional</t>
  </si>
  <si>
    <t xml:space="preserve"> &gt; TP.1017 : Teknologi Informasi dan Komunikasi</t>
  </si>
  <si>
    <t xml:space="preserve"> &gt; TP.1018 : Sistem Komputer</t>
  </si>
  <si>
    <t>Catatan Validasi:</t>
  </si>
  <si>
    <t xml:space="preserve"> &gt; Jika Nilai Rapor Siswa kurang dari 100, silahkah dipilih Tujuan Pembelajaran mana saja yang masih perlu peningkatan (minimal 1)</t>
  </si>
  <si>
    <t xml:space="preserve"> &gt; Selain memilih Tujuan Pembelajaran yang masih perlu peningkatan, pilih juga Tujuan Pembelajaran yang mana saja sudah dicapai dengan sangat optimal (minimal 1)</t>
  </si>
  <si>
    <t xml:space="preserve"> &gt; Tidak mesti semua Tujuan Pembelajaran yarus dipilih, minimal pilih satu yang paling optimal dan satu yang paling minimal</t>
  </si>
  <si>
    <t xml:space="preserve"> &gt; Pahami Konsep Pembelajaran dan Asesmen sebagaimana telah dimuat pada Buku Panduan PPA agar tidak keliru dalam memahami format nilai rapor ini.</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</si>
</sst>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6">
    <font>
      <sz val="11"/>
      <color rgb="FF000000"/>
      <name val="Calibri"/>
      <charset val="134"/>
    </font>
    <font>
      <b/>
      <sz val="14"/>
      <color rgb="FF000000"/>
      <name val="Calibri"/>
      <charset val="134"/>
    </font>
    <font>
      <b/>
      <sz val="12"/>
      <color rgb="FFFFFFFF"/>
      <name val="Calibri"/>
      <charset val="134"/>
    </font>
    <font>
      <b/>
      <sz val="11"/>
      <color rgb="FFFFFFFF"/>
      <name val="Calibri"/>
      <charset val="134"/>
    </font>
    <font>
      <b/>
      <sz val="12"/>
      <color rgb="FF000000"/>
      <name val="Calibri"/>
      <charset val="134"/>
    </font>
    <font>
      <b/>
      <sz val="11"/>
      <color rgb="FF000000"/>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4F81BD"/>
        <bgColor rgb="FF0000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177"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3" borderId="2"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14" fillId="0" borderId="4" applyNumberFormat="0" applyFill="0" applyAlignment="0" applyProtection="0">
      <alignment vertical="center"/>
    </xf>
    <xf numFmtId="0" fontId="14" fillId="0" borderId="0" applyNumberFormat="0" applyFill="0" applyBorder="0" applyAlignment="0" applyProtection="0">
      <alignment vertical="center"/>
    </xf>
    <xf numFmtId="0" fontId="15" fillId="4" borderId="5" applyNumberFormat="0" applyAlignment="0" applyProtection="0">
      <alignment vertical="center"/>
    </xf>
    <xf numFmtId="0" fontId="16" fillId="5" borderId="6" applyNumberFormat="0" applyAlignment="0" applyProtection="0">
      <alignment vertical="center"/>
    </xf>
    <xf numFmtId="0" fontId="17" fillId="5" borderId="5" applyNumberFormat="0" applyAlignment="0" applyProtection="0">
      <alignment vertical="center"/>
    </xf>
    <xf numFmtId="0" fontId="18" fillId="6" borderId="7" applyNumberFormat="0" applyAlignment="0" applyProtection="0">
      <alignment vertical="center"/>
    </xf>
    <xf numFmtId="0" fontId="19" fillId="0" borderId="8" applyNumberFormat="0" applyFill="0" applyAlignment="0" applyProtection="0">
      <alignment vertical="center"/>
    </xf>
    <xf numFmtId="0" fontId="20" fillId="0" borderId="9" applyNumberFormat="0" applyFill="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5"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33" borderId="0" applyNumberFormat="0" applyBorder="0" applyAlignment="0" applyProtection="0">
      <alignment vertical="center"/>
    </xf>
  </cellStyleXfs>
  <cellXfs count="12">
    <xf numFmtId="0" fontId="0" fillId="0" borderId="0" xfId="0"/>
    <xf numFmtId="0" fontId="1" fillId="0" borderId="0" xfId="0" applyFont="1" applyProtection="1"/>
    <xf numFmtId="0" fontId="0" fillId="0" borderId="0" xfId="0" applyProtection="1"/>
    <xf numFmtId="0" fontId="2" fillId="2" borderId="1" xfId="0" applyFont="1" applyFill="1" applyBorder="1" applyAlignment="1" applyProtection="1">
      <alignment horizontal="center" vertical="center"/>
    </xf>
    <xf numFmtId="0" fontId="3" fillId="2" borderId="1" xfId="0" applyFont="1" applyFill="1" applyBorder="1" applyAlignment="1" applyProtection="1">
      <alignment horizontal="center" vertical="top" wrapText="1"/>
    </xf>
    <xf numFmtId="0" fontId="0" fillId="0" borderId="1" xfId="0" applyBorder="1" applyAlignment="1" applyProtection="1">
      <alignment vertical="top" wrapText="1"/>
    </xf>
    <xf numFmtId="0" fontId="4" fillId="0" borderId="0" xfId="0" applyFont="1"/>
    <xf numFmtId="0" fontId="5" fillId="0" borderId="0" xfId="0" applyFont="1"/>
    <xf numFmtId="0" fontId="3" fillId="2" borderId="1" xfId="0" applyFont="1" applyFill="1" applyBorder="1" applyAlignment="1" applyProtection="1">
      <alignment horizontal="center" vertical="top" wrapText="1"/>
      <protection locked="0"/>
    </xf>
    <xf numFmtId="0" fontId="0" fillId="0" borderId="1" xfId="0" applyBorder="1" applyAlignment="1" applyProtection="1">
      <alignment horizontal="center" vertical="top" wrapText="1"/>
      <protection locked="0"/>
    </xf>
    <xf numFmtId="0" fontId="0" fillId="0" borderId="1" xfId="0" applyBorder="1" applyAlignment="1" applyProtection="1">
      <alignment horizontal="center" vertical="top" wrapText="1"/>
    </xf>
    <xf numFmtId="0" fontId="0" fillId="0" borderId="1" xfId="0" applyBorder="1" applyAlignment="1" applyProtection="1">
      <alignment vertical="top" wrapText="1"/>
      <protection hidden="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customXml" Target="../customXml/item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Z65"/>
  <sheetViews>
    <sheetView tabSelected="1" workbookViewId="0">
      <selection activeCell="P19" sqref="P19"/>
    </sheetView>
  </sheetViews>
  <sheetFormatPr defaultColWidth="9" defaultRowHeight="14.4"/>
  <cols>
    <col min="1" max="1" width="5" customWidth="1"/>
    <col min="2" max="4" width="9" hidden="1" customWidth="1"/>
    <col min="5" max="5" width="13" customWidth="1"/>
    <col min="6" max="6" width="44.7" customWidth="1"/>
    <col min="7" max="7" width="17.7083333333333" customWidth="1"/>
    <col min="8" max="11" width="10" customWidth="1"/>
    <col min="12" max="13" width="9" hidden="1" customWidth="1"/>
    <col min="14" max="14" width="15" customWidth="1"/>
  </cols>
  <sheetData>
    <row r="1" ht="17.4" spans="1:52">
      <c r="A1" s="1" t="s">
        <v>0</v>
      </c>
      <c r="B1" s="2">
        <v>14</v>
      </c>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c r="A2" s="2"/>
      <c r="B2" s="2">
        <v>54</v>
      </c>
      <c r="C2" s="2" t="s">
        <v>1</v>
      </c>
      <c r="D2" s="2">
        <v>700106100</v>
      </c>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row>
    <row r="3" ht="25" customHeight="1" spans="1:52">
      <c r="A3" s="3" t="s">
        <v>2</v>
      </c>
      <c r="B3" s="3" t="s">
        <v>3</v>
      </c>
      <c r="C3" s="3" t="s">
        <v>3</v>
      </c>
      <c r="D3" s="3" t="s">
        <v>3</v>
      </c>
      <c r="E3" s="3" t="s">
        <v>4</v>
      </c>
      <c r="F3" s="3" t="s">
        <v>5</v>
      </c>
      <c r="G3" s="3" t="s">
        <v>6</v>
      </c>
      <c r="H3" s="3" t="s">
        <v>7</v>
      </c>
      <c r="I3" s="3"/>
      <c r="J3" s="3"/>
      <c r="K3" s="3"/>
      <c r="L3" s="3" t="s">
        <v>8</v>
      </c>
      <c r="M3" s="3"/>
      <c r="N3" s="3"/>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row>
    <row r="4" hidden="1" customHeight="1" spans="1:52">
      <c r="A4" s="4"/>
      <c r="B4" s="4"/>
      <c r="C4" s="4"/>
      <c r="D4" s="4"/>
      <c r="E4" s="4"/>
      <c r="F4" s="4"/>
      <c r="G4" s="8"/>
      <c r="H4" s="8" t="s">
        <v>9</v>
      </c>
      <c r="I4" s="8" t="s">
        <v>10</v>
      </c>
      <c r="J4" s="8" t="s">
        <v>11</v>
      </c>
      <c r="K4" s="8" t="s">
        <v>12</v>
      </c>
      <c r="L4" s="4"/>
      <c r="M4" s="4"/>
      <c r="N4" s="4"/>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row>
    <row r="5" hidden="1" customHeight="1" spans="1:52">
      <c r="A5" s="4"/>
      <c r="B5" s="4"/>
      <c r="C5" s="4"/>
      <c r="D5" s="4"/>
      <c r="E5" s="4"/>
      <c r="F5" s="4"/>
      <c r="G5" s="8"/>
      <c r="H5" s="8" t="s">
        <v>13</v>
      </c>
      <c r="I5" s="8" t="s">
        <v>14</v>
      </c>
      <c r="J5" s="8" t="s">
        <v>15</v>
      </c>
      <c r="K5" s="8" t="s">
        <v>16</v>
      </c>
      <c r="L5" s="4"/>
      <c r="M5" s="4"/>
      <c r="N5" s="4"/>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row>
    <row r="6" ht="15" spans="1:52">
      <c r="A6" s="4"/>
      <c r="B6" s="4"/>
      <c r="C6" s="4"/>
      <c r="D6" s="4"/>
      <c r="E6" s="4"/>
      <c r="F6" s="4"/>
      <c r="G6" s="8"/>
      <c r="H6" s="8" t="s">
        <v>17</v>
      </c>
      <c r="I6" s="8" t="s">
        <v>18</v>
      </c>
      <c r="J6" s="8" t="s">
        <v>19</v>
      </c>
      <c r="K6" s="8" t="s">
        <v>20</v>
      </c>
      <c r="L6" s="4" t="s">
        <v>21</v>
      </c>
      <c r="M6" s="4" t="s">
        <v>22</v>
      </c>
      <c r="N6" s="4" t="s">
        <v>23</v>
      </c>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row>
    <row r="7" ht="20" customHeight="1" spans="1:52">
      <c r="A7" s="5">
        <v>1</v>
      </c>
      <c r="B7" s="5" t="s">
        <v>24</v>
      </c>
      <c r="C7" s="5" t="s">
        <v>25</v>
      </c>
      <c r="D7" s="5">
        <v>1</v>
      </c>
      <c r="E7" s="5" t="s">
        <v>26</v>
      </c>
      <c r="F7" s="5" t="s">
        <v>27</v>
      </c>
      <c r="G7" s="9">
        <v>87.2984375</v>
      </c>
      <c r="H7" s="9" t="s">
        <v>28</v>
      </c>
      <c r="I7" s="9" t="s">
        <v>28</v>
      </c>
      <c r="J7" s="9" t="s">
        <v>29</v>
      </c>
      <c r="K7" s="9" t="s">
        <v>28</v>
      </c>
      <c r="L7" s="10">
        <f t="shared" ref="L7:L54" si="0">COUNTIF(H7:K7,"R")</f>
        <v>1</v>
      </c>
      <c r="M7" s="10">
        <f t="shared" ref="M7:M54" si="1">COUNTIF(H7:K7,"T")</f>
        <v>3</v>
      </c>
      <c r="N7" s="11" t="str">
        <f t="shared" ref="N7:N54" si="2">IF(G7="","",IF(G7=100,IF(L7&gt;0,"Tidak Valid",IF((L7+M7)&gt;0,"Valid","Tidak Valid")),IF(L7=0,"Tidak Valid",IF((L7+M7)&gt;0,"Valid","Tidak Valid"))))</f>
        <v>Valid</v>
      </c>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row>
    <row r="8" ht="20" customHeight="1" spans="1:52">
      <c r="A8" s="5">
        <v>2</v>
      </c>
      <c r="B8" s="5" t="s">
        <v>30</v>
      </c>
      <c r="C8" s="5" t="s">
        <v>31</v>
      </c>
      <c r="D8" s="5">
        <v>1</v>
      </c>
      <c r="E8" s="5" t="s">
        <v>32</v>
      </c>
      <c r="F8" s="5" t="s">
        <v>33</v>
      </c>
      <c r="G8" s="9">
        <v>79.6203125</v>
      </c>
      <c r="H8" s="9" t="s">
        <v>28</v>
      </c>
      <c r="I8" s="9" t="s">
        <v>28</v>
      </c>
      <c r="J8" s="9" t="s">
        <v>29</v>
      </c>
      <c r="K8" s="9" t="s">
        <v>28</v>
      </c>
      <c r="L8" s="10">
        <f t="shared" si="0"/>
        <v>1</v>
      </c>
      <c r="M8" s="10">
        <f t="shared" si="1"/>
        <v>3</v>
      </c>
      <c r="N8" s="11" t="str">
        <f t="shared" si="2"/>
        <v>Valid</v>
      </c>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row>
    <row r="9" ht="20" customHeight="1" spans="1:52">
      <c r="A9" s="5">
        <v>3</v>
      </c>
      <c r="B9" s="5" t="s">
        <v>34</v>
      </c>
      <c r="C9" s="5" t="s">
        <v>35</v>
      </c>
      <c r="D9" s="5">
        <v>1</v>
      </c>
      <c r="E9" s="5" t="s">
        <v>36</v>
      </c>
      <c r="F9" s="5" t="s">
        <v>37</v>
      </c>
      <c r="G9" s="9">
        <v>89.4109375</v>
      </c>
      <c r="H9" s="9" t="s">
        <v>28</v>
      </c>
      <c r="I9" s="9" t="s">
        <v>28</v>
      </c>
      <c r="J9" s="9" t="s">
        <v>29</v>
      </c>
      <c r="K9" s="9" t="s">
        <v>28</v>
      </c>
      <c r="L9" s="10">
        <f t="shared" si="0"/>
        <v>1</v>
      </c>
      <c r="M9" s="10">
        <f t="shared" si="1"/>
        <v>3</v>
      </c>
      <c r="N9" s="11" t="str">
        <f t="shared" si="2"/>
        <v>Valid</v>
      </c>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row>
    <row r="10" ht="20" customHeight="1" spans="1:52">
      <c r="A10" s="5">
        <v>4</v>
      </c>
      <c r="B10" s="5" t="s">
        <v>38</v>
      </c>
      <c r="C10" s="5" t="s">
        <v>39</v>
      </c>
      <c r="D10" s="5">
        <v>1</v>
      </c>
      <c r="E10" s="5" t="s">
        <v>40</v>
      </c>
      <c r="F10" s="5" t="s">
        <v>41</v>
      </c>
      <c r="G10" s="9">
        <v>86.53671875</v>
      </c>
      <c r="H10" s="9" t="s">
        <v>28</v>
      </c>
      <c r="I10" s="9" t="s">
        <v>28</v>
      </c>
      <c r="J10" s="9" t="s">
        <v>29</v>
      </c>
      <c r="K10" s="9" t="s">
        <v>28</v>
      </c>
      <c r="L10" s="10">
        <f t="shared" si="0"/>
        <v>1</v>
      </c>
      <c r="M10" s="10">
        <f t="shared" si="1"/>
        <v>3</v>
      </c>
      <c r="N10" s="11" t="str">
        <f t="shared" si="2"/>
        <v>Valid</v>
      </c>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row>
    <row r="11" ht="20" customHeight="1" spans="1:52">
      <c r="A11" s="5">
        <v>5</v>
      </c>
      <c r="B11" s="5" t="s">
        <v>42</v>
      </c>
      <c r="C11" s="5" t="s">
        <v>43</v>
      </c>
      <c r="D11" s="5">
        <v>1</v>
      </c>
      <c r="E11" s="5" t="s">
        <v>44</v>
      </c>
      <c r="F11" s="5" t="s">
        <v>45</v>
      </c>
      <c r="G11" s="9">
        <v>77</v>
      </c>
      <c r="H11" s="9" t="s">
        <v>28</v>
      </c>
      <c r="I11" s="9" t="s">
        <v>28</v>
      </c>
      <c r="J11" s="9" t="s">
        <v>29</v>
      </c>
      <c r="K11" s="9" t="s">
        <v>28</v>
      </c>
      <c r="L11" s="10">
        <f t="shared" si="0"/>
        <v>1</v>
      </c>
      <c r="M11" s="10">
        <f t="shared" si="1"/>
        <v>3</v>
      </c>
      <c r="N11" s="11" t="str">
        <f t="shared" si="2"/>
        <v>Valid</v>
      </c>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row>
    <row r="12" ht="20" customHeight="1" spans="1:52">
      <c r="A12" s="5">
        <v>6</v>
      </c>
      <c r="B12" s="5" t="s">
        <v>46</v>
      </c>
      <c r="C12" s="5" t="s">
        <v>47</v>
      </c>
      <c r="D12" s="5">
        <v>1</v>
      </c>
      <c r="E12" s="5" t="s">
        <v>48</v>
      </c>
      <c r="F12" s="5" t="s">
        <v>49</v>
      </c>
      <c r="G12" s="9">
        <v>79.02109375</v>
      </c>
      <c r="H12" s="9" t="s">
        <v>28</v>
      </c>
      <c r="I12" s="9" t="s">
        <v>28</v>
      </c>
      <c r="J12" s="9" t="s">
        <v>29</v>
      </c>
      <c r="K12" s="9" t="s">
        <v>28</v>
      </c>
      <c r="L12" s="10">
        <f t="shared" si="0"/>
        <v>1</v>
      </c>
      <c r="M12" s="10">
        <f t="shared" si="1"/>
        <v>3</v>
      </c>
      <c r="N12" s="11" t="str">
        <f t="shared" si="2"/>
        <v>Valid</v>
      </c>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row>
    <row r="13" ht="20" customHeight="1" spans="1:52">
      <c r="A13" s="5">
        <v>7</v>
      </c>
      <c r="B13" s="5" t="s">
        <v>50</v>
      </c>
      <c r="C13" s="5" t="s">
        <v>51</v>
      </c>
      <c r="D13" s="5">
        <v>1</v>
      </c>
      <c r="E13" s="5" t="s">
        <v>52</v>
      </c>
      <c r="F13" s="5" t="s">
        <v>53</v>
      </c>
      <c r="G13" s="9">
        <v>86.33359375</v>
      </c>
      <c r="H13" s="9" t="s">
        <v>28</v>
      </c>
      <c r="I13" s="9" t="s">
        <v>28</v>
      </c>
      <c r="J13" s="9" t="s">
        <v>29</v>
      </c>
      <c r="K13" s="9" t="s">
        <v>28</v>
      </c>
      <c r="L13" s="10">
        <f t="shared" si="0"/>
        <v>1</v>
      </c>
      <c r="M13" s="10">
        <f t="shared" si="1"/>
        <v>3</v>
      </c>
      <c r="N13" s="11" t="str">
        <f t="shared" si="2"/>
        <v>Valid</v>
      </c>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row>
    <row r="14" ht="20" customHeight="1" spans="1:52">
      <c r="A14" s="5">
        <v>8</v>
      </c>
      <c r="B14" s="5" t="s">
        <v>54</v>
      </c>
      <c r="C14" s="5" t="s">
        <v>55</v>
      </c>
      <c r="D14" s="5">
        <v>1</v>
      </c>
      <c r="E14" s="5" t="s">
        <v>56</v>
      </c>
      <c r="F14" s="5" t="s">
        <v>57</v>
      </c>
      <c r="G14" s="9">
        <v>88.3953125</v>
      </c>
      <c r="H14" s="9" t="s">
        <v>28</v>
      </c>
      <c r="I14" s="9" t="s">
        <v>28</v>
      </c>
      <c r="J14" s="9" t="s">
        <v>29</v>
      </c>
      <c r="K14" s="9" t="s">
        <v>28</v>
      </c>
      <c r="L14" s="10">
        <f t="shared" si="0"/>
        <v>1</v>
      </c>
      <c r="M14" s="10">
        <f t="shared" si="1"/>
        <v>3</v>
      </c>
      <c r="N14" s="11" t="str">
        <f t="shared" si="2"/>
        <v>Valid</v>
      </c>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row>
    <row r="15" ht="20" customHeight="1" spans="1:52">
      <c r="A15" s="5">
        <v>9</v>
      </c>
      <c r="B15" s="5" t="s">
        <v>58</v>
      </c>
      <c r="C15" s="5" t="s">
        <v>59</v>
      </c>
      <c r="D15" s="5">
        <v>1</v>
      </c>
      <c r="E15" s="5" t="s">
        <v>60</v>
      </c>
      <c r="F15" s="5" t="s">
        <v>61</v>
      </c>
      <c r="G15" s="9">
        <v>80.3109375</v>
      </c>
      <c r="H15" s="9" t="s">
        <v>28</v>
      </c>
      <c r="I15" s="9" t="s">
        <v>28</v>
      </c>
      <c r="J15" s="9" t="s">
        <v>29</v>
      </c>
      <c r="K15" s="9" t="s">
        <v>28</v>
      </c>
      <c r="L15" s="10">
        <f t="shared" si="0"/>
        <v>1</v>
      </c>
      <c r="M15" s="10">
        <f t="shared" si="1"/>
        <v>3</v>
      </c>
      <c r="N15" s="11" t="str">
        <f t="shared" si="2"/>
        <v>Valid</v>
      </c>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row>
    <row r="16" ht="20" customHeight="1" spans="1:52">
      <c r="A16" s="5">
        <v>10</v>
      </c>
      <c r="B16" s="5" t="s">
        <v>62</v>
      </c>
      <c r="C16" s="5" t="s">
        <v>63</v>
      </c>
      <c r="D16" s="5">
        <v>1</v>
      </c>
      <c r="E16" s="5" t="s">
        <v>64</v>
      </c>
      <c r="F16" s="5" t="s">
        <v>65</v>
      </c>
      <c r="G16" s="9">
        <v>86.94296875</v>
      </c>
      <c r="H16" s="9" t="s">
        <v>28</v>
      </c>
      <c r="I16" s="9" t="s">
        <v>28</v>
      </c>
      <c r="J16" s="9" t="s">
        <v>29</v>
      </c>
      <c r="K16" s="9" t="s">
        <v>28</v>
      </c>
      <c r="L16" s="10">
        <f t="shared" si="0"/>
        <v>1</v>
      </c>
      <c r="M16" s="10">
        <f t="shared" si="1"/>
        <v>3</v>
      </c>
      <c r="N16" s="11" t="str">
        <f t="shared" si="2"/>
        <v>Valid</v>
      </c>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row>
    <row r="17" ht="20" customHeight="1" spans="1:52">
      <c r="A17" s="5">
        <v>11</v>
      </c>
      <c r="B17" s="5" t="s">
        <v>66</v>
      </c>
      <c r="C17" s="5" t="s">
        <v>67</v>
      </c>
      <c r="D17" s="5">
        <v>1</v>
      </c>
      <c r="E17" s="5" t="s">
        <v>68</v>
      </c>
      <c r="F17" s="5" t="s">
        <v>69</v>
      </c>
      <c r="G17" s="9">
        <v>82.37265625</v>
      </c>
      <c r="H17" s="9" t="s">
        <v>28</v>
      </c>
      <c r="I17" s="9" t="s">
        <v>28</v>
      </c>
      <c r="J17" s="9" t="s">
        <v>29</v>
      </c>
      <c r="K17" s="9" t="s">
        <v>28</v>
      </c>
      <c r="L17" s="10">
        <f t="shared" si="0"/>
        <v>1</v>
      </c>
      <c r="M17" s="10">
        <f t="shared" si="1"/>
        <v>3</v>
      </c>
      <c r="N17" s="11" t="str">
        <f t="shared" si="2"/>
        <v>Valid</v>
      </c>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row>
    <row r="18" ht="20" customHeight="1" spans="1:52">
      <c r="A18" s="5">
        <v>12</v>
      </c>
      <c r="B18" s="5" t="s">
        <v>70</v>
      </c>
      <c r="C18" s="5" t="s">
        <v>71</v>
      </c>
      <c r="D18" s="5">
        <v>1</v>
      </c>
      <c r="E18" s="5" t="s">
        <v>72</v>
      </c>
      <c r="F18" s="5" t="s">
        <v>73</v>
      </c>
      <c r="G18" s="9">
        <v>88.1921875</v>
      </c>
      <c r="H18" s="9" t="s">
        <v>28</v>
      </c>
      <c r="I18" s="9" t="s">
        <v>28</v>
      </c>
      <c r="J18" s="9" t="s">
        <v>29</v>
      </c>
      <c r="K18" s="9" t="s">
        <v>28</v>
      </c>
      <c r="L18" s="10">
        <f t="shared" si="0"/>
        <v>1</v>
      </c>
      <c r="M18" s="10">
        <f t="shared" si="1"/>
        <v>3</v>
      </c>
      <c r="N18" s="11" t="str">
        <f t="shared" si="2"/>
        <v>Valid</v>
      </c>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row>
    <row r="19" ht="20" customHeight="1" spans="1:52">
      <c r="A19" s="5">
        <v>13</v>
      </c>
      <c r="B19" s="5" t="s">
        <v>74</v>
      </c>
      <c r="C19" s="5" t="s">
        <v>75</v>
      </c>
      <c r="D19" s="5">
        <v>1</v>
      </c>
      <c r="E19" s="5" t="s">
        <v>76</v>
      </c>
      <c r="F19" s="5" t="s">
        <v>77</v>
      </c>
      <c r="G19" s="9">
        <v>89.0046875</v>
      </c>
      <c r="H19" s="9" t="s">
        <v>28</v>
      </c>
      <c r="I19" s="9" t="s">
        <v>28</v>
      </c>
      <c r="J19" s="9" t="s">
        <v>29</v>
      </c>
      <c r="K19" s="9" t="s">
        <v>28</v>
      </c>
      <c r="L19" s="10">
        <f t="shared" si="0"/>
        <v>1</v>
      </c>
      <c r="M19" s="10">
        <f t="shared" si="1"/>
        <v>3</v>
      </c>
      <c r="N19" s="11" t="str">
        <f t="shared" si="2"/>
        <v>Valid</v>
      </c>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row>
    <row r="20" ht="20" customHeight="1" spans="1:52">
      <c r="A20" s="5">
        <v>14</v>
      </c>
      <c r="B20" s="5" t="s">
        <v>78</v>
      </c>
      <c r="C20" s="5" t="s">
        <v>79</v>
      </c>
      <c r="D20" s="5">
        <v>1</v>
      </c>
      <c r="E20" s="5" t="s">
        <v>80</v>
      </c>
      <c r="F20" s="5" t="s">
        <v>81</v>
      </c>
      <c r="G20" s="9">
        <v>89.75625</v>
      </c>
      <c r="H20" s="9" t="s">
        <v>28</v>
      </c>
      <c r="I20" s="9" t="s">
        <v>28</v>
      </c>
      <c r="J20" s="9" t="s">
        <v>29</v>
      </c>
      <c r="K20" s="9" t="s">
        <v>28</v>
      </c>
      <c r="L20" s="10">
        <f t="shared" si="0"/>
        <v>1</v>
      </c>
      <c r="M20" s="10">
        <f t="shared" si="1"/>
        <v>3</v>
      </c>
      <c r="N20" s="11" t="str">
        <f t="shared" si="2"/>
        <v>Valid</v>
      </c>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row>
    <row r="21" ht="20" customHeight="1" spans="1:52">
      <c r="A21" s="5">
        <v>15</v>
      </c>
      <c r="B21" s="5" t="s">
        <v>82</v>
      </c>
      <c r="C21" s="5" t="s">
        <v>83</v>
      </c>
      <c r="D21" s="5">
        <v>1</v>
      </c>
      <c r="E21" s="5" t="s">
        <v>84</v>
      </c>
      <c r="F21" s="5" t="s">
        <v>85</v>
      </c>
      <c r="G21" s="9">
        <v>87.69453125</v>
      </c>
      <c r="H21" s="9" t="s">
        <v>28</v>
      </c>
      <c r="I21" s="9" t="s">
        <v>28</v>
      </c>
      <c r="J21" s="9" t="s">
        <v>29</v>
      </c>
      <c r="K21" s="9" t="s">
        <v>28</v>
      </c>
      <c r="L21" s="10">
        <f t="shared" si="0"/>
        <v>1</v>
      </c>
      <c r="M21" s="10">
        <f t="shared" si="1"/>
        <v>3</v>
      </c>
      <c r="N21" s="11" t="str">
        <f t="shared" si="2"/>
        <v>Valid</v>
      </c>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row>
    <row r="22" ht="20" customHeight="1" spans="1:52">
      <c r="A22" s="5">
        <v>16</v>
      </c>
      <c r="B22" s="5" t="s">
        <v>86</v>
      </c>
      <c r="C22" s="5" t="s">
        <v>87</v>
      </c>
      <c r="D22" s="5">
        <v>1</v>
      </c>
      <c r="E22" s="5" t="s">
        <v>88</v>
      </c>
      <c r="F22" s="5" t="s">
        <v>89</v>
      </c>
      <c r="G22" s="9">
        <v>86.25234375</v>
      </c>
      <c r="H22" s="9" t="s">
        <v>28</v>
      </c>
      <c r="I22" s="9" t="s">
        <v>28</v>
      </c>
      <c r="J22" s="9" t="s">
        <v>29</v>
      </c>
      <c r="K22" s="9" t="s">
        <v>28</v>
      </c>
      <c r="L22" s="10">
        <f t="shared" si="0"/>
        <v>1</v>
      </c>
      <c r="M22" s="10">
        <f t="shared" si="1"/>
        <v>3</v>
      </c>
      <c r="N22" s="11" t="str">
        <f t="shared" si="2"/>
        <v>Valid</v>
      </c>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row>
    <row r="23" ht="20" customHeight="1" spans="1:52">
      <c r="A23" s="5">
        <v>17</v>
      </c>
      <c r="B23" s="5" t="s">
        <v>90</v>
      </c>
      <c r="C23" s="5" t="s">
        <v>91</v>
      </c>
      <c r="D23" s="5">
        <v>1</v>
      </c>
      <c r="E23" s="5" t="s">
        <v>92</v>
      </c>
      <c r="F23" s="5" t="s">
        <v>93</v>
      </c>
      <c r="G23" s="9">
        <v>88.7609375</v>
      </c>
      <c r="H23" s="9" t="s">
        <v>28</v>
      </c>
      <c r="I23" s="9" t="s">
        <v>28</v>
      </c>
      <c r="J23" s="9" t="s">
        <v>29</v>
      </c>
      <c r="K23" s="9" t="s">
        <v>28</v>
      </c>
      <c r="L23" s="10">
        <f t="shared" si="0"/>
        <v>1</v>
      </c>
      <c r="M23" s="10">
        <f t="shared" si="1"/>
        <v>3</v>
      </c>
      <c r="N23" s="11" t="str">
        <f t="shared" si="2"/>
        <v>Valid</v>
      </c>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row>
    <row r="24" ht="20" customHeight="1" spans="1:52">
      <c r="A24" s="5">
        <v>18</v>
      </c>
      <c r="B24" s="5" t="s">
        <v>94</v>
      </c>
      <c r="C24" s="5" t="s">
        <v>95</v>
      </c>
      <c r="D24" s="5">
        <v>1</v>
      </c>
      <c r="E24" s="5" t="s">
        <v>96</v>
      </c>
      <c r="F24" s="5" t="s">
        <v>97</v>
      </c>
      <c r="G24" s="9">
        <v>88.5375</v>
      </c>
      <c r="H24" s="9" t="s">
        <v>28</v>
      </c>
      <c r="I24" s="9" t="s">
        <v>28</v>
      </c>
      <c r="J24" s="9" t="s">
        <v>29</v>
      </c>
      <c r="K24" s="9" t="s">
        <v>28</v>
      </c>
      <c r="L24" s="10">
        <f t="shared" si="0"/>
        <v>1</v>
      </c>
      <c r="M24" s="10">
        <f t="shared" si="1"/>
        <v>3</v>
      </c>
      <c r="N24" s="11" t="str">
        <f t="shared" si="2"/>
        <v>Valid</v>
      </c>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row>
    <row r="25" ht="20" customHeight="1" spans="1:52">
      <c r="A25" s="5">
        <v>19</v>
      </c>
      <c r="B25" s="5" t="s">
        <v>98</v>
      </c>
      <c r="C25" s="5" t="s">
        <v>99</v>
      </c>
      <c r="D25" s="5">
        <v>1</v>
      </c>
      <c r="E25" s="5" t="s">
        <v>100</v>
      </c>
      <c r="F25" s="5" t="s">
        <v>101</v>
      </c>
      <c r="G25" s="9">
        <v>85.53125</v>
      </c>
      <c r="H25" s="9" t="s">
        <v>28</v>
      </c>
      <c r="I25" s="9" t="s">
        <v>28</v>
      </c>
      <c r="J25" s="9" t="s">
        <v>29</v>
      </c>
      <c r="K25" s="9" t="s">
        <v>28</v>
      </c>
      <c r="L25" s="10">
        <f t="shared" si="0"/>
        <v>1</v>
      </c>
      <c r="M25" s="10">
        <f t="shared" si="1"/>
        <v>3</v>
      </c>
      <c r="N25" s="11" t="str">
        <f t="shared" si="2"/>
        <v>Valid</v>
      </c>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row>
    <row r="26" ht="20" customHeight="1" spans="1:52">
      <c r="A26" s="5">
        <v>20</v>
      </c>
      <c r="B26" s="5" t="s">
        <v>102</v>
      </c>
      <c r="C26" s="5" t="s">
        <v>103</v>
      </c>
      <c r="D26" s="5">
        <v>1</v>
      </c>
      <c r="E26" s="5" t="s">
        <v>104</v>
      </c>
      <c r="F26" s="5" t="s">
        <v>105</v>
      </c>
      <c r="G26" s="9">
        <v>82.2609375</v>
      </c>
      <c r="H26" s="9" t="s">
        <v>28</v>
      </c>
      <c r="I26" s="9" t="s">
        <v>28</v>
      </c>
      <c r="J26" s="9" t="s">
        <v>29</v>
      </c>
      <c r="K26" s="9" t="s">
        <v>28</v>
      </c>
      <c r="L26" s="10">
        <f t="shared" si="0"/>
        <v>1</v>
      </c>
      <c r="M26" s="10">
        <f t="shared" si="1"/>
        <v>3</v>
      </c>
      <c r="N26" s="11" t="str">
        <f t="shared" si="2"/>
        <v>Valid</v>
      </c>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row>
    <row r="27" ht="20" customHeight="1" spans="1:52">
      <c r="A27" s="5">
        <v>21</v>
      </c>
      <c r="B27" s="5" t="s">
        <v>106</v>
      </c>
      <c r="C27" s="5" t="s">
        <v>107</v>
      </c>
      <c r="D27" s="5">
        <v>1</v>
      </c>
      <c r="E27" s="5" t="s">
        <v>108</v>
      </c>
      <c r="F27" s="5" t="s">
        <v>109</v>
      </c>
      <c r="G27" s="9">
        <v>85.53125</v>
      </c>
      <c r="H27" s="9" t="s">
        <v>28</v>
      </c>
      <c r="I27" s="9" t="s">
        <v>28</v>
      </c>
      <c r="J27" s="9" t="s">
        <v>29</v>
      </c>
      <c r="K27" s="9" t="s">
        <v>28</v>
      </c>
      <c r="L27" s="10">
        <f t="shared" si="0"/>
        <v>1</v>
      </c>
      <c r="M27" s="10">
        <f t="shared" si="1"/>
        <v>3</v>
      </c>
      <c r="N27" s="11" t="str">
        <f t="shared" si="2"/>
        <v>Valid</v>
      </c>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row>
    <row r="28" ht="20" customHeight="1" spans="1:52">
      <c r="A28" s="5">
        <v>22</v>
      </c>
      <c r="B28" s="5" t="s">
        <v>110</v>
      </c>
      <c r="C28" s="5" t="s">
        <v>111</v>
      </c>
      <c r="D28" s="5">
        <v>1</v>
      </c>
      <c r="E28" s="5" t="s">
        <v>112</v>
      </c>
      <c r="F28" s="5" t="s">
        <v>113</v>
      </c>
      <c r="G28" s="9">
        <v>89.2484375</v>
      </c>
      <c r="H28" s="9" t="s">
        <v>28</v>
      </c>
      <c r="I28" s="9" t="s">
        <v>28</v>
      </c>
      <c r="J28" s="9" t="s">
        <v>29</v>
      </c>
      <c r="K28" s="9" t="s">
        <v>28</v>
      </c>
      <c r="L28" s="10">
        <f t="shared" si="0"/>
        <v>1</v>
      </c>
      <c r="M28" s="10">
        <f t="shared" si="1"/>
        <v>3</v>
      </c>
      <c r="N28" s="11" t="str">
        <f t="shared" si="2"/>
        <v>Valid</v>
      </c>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row>
    <row r="29" ht="20" customHeight="1" spans="1:52">
      <c r="A29" s="5">
        <v>23</v>
      </c>
      <c r="B29" s="5" t="s">
        <v>114</v>
      </c>
      <c r="C29" s="5" t="s">
        <v>115</v>
      </c>
      <c r="D29" s="5">
        <v>1</v>
      </c>
      <c r="E29" s="5" t="s">
        <v>116</v>
      </c>
      <c r="F29" s="5" t="s">
        <v>117</v>
      </c>
      <c r="G29" s="9">
        <v>89.878125</v>
      </c>
      <c r="H29" s="9" t="s">
        <v>28</v>
      </c>
      <c r="I29" s="9" t="s">
        <v>28</v>
      </c>
      <c r="J29" s="9" t="s">
        <v>29</v>
      </c>
      <c r="K29" s="9" t="s">
        <v>28</v>
      </c>
      <c r="L29" s="10">
        <f t="shared" si="0"/>
        <v>1</v>
      </c>
      <c r="M29" s="10">
        <f t="shared" si="1"/>
        <v>3</v>
      </c>
      <c r="N29" s="11" t="str">
        <f t="shared" si="2"/>
        <v>Valid</v>
      </c>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row>
    <row r="30" ht="20" customHeight="1" spans="1:52">
      <c r="A30" s="5">
        <v>24</v>
      </c>
      <c r="B30" s="5" t="s">
        <v>118</v>
      </c>
      <c r="C30" s="5" t="s">
        <v>119</v>
      </c>
      <c r="D30" s="5">
        <v>1</v>
      </c>
      <c r="E30" s="5" t="s">
        <v>120</v>
      </c>
      <c r="F30" s="5" t="s">
        <v>121</v>
      </c>
      <c r="G30" s="9">
        <v>85.23671875</v>
      </c>
      <c r="H30" s="9" t="s">
        <v>28</v>
      </c>
      <c r="I30" s="9" t="s">
        <v>28</v>
      </c>
      <c r="J30" s="9" t="s">
        <v>29</v>
      </c>
      <c r="K30" s="9" t="s">
        <v>28</v>
      </c>
      <c r="L30" s="10">
        <f t="shared" si="0"/>
        <v>1</v>
      </c>
      <c r="M30" s="10">
        <f t="shared" si="1"/>
        <v>3</v>
      </c>
      <c r="N30" s="11" t="str">
        <f t="shared" si="2"/>
        <v>Valid</v>
      </c>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row>
    <row r="31" ht="20" customHeight="1" spans="1:52">
      <c r="A31" s="5">
        <v>25</v>
      </c>
      <c r="B31" s="5" t="s">
        <v>122</v>
      </c>
      <c r="C31" s="5" t="s">
        <v>123</v>
      </c>
      <c r="D31" s="5">
        <v>1</v>
      </c>
      <c r="E31" s="5" t="s">
        <v>124</v>
      </c>
      <c r="F31" s="5" t="s">
        <v>125</v>
      </c>
      <c r="G31" s="9">
        <v>89.7765625</v>
      </c>
      <c r="H31" s="9" t="s">
        <v>28</v>
      </c>
      <c r="I31" s="9" t="s">
        <v>28</v>
      </c>
      <c r="J31" s="9" t="s">
        <v>29</v>
      </c>
      <c r="K31" s="9" t="s">
        <v>28</v>
      </c>
      <c r="L31" s="10">
        <f t="shared" si="0"/>
        <v>1</v>
      </c>
      <c r="M31" s="10">
        <f t="shared" si="1"/>
        <v>3</v>
      </c>
      <c r="N31" s="11" t="str">
        <f t="shared" si="2"/>
        <v>Valid</v>
      </c>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row>
    <row r="32" ht="20" customHeight="1" spans="1:52">
      <c r="A32" s="5">
        <v>26</v>
      </c>
      <c r="B32" s="5" t="s">
        <v>126</v>
      </c>
      <c r="C32" s="5" t="s">
        <v>127</v>
      </c>
      <c r="D32" s="5">
        <v>1</v>
      </c>
      <c r="E32" s="5" t="s">
        <v>128</v>
      </c>
      <c r="F32" s="5" t="s">
        <v>129</v>
      </c>
      <c r="G32" s="9">
        <v>89.0046875</v>
      </c>
      <c r="H32" s="9" t="s">
        <v>28</v>
      </c>
      <c r="I32" s="9" t="s">
        <v>28</v>
      </c>
      <c r="J32" s="9" t="s">
        <v>29</v>
      </c>
      <c r="K32" s="9" t="s">
        <v>28</v>
      </c>
      <c r="L32" s="10">
        <f t="shared" si="0"/>
        <v>1</v>
      </c>
      <c r="M32" s="10">
        <f t="shared" si="1"/>
        <v>3</v>
      </c>
      <c r="N32" s="11" t="str">
        <f t="shared" si="2"/>
        <v>Valid</v>
      </c>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row>
    <row r="33" ht="20" customHeight="1" spans="1:52">
      <c r="A33" s="5">
        <v>27</v>
      </c>
      <c r="B33" s="5" t="s">
        <v>130</v>
      </c>
      <c r="C33" s="5" t="s">
        <v>131</v>
      </c>
      <c r="D33" s="5">
        <v>1</v>
      </c>
      <c r="E33" s="5" t="s">
        <v>132</v>
      </c>
      <c r="F33" s="5" t="s">
        <v>133</v>
      </c>
      <c r="G33" s="9">
        <v>86.98359375</v>
      </c>
      <c r="H33" s="9" t="s">
        <v>28</v>
      </c>
      <c r="I33" s="9" t="s">
        <v>28</v>
      </c>
      <c r="J33" s="9" t="s">
        <v>29</v>
      </c>
      <c r="K33" s="9" t="s">
        <v>28</v>
      </c>
      <c r="L33" s="10">
        <f t="shared" si="0"/>
        <v>1</v>
      </c>
      <c r="M33" s="10">
        <f t="shared" si="1"/>
        <v>3</v>
      </c>
      <c r="N33" s="11" t="str">
        <f t="shared" si="2"/>
        <v>Valid</v>
      </c>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row>
    <row r="34" ht="20" customHeight="1" spans="1:52">
      <c r="A34" s="5">
        <v>28</v>
      </c>
      <c r="B34" s="5" t="s">
        <v>134</v>
      </c>
      <c r="C34" s="5" t="s">
        <v>135</v>
      </c>
      <c r="D34" s="5">
        <v>1</v>
      </c>
      <c r="E34" s="5" t="s">
        <v>136</v>
      </c>
      <c r="F34" s="5" t="s">
        <v>137</v>
      </c>
      <c r="G34" s="9">
        <v>81.27578125</v>
      </c>
      <c r="H34" s="9" t="s">
        <v>28</v>
      </c>
      <c r="I34" s="9" t="s">
        <v>28</v>
      </c>
      <c r="J34" s="9" t="s">
        <v>29</v>
      </c>
      <c r="K34" s="9" t="s">
        <v>28</v>
      </c>
      <c r="L34" s="10">
        <f t="shared" si="0"/>
        <v>1</v>
      </c>
      <c r="M34" s="10">
        <f t="shared" si="1"/>
        <v>3</v>
      </c>
      <c r="N34" s="11" t="str">
        <f t="shared" si="2"/>
        <v>Valid</v>
      </c>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row>
    <row r="35" ht="20" customHeight="1" spans="1:52">
      <c r="A35" s="5">
        <v>29</v>
      </c>
      <c r="B35" s="5" t="s">
        <v>138</v>
      </c>
      <c r="C35" s="5" t="s">
        <v>139</v>
      </c>
      <c r="D35" s="5">
        <v>1</v>
      </c>
      <c r="E35" s="5" t="s">
        <v>140</v>
      </c>
      <c r="F35" s="5" t="s">
        <v>141</v>
      </c>
      <c r="G35" s="9">
        <v>85.53125</v>
      </c>
      <c r="H35" s="9" t="s">
        <v>28</v>
      </c>
      <c r="I35" s="9" t="s">
        <v>28</v>
      </c>
      <c r="J35" s="9" t="s">
        <v>29</v>
      </c>
      <c r="K35" s="9" t="s">
        <v>28</v>
      </c>
      <c r="L35" s="10">
        <f t="shared" si="0"/>
        <v>1</v>
      </c>
      <c r="M35" s="10">
        <f t="shared" si="1"/>
        <v>3</v>
      </c>
      <c r="N35" s="11" t="str">
        <f t="shared" si="2"/>
        <v>Valid</v>
      </c>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row>
    <row r="36" ht="20" customHeight="1" spans="1:52">
      <c r="A36" s="5">
        <v>30</v>
      </c>
      <c r="B36" s="5" t="s">
        <v>142</v>
      </c>
      <c r="C36" s="5" t="s">
        <v>143</v>
      </c>
      <c r="D36" s="5">
        <v>1</v>
      </c>
      <c r="E36" s="5" t="s">
        <v>144</v>
      </c>
      <c r="F36" s="5" t="s">
        <v>145</v>
      </c>
      <c r="G36" s="9">
        <v>82.12890625</v>
      </c>
      <c r="H36" s="9" t="s">
        <v>28</v>
      </c>
      <c r="I36" s="9" t="s">
        <v>28</v>
      </c>
      <c r="J36" s="9" t="s">
        <v>29</v>
      </c>
      <c r="K36" s="9" t="s">
        <v>28</v>
      </c>
      <c r="L36" s="10">
        <f t="shared" si="0"/>
        <v>1</v>
      </c>
      <c r="M36" s="10">
        <f t="shared" si="1"/>
        <v>3</v>
      </c>
      <c r="N36" s="11" t="str">
        <f t="shared" si="2"/>
        <v>Valid</v>
      </c>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row>
    <row r="37" ht="20" customHeight="1" spans="1:52">
      <c r="A37" s="5">
        <v>31</v>
      </c>
      <c r="B37" s="5" t="s">
        <v>146</v>
      </c>
      <c r="C37" s="5" t="s">
        <v>147</v>
      </c>
      <c r="D37" s="5">
        <v>1</v>
      </c>
      <c r="E37" s="5" t="s">
        <v>148</v>
      </c>
      <c r="F37" s="5" t="s">
        <v>149</v>
      </c>
      <c r="G37" s="9">
        <v>86.82109375</v>
      </c>
      <c r="H37" s="9" t="s">
        <v>28</v>
      </c>
      <c r="I37" s="9" t="s">
        <v>28</v>
      </c>
      <c r="J37" s="9" t="s">
        <v>29</v>
      </c>
      <c r="K37" s="9" t="s">
        <v>28</v>
      </c>
      <c r="L37" s="10">
        <f t="shared" si="0"/>
        <v>1</v>
      </c>
      <c r="M37" s="10">
        <f t="shared" si="1"/>
        <v>3</v>
      </c>
      <c r="N37" s="11" t="str">
        <f t="shared" si="2"/>
        <v>Valid</v>
      </c>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row>
    <row r="38" ht="20" customHeight="1" spans="1:52">
      <c r="A38" s="5">
        <v>32</v>
      </c>
      <c r="B38" s="5" t="s">
        <v>150</v>
      </c>
      <c r="C38" s="5" t="s">
        <v>151</v>
      </c>
      <c r="D38" s="5">
        <v>1</v>
      </c>
      <c r="E38" s="5" t="s">
        <v>152</v>
      </c>
      <c r="F38" s="5" t="s">
        <v>153</v>
      </c>
      <c r="G38" s="9">
        <v>89.4921875</v>
      </c>
      <c r="H38" s="9" t="s">
        <v>28</v>
      </c>
      <c r="I38" s="9" t="s">
        <v>28</v>
      </c>
      <c r="J38" s="9" t="s">
        <v>29</v>
      </c>
      <c r="K38" s="9" t="s">
        <v>28</v>
      </c>
      <c r="L38" s="10">
        <f t="shared" si="0"/>
        <v>1</v>
      </c>
      <c r="M38" s="10">
        <f t="shared" si="1"/>
        <v>3</v>
      </c>
      <c r="N38" s="11" t="str">
        <f t="shared" si="2"/>
        <v>Valid</v>
      </c>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row>
    <row r="39" ht="20" customHeight="1" spans="1:52">
      <c r="A39" s="5">
        <v>33</v>
      </c>
      <c r="B39" s="5" t="s">
        <v>154</v>
      </c>
      <c r="C39" s="5" t="s">
        <v>155</v>
      </c>
      <c r="D39" s="5">
        <v>1</v>
      </c>
      <c r="E39" s="5" t="s">
        <v>156</v>
      </c>
      <c r="F39" s="5" t="s">
        <v>157</v>
      </c>
      <c r="G39" s="9">
        <v>87.22734375</v>
      </c>
      <c r="H39" s="9" t="s">
        <v>28</v>
      </c>
      <c r="I39" s="9" t="s">
        <v>28</v>
      </c>
      <c r="J39" s="9" t="s">
        <v>29</v>
      </c>
      <c r="K39" s="9" t="s">
        <v>28</v>
      </c>
      <c r="L39" s="10">
        <f t="shared" si="0"/>
        <v>1</v>
      </c>
      <c r="M39" s="10">
        <f t="shared" si="1"/>
        <v>3</v>
      </c>
      <c r="N39" s="11" t="str">
        <f t="shared" si="2"/>
        <v>Valid</v>
      </c>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row>
    <row r="40" ht="20" customHeight="1" spans="1:52">
      <c r="A40" s="5">
        <v>34</v>
      </c>
      <c r="B40" s="5" t="s">
        <v>158</v>
      </c>
      <c r="C40" s="5" t="s">
        <v>159</v>
      </c>
      <c r="D40" s="5">
        <v>1</v>
      </c>
      <c r="E40" s="5" t="s">
        <v>160</v>
      </c>
      <c r="F40" s="5" t="s">
        <v>161</v>
      </c>
      <c r="G40" s="9">
        <v>89.3703125</v>
      </c>
      <c r="H40" s="9" t="s">
        <v>28</v>
      </c>
      <c r="I40" s="9" t="s">
        <v>28</v>
      </c>
      <c r="J40" s="9" t="s">
        <v>29</v>
      </c>
      <c r="K40" s="9" t="s">
        <v>28</v>
      </c>
      <c r="L40" s="10">
        <f t="shared" si="0"/>
        <v>1</v>
      </c>
      <c r="M40" s="10">
        <f t="shared" si="1"/>
        <v>3</v>
      </c>
      <c r="N40" s="11" t="str">
        <f t="shared" si="2"/>
        <v>Valid</v>
      </c>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row>
    <row r="41" ht="20" customHeight="1" spans="1:52">
      <c r="A41" s="5">
        <v>35</v>
      </c>
      <c r="B41" s="5" t="s">
        <v>162</v>
      </c>
      <c r="C41" s="5" t="s">
        <v>163</v>
      </c>
      <c r="D41" s="5">
        <v>1</v>
      </c>
      <c r="E41" s="5" t="s">
        <v>164</v>
      </c>
      <c r="F41" s="5" t="s">
        <v>165</v>
      </c>
      <c r="G41" s="9">
        <v>87.71484375</v>
      </c>
      <c r="H41" s="9" t="s">
        <v>28</v>
      </c>
      <c r="I41" s="9" t="s">
        <v>28</v>
      </c>
      <c r="J41" s="9" t="s">
        <v>29</v>
      </c>
      <c r="K41" s="9" t="s">
        <v>28</v>
      </c>
      <c r="L41" s="10">
        <f t="shared" si="0"/>
        <v>1</v>
      </c>
      <c r="M41" s="10">
        <f t="shared" si="1"/>
        <v>3</v>
      </c>
      <c r="N41" s="11" t="str">
        <f t="shared" si="2"/>
        <v>Valid</v>
      </c>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row>
    <row r="42" ht="20" customHeight="1" spans="1:52">
      <c r="A42" s="5">
        <v>36</v>
      </c>
      <c r="B42" s="5" t="s">
        <v>166</v>
      </c>
      <c r="C42" s="5" t="s">
        <v>167</v>
      </c>
      <c r="D42" s="5">
        <v>1</v>
      </c>
      <c r="E42" s="5" t="s">
        <v>168</v>
      </c>
      <c r="F42" s="5" t="s">
        <v>169</v>
      </c>
      <c r="G42" s="9">
        <v>89.8984375</v>
      </c>
      <c r="H42" s="9" t="s">
        <v>28</v>
      </c>
      <c r="I42" s="9" t="s">
        <v>28</v>
      </c>
      <c r="J42" s="9" t="s">
        <v>29</v>
      </c>
      <c r="K42" s="9" t="s">
        <v>28</v>
      </c>
      <c r="L42" s="10">
        <f t="shared" si="0"/>
        <v>1</v>
      </c>
      <c r="M42" s="10">
        <f t="shared" si="1"/>
        <v>3</v>
      </c>
      <c r="N42" s="11" t="str">
        <f t="shared" si="2"/>
        <v>Valid</v>
      </c>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row>
    <row r="43" ht="20" customHeight="1" spans="1:52">
      <c r="A43" s="5">
        <v>37</v>
      </c>
      <c r="B43" s="5" t="s">
        <v>170</v>
      </c>
      <c r="C43" s="5" t="s">
        <v>171</v>
      </c>
      <c r="D43" s="5">
        <v>1</v>
      </c>
      <c r="E43" s="5" t="s">
        <v>172</v>
      </c>
      <c r="F43" s="5" t="s">
        <v>173</v>
      </c>
      <c r="G43" s="9">
        <v>87.18671875</v>
      </c>
      <c r="H43" s="9" t="s">
        <v>28</v>
      </c>
      <c r="I43" s="9" t="s">
        <v>28</v>
      </c>
      <c r="J43" s="9" t="s">
        <v>29</v>
      </c>
      <c r="K43" s="9" t="s">
        <v>28</v>
      </c>
      <c r="L43" s="10">
        <f t="shared" si="0"/>
        <v>1</v>
      </c>
      <c r="M43" s="10">
        <f t="shared" si="1"/>
        <v>3</v>
      </c>
      <c r="N43" s="11" t="str">
        <f t="shared" si="2"/>
        <v>Valid</v>
      </c>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row>
    <row r="44" ht="20" customHeight="1" spans="1:52">
      <c r="A44" s="5">
        <v>38</v>
      </c>
      <c r="B44" s="5" t="s">
        <v>174</v>
      </c>
      <c r="C44" s="5" t="s">
        <v>175</v>
      </c>
      <c r="D44" s="5">
        <v>1</v>
      </c>
      <c r="E44" s="5" t="s">
        <v>176</v>
      </c>
      <c r="F44" s="5" t="s">
        <v>177</v>
      </c>
      <c r="G44" s="9">
        <v>89.8984375</v>
      </c>
      <c r="H44" s="9" t="s">
        <v>28</v>
      </c>
      <c r="I44" s="9" t="s">
        <v>28</v>
      </c>
      <c r="J44" s="9" t="s">
        <v>29</v>
      </c>
      <c r="K44" s="9" t="s">
        <v>28</v>
      </c>
      <c r="L44" s="10">
        <f t="shared" si="0"/>
        <v>1</v>
      </c>
      <c r="M44" s="10">
        <f t="shared" si="1"/>
        <v>3</v>
      </c>
      <c r="N44" s="11" t="str">
        <f t="shared" si="2"/>
        <v>Valid</v>
      </c>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row>
    <row r="45" ht="20" customHeight="1" spans="1:52">
      <c r="A45" s="5">
        <v>39</v>
      </c>
      <c r="B45" s="5" t="s">
        <v>178</v>
      </c>
      <c r="C45" s="5" t="s">
        <v>179</v>
      </c>
      <c r="D45" s="5">
        <v>1</v>
      </c>
      <c r="E45" s="5" t="s">
        <v>180</v>
      </c>
      <c r="F45" s="5" t="s">
        <v>181</v>
      </c>
      <c r="G45" s="9">
        <v>81.428125</v>
      </c>
      <c r="H45" s="9" t="s">
        <v>28</v>
      </c>
      <c r="I45" s="9" t="s">
        <v>28</v>
      </c>
      <c r="J45" s="9" t="s">
        <v>29</v>
      </c>
      <c r="K45" s="9" t="s">
        <v>28</v>
      </c>
      <c r="L45" s="10">
        <f t="shared" si="0"/>
        <v>1</v>
      </c>
      <c r="M45" s="10">
        <f t="shared" si="1"/>
        <v>3</v>
      </c>
      <c r="N45" s="11" t="str">
        <f t="shared" si="2"/>
        <v>Valid</v>
      </c>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row>
    <row r="46" ht="20" customHeight="1" spans="1:52">
      <c r="A46" s="5">
        <v>40</v>
      </c>
      <c r="B46" s="5" t="s">
        <v>182</v>
      </c>
      <c r="C46" s="5" t="s">
        <v>183</v>
      </c>
      <c r="D46" s="5">
        <v>1</v>
      </c>
      <c r="E46" s="5" t="s">
        <v>184</v>
      </c>
      <c r="F46" s="5" t="s">
        <v>185</v>
      </c>
      <c r="G46" s="9">
        <v>83.42890625</v>
      </c>
      <c r="H46" s="9" t="s">
        <v>28</v>
      </c>
      <c r="I46" s="9" t="s">
        <v>28</v>
      </c>
      <c r="J46" s="9" t="s">
        <v>29</v>
      </c>
      <c r="K46" s="9" t="s">
        <v>28</v>
      </c>
      <c r="L46" s="10">
        <f t="shared" si="0"/>
        <v>1</v>
      </c>
      <c r="M46" s="10">
        <f t="shared" si="1"/>
        <v>3</v>
      </c>
      <c r="N46" s="11" t="str">
        <f t="shared" si="2"/>
        <v>Valid</v>
      </c>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row>
    <row r="47" ht="20" customHeight="1" spans="1:52">
      <c r="A47" s="5">
        <v>41</v>
      </c>
      <c r="B47" s="5" t="s">
        <v>186</v>
      </c>
      <c r="C47" s="5" t="s">
        <v>187</v>
      </c>
      <c r="D47" s="5">
        <v>1</v>
      </c>
      <c r="E47" s="5" t="s">
        <v>188</v>
      </c>
      <c r="F47" s="5" t="s">
        <v>189</v>
      </c>
      <c r="G47" s="9">
        <v>89.3703125</v>
      </c>
      <c r="H47" s="9" t="s">
        <v>28</v>
      </c>
      <c r="I47" s="9" t="s">
        <v>28</v>
      </c>
      <c r="J47" s="9" t="s">
        <v>29</v>
      </c>
      <c r="K47" s="9" t="s">
        <v>28</v>
      </c>
      <c r="L47" s="10">
        <f t="shared" si="0"/>
        <v>1</v>
      </c>
      <c r="M47" s="10">
        <f t="shared" si="1"/>
        <v>3</v>
      </c>
      <c r="N47" s="11" t="str">
        <f t="shared" si="2"/>
        <v>Valid</v>
      </c>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row>
    <row r="48" ht="20" customHeight="1" spans="1:52">
      <c r="A48" s="5">
        <v>42</v>
      </c>
      <c r="B48" s="5" t="s">
        <v>190</v>
      </c>
      <c r="C48" s="5" t="s">
        <v>191</v>
      </c>
      <c r="D48" s="5">
        <v>1</v>
      </c>
      <c r="E48" s="5" t="s">
        <v>192</v>
      </c>
      <c r="F48" s="5" t="s">
        <v>193</v>
      </c>
      <c r="G48" s="9">
        <v>89.2484375</v>
      </c>
      <c r="H48" s="9" t="s">
        <v>28</v>
      </c>
      <c r="I48" s="9" t="s">
        <v>28</v>
      </c>
      <c r="J48" s="9" t="s">
        <v>29</v>
      </c>
      <c r="K48" s="9" t="s">
        <v>28</v>
      </c>
      <c r="L48" s="10">
        <f t="shared" si="0"/>
        <v>1</v>
      </c>
      <c r="M48" s="10">
        <f t="shared" si="1"/>
        <v>3</v>
      </c>
      <c r="N48" s="11" t="str">
        <f t="shared" si="2"/>
        <v>Valid</v>
      </c>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row>
    <row r="49" ht="20" customHeight="1" spans="1:52">
      <c r="A49" s="5">
        <v>43</v>
      </c>
      <c r="B49" s="5" t="s">
        <v>194</v>
      </c>
      <c r="C49" s="5" t="s">
        <v>195</v>
      </c>
      <c r="D49" s="5">
        <v>1</v>
      </c>
      <c r="E49" s="5" t="s">
        <v>196</v>
      </c>
      <c r="F49" s="5" t="s">
        <v>197</v>
      </c>
      <c r="G49" s="9">
        <v>90</v>
      </c>
      <c r="H49" s="9" t="s">
        <v>28</v>
      </c>
      <c r="I49" s="9" t="s">
        <v>28</v>
      </c>
      <c r="J49" s="9" t="s">
        <v>29</v>
      </c>
      <c r="K49" s="9" t="s">
        <v>28</v>
      </c>
      <c r="L49" s="10">
        <f t="shared" si="0"/>
        <v>1</v>
      </c>
      <c r="M49" s="10">
        <f t="shared" si="1"/>
        <v>3</v>
      </c>
      <c r="N49" s="11" t="str">
        <f t="shared" si="2"/>
        <v>Valid</v>
      </c>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row>
    <row r="50" ht="20" customHeight="1" spans="1:52">
      <c r="A50" s="5">
        <v>44</v>
      </c>
      <c r="B50" s="5" t="s">
        <v>198</v>
      </c>
      <c r="C50" s="5" t="s">
        <v>199</v>
      </c>
      <c r="D50" s="5">
        <v>1</v>
      </c>
      <c r="E50" s="5" t="s">
        <v>200</v>
      </c>
      <c r="F50" s="5" t="s">
        <v>201</v>
      </c>
      <c r="G50" s="9">
        <v>84.88125</v>
      </c>
      <c r="H50" s="9" t="s">
        <v>28</v>
      </c>
      <c r="I50" s="9" t="s">
        <v>28</v>
      </c>
      <c r="J50" s="9" t="s">
        <v>29</v>
      </c>
      <c r="K50" s="9" t="s">
        <v>28</v>
      </c>
      <c r="L50" s="10">
        <f t="shared" si="0"/>
        <v>1</v>
      </c>
      <c r="M50" s="10">
        <f t="shared" si="1"/>
        <v>3</v>
      </c>
      <c r="N50" s="11" t="str">
        <f t="shared" si="2"/>
        <v>Valid</v>
      </c>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row>
    <row r="51" ht="20" customHeight="1" spans="1:52">
      <c r="A51" s="5">
        <v>45</v>
      </c>
      <c r="B51" s="5" t="s">
        <v>202</v>
      </c>
      <c r="C51" s="5" t="s">
        <v>203</v>
      </c>
      <c r="D51" s="5">
        <v>1</v>
      </c>
      <c r="E51" s="5" t="s">
        <v>204</v>
      </c>
      <c r="F51" s="5" t="s">
        <v>205</v>
      </c>
      <c r="G51" s="9">
        <v>89.8984375</v>
      </c>
      <c r="H51" s="9" t="s">
        <v>28</v>
      </c>
      <c r="I51" s="9" t="s">
        <v>28</v>
      </c>
      <c r="J51" s="9" t="s">
        <v>29</v>
      </c>
      <c r="K51" s="9" t="s">
        <v>28</v>
      </c>
      <c r="L51" s="10">
        <f t="shared" si="0"/>
        <v>1</v>
      </c>
      <c r="M51" s="10">
        <f t="shared" si="1"/>
        <v>3</v>
      </c>
      <c r="N51" s="11" t="str">
        <f t="shared" si="2"/>
        <v>Valid</v>
      </c>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row>
    <row r="52" ht="20" customHeight="1" spans="1:52">
      <c r="A52" s="5">
        <v>46</v>
      </c>
      <c r="B52" s="5" t="s">
        <v>206</v>
      </c>
      <c r="C52" s="5" t="s">
        <v>207</v>
      </c>
      <c r="D52" s="5">
        <v>1</v>
      </c>
      <c r="E52" s="5" t="s">
        <v>208</v>
      </c>
      <c r="F52" s="5" t="s">
        <v>209</v>
      </c>
      <c r="G52" s="9">
        <v>89.3703125</v>
      </c>
      <c r="H52" s="9" t="s">
        <v>28</v>
      </c>
      <c r="I52" s="9" t="s">
        <v>28</v>
      </c>
      <c r="J52" s="9" t="s">
        <v>29</v>
      </c>
      <c r="K52" s="9" t="s">
        <v>28</v>
      </c>
      <c r="L52" s="10">
        <f t="shared" si="0"/>
        <v>1</v>
      </c>
      <c r="M52" s="10">
        <f t="shared" si="1"/>
        <v>3</v>
      </c>
      <c r="N52" s="11" t="str">
        <f t="shared" si="2"/>
        <v>Valid</v>
      </c>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row>
    <row r="53" ht="20" customHeight="1" spans="1:52">
      <c r="A53" s="5">
        <v>47</v>
      </c>
      <c r="B53" s="5" t="s">
        <v>210</v>
      </c>
      <c r="C53" s="5" t="s">
        <v>211</v>
      </c>
      <c r="D53" s="5">
        <v>1</v>
      </c>
      <c r="E53" s="5" t="s">
        <v>212</v>
      </c>
      <c r="F53" s="5" t="s">
        <v>213</v>
      </c>
      <c r="G53" s="9">
        <v>89.7765625</v>
      </c>
      <c r="H53" s="9" t="s">
        <v>28</v>
      </c>
      <c r="I53" s="9" t="s">
        <v>28</v>
      </c>
      <c r="J53" s="9" t="s">
        <v>29</v>
      </c>
      <c r="K53" s="9" t="s">
        <v>28</v>
      </c>
      <c r="L53" s="10">
        <f t="shared" si="0"/>
        <v>1</v>
      </c>
      <c r="M53" s="10">
        <f t="shared" si="1"/>
        <v>3</v>
      </c>
      <c r="N53" s="11" t="str">
        <f t="shared" si="2"/>
        <v>Valid</v>
      </c>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row>
    <row r="54" ht="20" customHeight="1" spans="1:52">
      <c r="A54" s="5">
        <v>48</v>
      </c>
      <c r="B54" s="5" t="s">
        <v>214</v>
      </c>
      <c r="C54" s="5" t="s">
        <v>215</v>
      </c>
      <c r="D54" s="5">
        <v>1</v>
      </c>
      <c r="E54" s="5" t="s">
        <v>216</v>
      </c>
      <c r="F54" s="5" t="s">
        <v>217</v>
      </c>
      <c r="G54" s="9">
        <v>77.4875</v>
      </c>
      <c r="H54" s="9" t="s">
        <v>28</v>
      </c>
      <c r="I54" s="9" t="s">
        <v>28</v>
      </c>
      <c r="J54" s="9" t="s">
        <v>29</v>
      </c>
      <c r="K54" s="9" t="s">
        <v>28</v>
      </c>
      <c r="L54" s="10">
        <f t="shared" si="0"/>
        <v>1</v>
      </c>
      <c r="M54" s="10">
        <f t="shared" si="1"/>
        <v>3</v>
      </c>
      <c r="N54" s="11" t="str">
        <f t="shared" si="2"/>
        <v>Valid</v>
      </c>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row>
    <row r="56" ht="15.15" spans="1:1">
      <c r="A56" s="6" t="s">
        <v>218</v>
      </c>
    </row>
    <row r="57" spans="1:1">
      <c r="A57" t="s">
        <v>219</v>
      </c>
    </row>
    <row r="58" spans="1:1">
      <c r="A58" t="s">
        <v>220</v>
      </c>
    </row>
    <row r="59" spans="1:1">
      <c r="A59" t="s">
        <v>221</v>
      </c>
    </row>
    <row r="60" spans="1:1">
      <c r="A60" t="s">
        <v>222</v>
      </c>
    </row>
    <row r="61" spans="1:1">
      <c r="A61" s="7" t="s">
        <v>223</v>
      </c>
    </row>
    <row r="62" spans="1:1">
      <c r="A62" t="s">
        <v>224</v>
      </c>
    </row>
    <row r="63" spans="1:1">
      <c r="A63" t="s">
        <v>225</v>
      </c>
    </row>
    <row r="64" spans="1:1">
      <c r="A64" t="s">
        <v>226</v>
      </c>
    </row>
    <row r="65" spans="1:1">
      <c r="A65" t="s">
        <v>227</v>
      </c>
    </row>
  </sheetData>
  <sheetProtection password="E249" sheet="1"/>
  <mergeCells count="9">
    <mergeCell ref="H3:K3"/>
    <mergeCell ref="L3:N3"/>
    <mergeCell ref="A3:A6"/>
    <mergeCell ref="B3:B6"/>
    <mergeCell ref="C3:C6"/>
    <mergeCell ref="D3:D6"/>
    <mergeCell ref="E3:E6"/>
    <mergeCell ref="F3:F6"/>
    <mergeCell ref="G3:G6"/>
  </mergeCells>
  <dataValidations count="2">
    <dataValidation type="whole" operator="between" showInputMessage="1" showErrorMessage="1" errorTitle="Input Salah" error="Hanya boleh memasukkan angka antara 1 dan 100." promptTitle="Input Angka" prompt="Masukkan angka antara 1 dan 100." sqref="G7 G8 G9 G10 G11 G12 G13 G14 G15 G16 G17 G18 G19 G20 G21 G22 G23 G24 G25 G26 G27 G28 G29 G30 G31 G32 G33 G34 G35 G36 G37 G38 G39 G40 G41 G42 G43 G44 G45 G46 G47 G48 G49 G50 G51 G52 G53 G54">
      <formula1>1</formula1>
      <formula2>100</formula2>
    </dataValidation>
    <dataValidation type="list" showInputMessage="1" showErrorMessage="1" errorTitle="Input Error" error="Data tidak sesuai list, Silahkan isi dengan T untuk Pencapaian Sangat Optimal atau R untuk Pencapaian yang Perlu Peningkatan" promptTitle="Ketercapaian TP " prompt="T = TP dicapai dengan Sangat Optimal, R = TP masih Perlu Peningkatan" sqref="H7 I7 J7 K7 H8 I8 J8 K8 H9 I9 J9 K9 H10 I10 J10 K10 H11 I11 J11 K11 H12 I12 J12 K12 H13 I13 J13 K13 H14 I14 J14 K14 H15 I15 J15 K15 H16 I16 J16 K16 H17 I17 J17 K17 H18 I18 J18 K18 H19 I19 J19 K19 H20 I20 J20 K20 H21 I21 J21 K21 H22 I22 J22 K22 H23 I23 J23 K23 H24 I24 J24 K24 H25 I25 J25 K25 H26 I26 J26 K26 H27 I27 J27 K27 H28 I28 J28 K28 H29 I29 J29 K29 H30 I30 J30 K30 H31 I31 J31 K31 H32 I32 J32 K32 H33 I33 J33 K33 H34 I34 J34 K34 H35 I35 J35 K35 H36 I36 J36 K36 H37 I37 J37 K37 H38 I38 J38 K38 H39 I39 J39 K39 H40 I40 J40 K40 H41 I41 J41 K41 H42 I42 J42 K42 H43 I43 J43 K43 H44 I44 J44 K44 H45 I45 J45 K45 H46 I46 J46 K46 H47 I47 J47 K47 H48 I48 J48 K48 H49 I49 J49 K49 H50 I50 J50 K50 H51 I51 J51 K51 H52 I52 J52 K52 H53 I53 J53 K53 H54 I54 J54 K54">
      <formula1>"T,R"</formula1>
    </dataValidation>
  </dataValidations>
  <pageMargins left="0.7" right="0.7" top="0.75" bottom="0.75" header="0.3" footer="0.3"/>
  <pageSetup paperSize="1"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Worksheet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daniarsyah</cp:lastModifiedBy>
  <dcterms:created xsi:type="dcterms:W3CDTF">2025-12-07T13:10:07Z</dcterms:created>
  <dcterms:modified xsi:type="dcterms:W3CDTF">2025-12-07T13:12:09Z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1E1A76E1E591A533B61A3569C1475C90_42</vt:lpwstr>
  </property>
  <property fmtid="{D5CDD505-2E9C-101B-9397-08002B2CF9AE}" pid="3" name="KSOProductBuildVer">
    <vt:lpwstr>1033-12.1.2.22571</vt:lpwstr>
  </property>
</Properties>
</file>