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40" windowHeight="1236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<sst xmlns="http://schemas.openxmlformats.org/spreadsheetml/2006/main" count="1237" uniqueCount="234">
  <si>
    <t>Timestamp</t>
  </si>
  <si>
    <t>Email Address</t>
  </si>
  <si>
    <t>Score</t>
  </si>
  <si>
    <t>Nama Lengkap</t>
  </si>
  <si>
    <t>Kelas</t>
  </si>
  <si>
    <t>EMAIL</t>
  </si>
  <si>
    <t>TOKEN</t>
  </si>
  <si>
    <t>Perangkat keras yang berfungsi sebagai pusat pengolahan data adalah…</t>
  </si>
  <si>
    <t>RAM digunakan untuk menyimpan…</t>
  </si>
  <si>
    <t>Contoh perangkat input adalah…</t>
  </si>
  <si>
    <t>Perangkat lunak pengolah kata adalah…</t>
  </si>
  <si>
    <t>Perangkat keras untuk menghubungkan komputer ke jaringan adalah…</t>
  </si>
  <si>
    <t>Shortcut untuk menyimpan dokumen Word adalah…</t>
  </si>
  <si>
    <t>Fungsi utama harddisk adalah…</t>
  </si>
  <si>
    <t>Contoh perangkat keluaran adalah…</t>
  </si>
  <si>
    <t>Untuk membuat teks miring digunakan fitur…</t>
  </si>
  <si>
    <t>Power Supply berfungsi untuk…</t>
  </si>
  <si>
    <t>CPU berada pada perangkat…</t>
  </si>
  <si>
    <t>Scanner termasuk perangkat…</t>
  </si>
  <si>
    <t>Sistem operasi yang sangat umum digunakan adalah…</t>
  </si>
  <si>
    <t>Untuk membuat teks menjadi garis bawah digunakan…</t>
  </si>
  <si>
    <t>Sistem komputer terdiri dari hardware, software dan…</t>
  </si>
  <si>
    <t>Software pengolah angka adalah…</t>
  </si>
  <si>
    <t>Shortcut menyalin adalah…</t>
  </si>
  <si>
    <t>BIOS terdapat pada…</t>
  </si>
  <si>
    <t>Software untuk mengecilkan atau mengompres file adalah…</t>
  </si>
  <si>
    <t>Keyboard terdiri dari tombol huruf dan…</t>
  </si>
  <si>
    <t>Konversikan bilangan biner 0101₂ ke desimal.</t>
  </si>
  <si>
    <t>Konversikan bilangan biner 10010₂ ke desimal.</t>
  </si>
  <si>
    <t xml:space="preserve">
Konversikan bilangan biner 11010₂ ke desimal.</t>
  </si>
  <si>
    <t xml:space="preserve">
Konversikan bilangan biner 0001₂ ke desimal.</t>
  </si>
  <si>
    <t>Konversikan bilangan biner 0011₂ ke desimal.</t>
  </si>
  <si>
    <t>Column 32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</si>
  <si>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</si>
  <si>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</si>
  <si>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</si>
  <si>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</si>
  <si>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</si>
  <si>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</si>
  <si>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</si>
  <si>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</si>
  <si>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</si>
  <si>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</si>
  <si>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</si>
  <si>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</si>
  <si>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</si>
  <si>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</si>
  <si>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</si>
  <si>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</si>
  <si>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Column 49</t>
  </si>
  <si>
    <t>Column 50</t>
  </si>
  <si>
    <t>Column 51</t>
  </si>
  <si>
    <t>Column 52</t>
  </si>
  <si>
    <t>Column 53</t>
  </si>
  <si>
    <t>Column 54</t>
  </si>
  <si>
    <t>Column 55</t>
  </si>
  <si>
    <t>Column 56</t>
  </si>
  <si>
    <t>Column 57</t>
  </si>
  <si>
    <t>adammridho24@gmail.com</t>
  </si>
  <si>
    <t xml:space="preserve">ADAM RIDHO NUR AKBAR </t>
  </si>
  <si>
    <t>X 3</t>
  </si>
  <si>
    <t>CPU</t>
  </si>
  <si>
    <t>Data sementara</t>
  </si>
  <si>
    <t>Keyboard</t>
  </si>
  <si>
    <t>Microsoft Word</t>
  </si>
  <si>
    <t>NIC (Network Interface Card)</t>
  </si>
  <si>
    <t>Ctrl + S</t>
  </si>
  <si>
    <t>Menyimpan data permanen</t>
  </si>
  <si>
    <t>Speaker</t>
  </si>
  <si>
    <t>Italic</t>
  </si>
  <si>
    <t>Mengubah arus listrik</t>
  </si>
  <si>
    <t>Motherboard</t>
  </si>
  <si>
    <t>Input</t>
  </si>
  <si>
    <t>Windows</t>
  </si>
  <si>
    <t>Underline</t>
  </si>
  <si>
    <t>Brainware</t>
  </si>
  <si>
    <t>Microsoft Excel</t>
  </si>
  <si>
    <t>Ctrl + C</t>
  </si>
  <si>
    <t>ROM</t>
  </si>
  <si>
    <t>WinRAR</t>
  </si>
  <si>
    <t>Angka</t>
  </si>
  <si>
    <t>ikeucigon@gmail.com</t>
  </si>
  <si>
    <t>Aliifah nursasmita</t>
  </si>
  <si>
    <t>Data permanen</t>
  </si>
  <si>
    <t>Monitor</t>
  </si>
  <si>
    <t>VLC Player</t>
  </si>
  <si>
    <t>Scanner</t>
  </si>
  <si>
    <t>Ctrl + V</t>
  </si>
  <si>
    <t>Memproses data</t>
  </si>
  <si>
    <t>Subscript</t>
  </si>
  <si>
    <t>Menyimpan data</t>
  </si>
  <si>
    <t>Output</t>
  </si>
  <si>
    <t>Chrome</t>
  </si>
  <si>
    <t>Bluetooth</t>
  </si>
  <si>
    <t>PowerPoint</t>
  </si>
  <si>
    <t>Ctrl + B</t>
  </si>
  <si>
    <t>Flashdisk</t>
  </si>
  <si>
    <t>Excel</t>
  </si>
  <si>
    <t>10.8640</t>
  </si>
  <si>
    <t>sshaa6225@gmail.com</t>
  </si>
  <si>
    <t xml:space="preserve">Alisha Natha Marsela </t>
  </si>
  <si>
    <t xml:space="preserve">sshaa6225@gmail.com </t>
  </si>
  <si>
    <t>Menghubungkan jaringan</t>
  </si>
  <si>
    <t>Mouse</t>
  </si>
  <si>
    <t>Menghubungkan internet</t>
  </si>
  <si>
    <t>Bold</t>
  </si>
  <si>
    <t>WordPad</t>
  </si>
  <si>
    <t>RAM</t>
  </si>
  <si>
    <t>kannkinkun@gmail.com</t>
  </si>
  <si>
    <t>Arkan Khairy Rahman</t>
  </si>
  <si>
    <t>ayuariyanti136@gmail.com</t>
  </si>
  <si>
    <t xml:space="preserve">Ayu Ariyanti </t>
  </si>
  <si>
    <t>ayyasrim@gmail.com</t>
  </si>
  <si>
    <t>CAHAYA SRI MAHADEWI</t>
  </si>
  <si>
    <t>calvin.naibaho20@gmail.com</t>
  </si>
  <si>
    <t xml:space="preserve">Calvin Naibaho </t>
  </si>
  <si>
    <t>csaniananda@gmail.com</t>
  </si>
  <si>
    <t>candra sani ananda</t>
  </si>
  <si>
    <t>Notepad</t>
  </si>
  <si>
    <t>daanishshaziyarahmat@gmail.com</t>
  </si>
  <si>
    <t>Daanis Shaziya Destriar Rahmat</t>
  </si>
  <si>
    <t>@daanishshaziyarahmat@gmail.com</t>
  </si>
  <si>
    <t>daraelvaria8@gmail.com</t>
  </si>
  <si>
    <t xml:space="preserve">Dara elvaria zulia </t>
  </si>
  <si>
    <t>deladedel01@gmail.com</t>
  </si>
  <si>
    <t>DELLA SITI MUNAZAH MARDIAH</t>
  </si>
  <si>
    <t>ufavddel02@gmail.com</t>
  </si>
  <si>
    <t>deviaanatasya63@gmail.com</t>
  </si>
  <si>
    <t xml:space="preserve">devia anatasya </t>
  </si>
  <si>
    <t>deviaanatasya@gmail.com</t>
  </si>
  <si>
    <t>natsume.hakari@gmail.com</t>
  </si>
  <si>
    <t xml:space="preserve">Dhafin Razaqa Putra </t>
  </si>
  <si>
    <t>fidelanares@gmail.com</t>
  </si>
  <si>
    <t>Fidela Didrika Nareswari</t>
  </si>
  <si>
    <t>ghiandadestrianti@gmail.com</t>
  </si>
  <si>
    <t xml:space="preserve">Ghianda cetta destrianti </t>
  </si>
  <si>
    <t>Processor</t>
  </si>
  <si>
    <t>geresruhel@gmail.com</t>
  </si>
  <si>
    <t xml:space="preserve">Grace rachel </t>
  </si>
  <si>
    <t>agungaspaltolpasirkoja@gmail.com</t>
  </si>
  <si>
    <t>Harta Alkindi</t>
  </si>
  <si>
    <t>helgadesnataliaa24@gmail.com</t>
  </si>
  <si>
    <t xml:space="preserve">HELGA DESNATALIA ZEGA </t>
  </si>
  <si>
    <t>kennethonggeleng01@gmail.com</t>
  </si>
  <si>
    <t>Isaiah Kenneth Onggeleng</t>
  </si>
  <si>
    <t>kameliaarbainarus0303@gmail.com</t>
  </si>
  <si>
    <t>Kamelia arba inarus</t>
  </si>
  <si>
    <t>keylaa210223@gmail.com</t>
  </si>
  <si>
    <t xml:space="preserve">Keyla Putri Aprilia </t>
  </si>
  <si>
    <t>laylanurannisah@gmail.com</t>
  </si>
  <si>
    <t>Layla Nur Annisah</t>
  </si>
  <si>
    <t>levidhya13@gmail.com</t>
  </si>
  <si>
    <t>M.Levidhya Kerta Pratama</t>
  </si>
  <si>
    <t>Ctrl + Z</t>
  </si>
  <si>
    <t>Proses</t>
  </si>
  <si>
    <t>6⁴</t>
  </si>
  <si>
    <t>2⁶</t>
  </si>
  <si>
    <t>4⁴</t>
  </si>
  <si>
    <t>irwanberliana58@gmail.com</t>
  </si>
  <si>
    <t>MOCHAMAD IRWAN BEARLIANA</t>
  </si>
  <si>
    <t>Data eksternal</t>
  </si>
  <si>
    <t>Proyektor</t>
  </si>
  <si>
    <t>Webcam</t>
  </si>
  <si>
    <t>Memperbesar suara</t>
  </si>
  <si>
    <t>bagassjuliann@gmail.com</t>
  </si>
  <si>
    <t>muhamad bagas julian</t>
  </si>
  <si>
    <t>ganimuhamad897@gmail.com</t>
  </si>
  <si>
    <t xml:space="preserve">Muhammad nur ghani </t>
  </si>
  <si>
    <t>muhammadrezkisaid@gmail.com</t>
  </si>
  <si>
    <t xml:space="preserve">Muhammad Rezky Said Putra </t>
  </si>
  <si>
    <t>rahmadewimutiara09@gmail.com</t>
  </si>
  <si>
    <t xml:space="preserve">Mutiara Rahmadewi </t>
  </si>
  <si>
    <t>nafisah.nh2009@gmail.com</t>
  </si>
  <si>
    <t>Nafisah Nailal Husna</t>
  </si>
  <si>
    <t>Ctrl + N</t>
  </si>
  <si>
    <t>Layar</t>
  </si>
  <si>
    <t>nailaikrim20@gmail.com</t>
  </si>
  <si>
    <t>Naila Ikrimatun Nisa</t>
  </si>
  <si>
    <t>Ctrl + A</t>
  </si>
  <si>
    <t>Penyimpanan</t>
  </si>
  <si>
    <t>natasyaameliaputri39@gmail.com</t>
  </si>
  <si>
    <t>Natasya Amelia Putri</t>
  </si>
  <si>
    <t>raysanazwa2@gmail.com</t>
  </si>
  <si>
    <t>Nazwa nur amelia</t>
  </si>
  <si>
    <t>Paint</t>
  </si>
  <si>
    <t>Internet</t>
  </si>
  <si>
    <t>01101</t>
  </si>
  <si>
    <t>001100</t>
  </si>
  <si>
    <t>putrasidiq501@gmail.com</t>
  </si>
  <si>
    <t xml:space="preserve">Putra Permana sidik </t>
  </si>
  <si>
    <t>haznaqonita9@gmail.com</t>
  </si>
  <si>
    <t xml:space="preserve">Qonita Naila Hazna </t>
  </si>
  <si>
    <t>raafidwi704@gmail.com</t>
  </si>
  <si>
    <t xml:space="preserve">Raafi dwi Pradipta </t>
  </si>
  <si>
    <t>Highlighter</t>
  </si>
  <si>
    <t>rasyapp1001@gmail.com</t>
  </si>
  <si>
    <t xml:space="preserve">Rasya Priatna Putra </t>
  </si>
  <si>
    <t>reyhanfajarj@gmail.com</t>
  </si>
  <si>
    <t>Reyhan Fajar Junian</t>
  </si>
  <si>
    <t>rezqinurassyifaramadhani@gmail.com</t>
  </si>
  <si>
    <t>Rezqi nurassyifa ramadhani</t>
  </si>
  <si>
    <t>Rezqinurassyifaramadhani@gmail.com</t>
  </si>
  <si>
    <t>nia620851@gmail.com</t>
  </si>
  <si>
    <t xml:space="preserve">Rifki Raditya </t>
  </si>
  <si>
    <t>ikiaditya678@gmail.com</t>
  </si>
  <si>
    <t>ridoriski074@gmail.com</t>
  </si>
  <si>
    <t xml:space="preserve">Riski Juliansyah </t>
  </si>
  <si>
    <t>riskii150709@gmail.com</t>
  </si>
  <si>
    <t>billbillee11@gmail.com</t>
  </si>
  <si>
    <t xml:space="preserve">risma anzani fitriani </t>
  </si>
  <si>
    <t>rismaanzani02@gmail.com</t>
  </si>
  <si>
    <t>riyanimadani@gmail.com</t>
  </si>
  <si>
    <t xml:space="preserve">Riyani Rahmadani </t>
  </si>
  <si>
    <t>kquinsha68@gmail.com</t>
  </si>
  <si>
    <t>Sabrina Novanti</t>
  </si>
  <si>
    <t>oppoa11k@gmail.com</t>
  </si>
  <si>
    <t>sisilnovitahemaningsih2009@gmail.com</t>
  </si>
  <si>
    <t>Sisil novita hemaningsih</t>
  </si>
  <si>
    <t>Menangkap gambar</t>
  </si>
  <si>
    <t>Harddisk</t>
  </si>
  <si>
    <t>sitimarwahsolihah@gmail.com</t>
  </si>
  <si>
    <t xml:space="preserve">Siti Marwah solihah </t>
  </si>
  <si>
    <t>Word</t>
  </si>
  <si>
    <t xml:space="preserve">0101² dua nya dibawah </t>
  </si>
  <si>
    <t>syahalz428@gmail.com</t>
  </si>
  <si>
    <t xml:space="preserve">SYAHRIEL ALMUKHNIANSYAH </t>
  </si>
  <si>
    <t>mylittleangelsyera@gmail.com</t>
  </si>
  <si>
    <t>Syera Aurelia</t>
  </si>
  <si>
    <t>syeraaurelia28@gmail.com</t>
  </si>
  <si>
    <t>Menampilkan gambar</t>
  </si>
  <si>
    <t>wa0254049@gmail.com</t>
  </si>
  <si>
    <t>Wulan Aulia</t>
  </si>
  <si>
    <t>wa0254045@gmail.com</t>
  </si>
  <si>
    <t>Ctrl + 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</si>
</sst>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0&quot; / 30&quot;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0" fillId="0" borderId="0" xfId="0" applyNumberFormat="1" applyFont="1" applyAlignment="1"/>
    <xf numFmtId="0" fontId="0" fillId="2" borderId="0" xfId="0" applyFont="1" applyFill="1" applyAlignment="1"/>
    <xf numFmtId="0" fontId="0" fillId="0" borderId="0" xfId="0" applyFont="1" applyFill="1" applyAlignment="1"/>
    <xf numFmtId="0" fontId="2" fillId="0" borderId="0" xfId="0" applyFont="1" applyAlignment="1"/>
    <xf numFmtId="0" fontId="2" fillId="0" borderId="0" xfId="0" applyNumberFormat="1" applyFont="1" applyAlignment="1"/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0" formatCode="General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40B6C573-F34E-665A-E2CF-4069D461265F}">
      <tableStyleElement type="wholeTable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Grafik Nilai ASAS X-3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'Form Responses 1'!$BG$2:$BG$49</c:f>
              <c:numCache>
                <c:formatCode>General</c:formatCode>
                <c:ptCount val="48"/>
                <c:pt idx="0">
                  <c:v>100</c:v>
                </c:pt>
                <c:pt idx="1">
                  <c:v>8</c:v>
                </c:pt>
                <c:pt idx="2">
                  <c:v>32</c:v>
                </c:pt>
                <c:pt idx="3">
                  <c:v>100</c:v>
                </c:pt>
                <c:pt idx="4">
                  <c:v>100</c:v>
                </c:pt>
                <c:pt idx="5">
                  <c:v>96</c:v>
                </c:pt>
                <c:pt idx="6">
                  <c:v>100</c:v>
                </c:pt>
                <c:pt idx="7">
                  <c:v>76</c:v>
                </c:pt>
                <c:pt idx="8">
                  <c:v>88</c:v>
                </c:pt>
                <c:pt idx="9">
                  <c:v>96</c:v>
                </c:pt>
                <c:pt idx="10">
                  <c:v>92</c:v>
                </c:pt>
                <c:pt idx="11">
                  <c:v>92</c:v>
                </c:pt>
                <c:pt idx="12">
                  <c:v>100</c:v>
                </c:pt>
                <c:pt idx="13">
                  <c:v>100</c:v>
                </c:pt>
                <c:pt idx="14">
                  <c:v>84</c:v>
                </c:pt>
                <c:pt idx="15">
                  <c:v>96</c:v>
                </c:pt>
                <c:pt idx="16">
                  <c:v>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60</c:v>
                </c:pt>
                <c:pt idx="23">
                  <c:v>56</c:v>
                </c:pt>
                <c:pt idx="24">
                  <c:v>84</c:v>
                </c:pt>
                <c:pt idx="25">
                  <c:v>100</c:v>
                </c:pt>
                <c:pt idx="26">
                  <c:v>100</c:v>
                </c:pt>
                <c:pt idx="27">
                  <c:v>92</c:v>
                </c:pt>
                <c:pt idx="28">
                  <c:v>48</c:v>
                </c:pt>
                <c:pt idx="29">
                  <c:v>56</c:v>
                </c:pt>
                <c:pt idx="30">
                  <c:v>100</c:v>
                </c:pt>
                <c:pt idx="31">
                  <c:v>28</c:v>
                </c:pt>
                <c:pt idx="32">
                  <c:v>96</c:v>
                </c:pt>
                <c:pt idx="33">
                  <c:v>64</c:v>
                </c:pt>
                <c:pt idx="34">
                  <c:v>96</c:v>
                </c:pt>
                <c:pt idx="35">
                  <c:v>100</c:v>
                </c:pt>
                <c:pt idx="36">
                  <c:v>100</c:v>
                </c:pt>
                <c:pt idx="37">
                  <c:v>80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72</c:v>
                </c:pt>
                <c:pt idx="44">
                  <c:v>84</c:v>
                </c:pt>
                <c:pt idx="45">
                  <c:v>96</c:v>
                </c:pt>
                <c:pt idx="46">
                  <c:v>88</c:v>
                </c:pt>
                <c:pt idx="47">
                  <c:v>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184015"/>
        <c:axId val="993939743"/>
      </c:lineChart>
      <c:catAx>
        <c:axId val="29318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939743"/>
        <c:crosses val="autoZero"/>
        <c:auto val="1"/>
        <c:lblAlgn val="ctr"/>
        <c:lblOffset val="100"/>
        <c:noMultiLvlLbl val="0"/>
      </c:catAx>
      <c:valAx>
        <c:axId val="99393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18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ca5245b-5d60-486b-92fb-c78a17c39b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63</xdr:col>
      <xdr:colOff>63500</xdr:colOff>
      <xdr:row>27</xdr:row>
      <xdr:rowOff>246380</xdr:rowOff>
    </xdr:from>
    <xdr:to>
      <xdr:col>70</xdr:col>
      <xdr:colOff>831850</xdr:colOff>
      <xdr:row>40</xdr:row>
      <xdr:rowOff>276860</xdr:rowOff>
    </xdr:to>
    <xdr:graphicFrame>
      <xdr:nvGraphicFramePr>
        <xdr:cNvPr id="2" name="Chart 1"/>
        <xdr:cNvGraphicFramePr/>
      </xdr:nvGraphicFramePr>
      <xdr:xfrm>
        <a:off x="93478350" y="7961630"/>
        <a:ext cx="6677660" cy="3745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BJ51">
  <sortState ref="A1:BJ51">
    <sortCondition ref="D2:D50"/>
  </sortState>
  <tableColumns count="62">
    <tableColumn id="1" name="Timestamp" dataDxfId="0"/>
    <tableColumn id="2" name="Email Address" dataDxfId="1"/>
    <tableColumn id="3" name="Score" dataDxfId="2"/>
    <tableColumn id="4" name="Nama Lengkap" dataDxfId="3"/>
    <tableColumn id="5" name="Kelas" dataDxfId="4"/>
    <tableColumn id="6" name="EMAIL" dataDxfId="5"/>
    <tableColumn id="7" name="TOKEN" dataDxfId="6"/>
    <tableColumn id="8" name="Perangkat keras yang berfungsi sebagai pusat pengolahan data adalah…" dataDxfId="7"/>
    <tableColumn id="9" name="RAM digunakan untuk menyimpan…" dataDxfId="8"/>
    <tableColumn id="10" name="Contoh perangkat input adalah…" dataDxfId="9"/>
    <tableColumn id="11" name="Perangkat lunak pengolah kata adalah…" dataDxfId="10"/>
    <tableColumn id="12" name="Perangkat keras untuk menghubungkan komputer ke jaringan adalah…" dataDxfId="11"/>
    <tableColumn id="13" name="Shortcut untuk menyimpan dokumen Word adalah…" dataDxfId="12"/>
    <tableColumn id="14" name="Fungsi utama harddisk adalah…" dataDxfId="13"/>
    <tableColumn id="15" name="Contoh perangkat keluaran adalah…" dataDxfId="14"/>
    <tableColumn id="16" name="Untuk membuat teks miring digunakan fitur…" dataDxfId="15"/>
    <tableColumn id="17" name="Power Supply berfungsi untuk…" dataDxfId="16"/>
    <tableColumn id="18" name="CPU berada pada perangkat…" dataDxfId="17"/>
    <tableColumn id="19" name="Scanner termasuk perangkat…" dataDxfId="18"/>
    <tableColumn id="20" name="Sistem operasi yang sangat umum digunakan adalah…" dataDxfId="19"/>
    <tableColumn id="21" name="Untuk membuat teks menjadi garis bawah digunakan…" dataDxfId="20"/>
    <tableColumn id="22" name="Sistem komputer terdiri dari hardware, software dan…" dataDxfId="21"/>
    <tableColumn id="23" name="Software pengolah angka adalah…" dataDxfId="22"/>
    <tableColumn id="24" name="Shortcut menyalin adalah…" dataDxfId="23"/>
    <tableColumn id="25" name="BIOS terdapat pada…" dataDxfId="24"/>
    <tableColumn id="26" name="Software untuk mengecilkan atau mengompres file adalah…" dataDxfId="25"/>
    <tableColumn id="27" name="Keyboard terdiri dari tombol huruf dan…" dataDxfId="26"/>
    <tableColumn id="28" name="Konversikan bilangan biner 0101₂ ke desimal." dataDxfId="27"/>
    <tableColumn id="29" name="Konversikan bilangan biner 10010₂ ke desimal." dataDxfId="28"/>
    <tableColumn id="30" name="&#10;Konversikan bilangan biner 11010₂ ke desimal." dataDxfId="29"/>
    <tableColumn id="31" name="&#10;Konversikan bilangan biner 0001₂ ke desimal." dataDxfId="30"/>
    <tableColumn id="32" name="Konversikan bilangan biner 0011₂ ke desimal." dataDxfId="31"/>
    <tableColumn id="33" name="Column 32" dataDxfId="32">
      <calculatedColumnFormula>IF(H2=H$50,1,0)</calculatedColumnFormula>
    </tableColumn>
    <tableColumn id="34" name="Column 33" dataDxfId="33"/>
    <tableColumn id="35" name="Column 34" dataDxfId="34"/>
    <tableColumn id="36" name="Column 35" dataDxfId="35"/>
    <tableColumn id="37" name="Column 36" dataDxfId="36"/>
    <tableColumn id="38" name="Column 37" dataDxfId="37"/>
    <tableColumn id="39" name="Column 38" dataDxfId="38"/>
    <tableColumn id="40" name="Column 39" dataDxfId="39"/>
    <tableColumn id="41" name="Column 40" dataDxfId="40"/>
    <tableColumn id="42" name="Column 41" dataDxfId="41"/>
    <tableColumn id="43" name="Column 42" dataDxfId="42"/>
    <tableColumn id="44" name="Column 43" dataDxfId="43"/>
    <tableColumn id="45" name="Column 44" dataDxfId="44"/>
    <tableColumn id="46" name="Column 45" dataDxfId="45"/>
    <tableColumn id="47" name="Column 46" dataDxfId="46"/>
    <tableColumn id="48" name="Column 47" dataDxfId="47"/>
    <tableColumn id="49" name="Column 48" dataDxfId="48"/>
    <tableColumn id="50" name="Column 49" dataDxfId="49"/>
    <tableColumn id="51" name="Column 50" dataDxfId="50"/>
    <tableColumn id="52" name="Column 51" dataDxfId="51"/>
    <tableColumn id="53" name="Column 52" dataDxfId="52"/>
    <tableColumn id="54" name="Column 53" dataDxfId="53"/>
    <tableColumn id="55" name="Column 54" dataDxfId="54"/>
    <tableColumn id="56" name="Column 55" dataDxfId="55"/>
    <tableColumn id="57" name="Column 56" dataDxfId="56"/>
    <tableColumn id="58" name="Column 57" dataDxfId="57"/>
    <tableColumn id="59" name="Column 58" dataDxfId="58">
      <calculatedColumnFormula>SUM(AG2:BF2)</calculatedColumnFormula>
    </tableColumn>
    <tableColumn id="60" name="Column 59" dataDxfId="59"/>
    <tableColumn id="61" name="Column 60" dataDxfId="60"/>
    <tableColumn id="62" name="Column 61" dataDxfId="6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L54"/>
  <sheetViews>
    <sheetView tabSelected="1" topLeftCell="BF1" workbookViewId="0">
      <pane ySplit="1" topLeftCell="A30" activePane="bottomLeft" state="frozen"/>
      <selection/>
      <selection pane="bottomLeft" activeCell="BG45" sqref="BG45"/>
    </sheetView>
  </sheetViews>
  <sheetFormatPr defaultColWidth="12.6285714285714" defaultRowHeight="15.75" customHeight="1"/>
  <cols>
    <col min="1" max="7" width="18.8761904761905" customWidth="1"/>
    <col min="8" max="8" width="37.6285714285714" customWidth="1"/>
    <col min="9" max="9" width="31.247619047619" customWidth="1"/>
    <col min="10" max="10" width="28.6285714285714" customWidth="1"/>
    <col min="11" max="11" width="34" customWidth="1"/>
    <col min="12" max="13" width="37.6285714285714" customWidth="1"/>
    <col min="14" max="14" width="28.247619047619" customWidth="1"/>
    <col min="15" max="15" width="31.1333333333333" customWidth="1"/>
    <col min="16" max="16" width="37.6285714285714" customWidth="1"/>
    <col min="17" max="17" width="28" customWidth="1"/>
    <col min="18" max="18" width="26.6285714285714" customWidth="1"/>
    <col min="19" max="19" width="27.247619047619" customWidth="1"/>
    <col min="20" max="22" width="37.6285714285714" customWidth="1"/>
    <col min="23" max="23" width="30.1333333333333" customWidth="1"/>
    <col min="24" max="24" width="24.8761904761905" customWidth="1"/>
    <col min="25" max="25" width="20.5047619047619" customWidth="1"/>
    <col min="26" max="26" width="37.6285714285714" customWidth="1"/>
    <col min="27" max="27" width="33.8761904761905" customWidth="1"/>
    <col min="28" max="32" width="37.6285714285714" customWidth="1"/>
    <col min="33" max="39" width="18.8761904761905" customWidth="1"/>
    <col min="64" max="64" width="12.8571428571429"/>
  </cols>
  <sheetData>
    <row r="1" ht="22.5" customHeight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t="22.5" customHeight="1" spans="1:62">
      <c r="A2" s="2">
        <v>45995.3162915741</v>
      </c>
      <c r="B2" s="3" t="s">
        <v>58</v>
      </c>
      <c r="C2" s="4">
        <v>20</v>
      </c>
      <c r="D2" s="3" t="s">
        <v>59</v>
      </c>
      <c r="E2" s="3" t="s">
        <v>60</v>
      </c>
      <c r="F2" s="3" t="s">
        <v>58</v>
      </c>
      <c r="G2" s="3">
        <v>123465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80</v>
      </c>
      <c r="AB2" s="3">
        <v>5</v>
      </c>
      <c r="AC2" s="3">
        <v>18</v>
      </c>
      <c r="AD2" s="3">
        <v>26</v>
      </c>
      <c r="AE2" s="3">
        <v>1</v>
      </c>
      <c r="AF2" s="3">
        <v>3</v>
      </c>
      <c r="AG2" s="5">
        <f>IF(H2=H$50,1,0)</f>
        <v>1</v>
      </c>
      <c r="AH2" s="5">
        <f>IF(I2=I$50,1,0)</f>
        <v>1</v>
      </c>
      <c r="AI2" s="5">
        <f>IF(J2=J$50,1,0)</f>
        <v>1</v>
      </c>
      <c r="AJ2" s="5">
        <f>IF(K2=K$50,1,0)</f>
        <v>1</v>
      </c>
      <c r="AK2" s="5">
        <f>IF(L2=L$50,1,0)</f>
        <v>1</v>
      </c>
      <c r="AL2" s="5">
        <f>IF(M2=M$50,1,0)</f>
        <v>1</v>
      </c>
      <c r="AM2" s="5">
        <f>IF(N2=N$50,1,0)</f>
        <v>1</v>
      </c>
      <c r="AN2" s="5">
        <f>IF(O2=O$50,1,0)</f>
        <v>1</v>
      </c>
      <c r="AO2" s="5">
        <f>IF(P2=P$50,1,0)</f>
        <v>1</v>
      </c>
      <c r="AP2" s="5">
        <f>IF(Q2=Q$50,1,0)</f>
        <v>1</v>
      </c>
      <c r="AQ2" s="5">
        <f>IF(R2=R$50,1,0)</f>
        <v>1</v>
      </c>
      <c r="AR2" s="5">
        <f>IF(S2=S$50,1,0)</f>
        <v>1</v>
      </c>
      <c r="AS2" s="5">
        <f>IF(T2=T$50,1,0)</f>
        <v>1</v>
      </c>
      <c r="AT2" s="5">
        <f>IF(U2=U$50,1,0)</f>
        <v>1</v>
      </c>
      <c r="AU2" s="5">
        <f>IF(V2=V$50,1,0)</f>
        <v>1</v>
      </c>
      <c r="AV2" s="5">
        <f>IF(W2=W$50,1,0)</f>
        <v>1</v>
      </c>
      <c r="AW2" s="5">
        <f>IF(X2=X$50,1,0)</f>
        <v>1</v>
      </c>
      <c r="AX2" s="5">
        <f>IF(Y2=Y$50,1,0)</f>
        <v>1</v>
      </c>
      <c r="AY2" s="5">
        <f>IF(Z2=Z$50,1,0)</f>
        <v>1</v>
      </c>
      <c r="AZ2" s="5">
        <f>IF(AA2=AA$50,1,0)</f>
        <v>1</v>
      </c>
      <c r="BA2" s="5">
        <f>IF(AB2=AB$50,1,0)</f>
        <v>1</v>
      </c>
      <c r="BB2" s="5">
        <f>IF(AC2=AC$50,1,0)</f>
        <v>1</v>
      </c>
      <c r="BC2" s="5">
        <f>IF(AD2=AD$50,1,0)</f>
        <v>1</v>
      </c>
      <c r="BD2" s="5">
        <f>IF(AE2=AE$50,1,0)</f>
        <v>1</v>
      </c>
      <c r="BE2" s="5">
        <f>IF(AF2=AF$50,1,0)</f>
        <v>1</v>
      </c>
      <c r="BF2" s="5"/>
      <c r="BG2" s="5">
        <f>SUM(AG2:BF2)*4</f>
        <v>100</v>
      </c>
    </row>
    <row r="3" ht="22.5" customHeight="1" spans="1:62">
      <c r="A3" s="2">
        <v>45995.3177640046</v>
      </c>
      <c r="B3" s="3" t="s">
        <v>81</v>
      </c>
      <c r="C3" s="4">
        <v>2</v>
      </c>
      <c r="D3" s="3" t="s">
        <v>82</v>
      </c>
      <c r="E3" s="3" t="s">
        <v>60</v>
      </c>
      <c r="F3" s="3" t="s">
        <v>81</v>
      </c>
      <c r="G3" s="3">
        <v>12345</v>
      </c>
      <c r="H3" s="3" t="s">
        <v>63</v>
      </c>
      <c r="I3" s="3" t="s">
        <v>83</v>
      </c>
      <c r="J3" s="3" t="s">
        <v>84</v>
      </c>
      <c r="K3" s="3" t="s">
        <v>85</v>
      </c>
      <c r="L3" s="3" t="s">
        <v>86</v>
      </c>
      <c r="M3" s="3" t="s">
        <v>87</v>
      </c>
      <c r="N3" s="3" t="s">
        <v>88</v>
      </c>
      <c r="O3" s="3" t="s">
        <v>86</v>
      </c>
      <c r="P3" s="3" t="s">
        <v>89</v>
      </c>
      <c r="Q3" s="3" t="s">
        <v>90</v>
      </c>
      <c r="R3" s="3" t="s">
        <v>71</v>
      </c>
      <c r="S3" s="3" t="s">
        <v>91</v>
      </c>
      <c r="T3" s="3" t="s">
        <v>92</v>
      </c>
      <c r="U3" s="3" t="s">
        <v>89</v>
      </c>
      <c r="V3" s="3" t="s">
        <v>93</v>
      </c>
      <c r="W3" s="3" t="s">
        <v>94</v>
      </c>
      <c r="X3" s="3" t="s">
        <v>95</v>
      </c>
      <c r="Y3" s="3" t="s">
        <v>96</v>
      </c>
      <c r="Z3" s="3" t="s">
        <v>97</v>
      </c>
      <c r="AA3" s="3" t="s">
        <v>80</v>
      </c>
      <c r="AB3" s="3">
        <v>8640</v>
      </c>
      <c r="AC3" s="10" t="s">
        <v>98</v>
      </c>
      <c r="AD3" s="3">
        <v>58620</v>
      </c>
      <c r="AE3" s="3">
        <v>86420</v>
      </c>
      <c r="AF3" s="3">
        <v>8620</v>
      </c>
      <c r="AG3" s="5">
        <f>IF(H3=H$50,1,0)</f>
        <v>0</v>
      </c>
      <c r="AH3" s="5">
        <f>IF(I3=I$50,1,0)</f>
        <v>0</v>
      </c>
      <c r="AI3" s="5">
        <f>IF(J3=J$50,1,0)</f>
        <v>0</v>
      </c>
      <c r="AJ3" s="5">
        <f>IF(K3=K$50,1,0)</f>
        <v>0</v>
      </c>
      <c r="AK3" s="5">
        <f>IF(L3=L$50,1,0)</f>
        <v>0</v>
      </c>
      <c r="AL3" s="5">
        <f>IF(M3=M$50,1,0)</f>
        <v>0</v>
      </c>
      <c r="AM3" s="5">
        <f>IF(N3=N$50,1,0)</f>
        <v>0</v>
      </c>
      <c r="AN3" s="5">
        <f>IF(O3=O$50,1,0)</f>
        <v>0</v>
      </c>
      <c r="AO3" s="5">
        <f>IF(P3=P$50,1,0)</f>
        <v>0</v>
      </c>
      <c r="AP3" s="5">
        <f>IF(Q3=Q$50,1,0)</f>
        <v>0</v>
      </c>
      <c r="AQ3" s="5">
        <f>IF(R3=R$50,1,0)</f>
        <v>1</v>
      </c>
      <c r="AR3" s="5">
        <f>IF(S3=S$50,1,0)</f>
        <v>0</v>
      </c>
      <c r="AS3" s="5">
        <f>IF(T3=T$50,1,0)</f>
        <v>0</v>
      </c>
      <c r="AT3" s="5">
        <f>IF(U3=U$50,1,0)</f>
        <v>0</v>
      </c>
      <c r="AU3" s="5">
        <f>IF(V3=V$50,1,0)</f>
        <v>0</v>
      </c>
      <c r="AV3" s="5">
        <f>IF(W3=W$50,1,0)</f>
        <v>0</v>
      </c>
      <c r="AW3" s="5">
        <f>IF(X3=X$50,1,0)</f>
        <v>0</v>
      </c>
      <c r="AX3" s="5">
        <f>IF(Y3=Y$50,1,0)</f>
        <v>0</v>
      </c>
      <c r="AY3" s="5">
        <f>IF(Z3=Z$50,1,0)</f>
        <v>0</v>
      </c>
      <c r="AZ3" s="5">
        <f>IF(AA3=AA$50,1,0)</f>
        <v>1</v>
      </c>
      <c r="BA3" s="5">
        <f>IF(AB3=AB$50,1,0)</f>
        <v>0</v>
      </c>
      <c r="BB3" s="5">
        <f>IF(AC3=AC$50,1,0)</f>
        <v>0</v>
      </c>
      <c r="BC3" s="5">
        <f>IF(AD3=AD$50,1,0)</f>
        <v>0</v>
      </c>
      <c r="BD3" s="5">
        <f>IF(AE3=AE$50,1,0)</f>
        <v>0</v>
      </c>
      <c r="BE3" s="5">
        <f>IF(AF3=AF$50,1,0)</f>
        <v>0</v>
      </c>
      <c r="BF3" s="5"/>
      <c r="BG3" s="5">
        <f>SUM(AG3:BF3)*4</f>
        <v>8</v>
      </c>
    </row>
    <row r="4" ht="22.5" customHeight="1" spans="1:62">
      <c r="A4" s="2">
        <v>45995.3168718287</v>
      </c>
      <c r="B4" s="3" t="s">
        <v>99</v>
      </c>
      <c r="C4" s="4">
        <v>8</v>
      </c>
      <c r="D4" s="3" t="s">
        <v>100</v>
      </c>
      <c r="E4" s="3" t="s">
        <v>60</v>
      </c>
      <c r="F4" s="3" t="s">
        <v>101</v>
      </c>
      <c r="G4" s="3">
        <v>12345</v>
      </c>
      <c r="H4" s="3" t="s">
        <v>63</v>
      </c>
      <c r="I4" s="3" t="s">
        <v>62</v>
      </c>
      <c r="J4" s="3" t="s">
        <v>63</v>
      </c>
      <c r="K4" s="3" t="s">
        <v>85</v>
      </c>
      <c r="L4" s="3" t="s">
        <v>68</v>
      </c>
      <c r="M4" s="3" t="s">
        <v>66</v>
      </c>
      <c r="N4" s="3" t="s">
        <v>102</v>
      </c>
      <c r="O4" s="3" t="s">
        <v>103</v>
      </c>
      <c r="P4" s="3" t="s">
        <v>69</v>
      </c>
      <c r="Q4" s="3" t="s">
        <v>104</v>
      </c>
      <c r="R4" s="3" t="s">
        <v>68</v>
      </c>
      <c r="S4" s="3" t="s">
        <v>91</v>
      </c>
      <c r="T4" s="3" t="s">
        <v>92</v>
      </c>
      <c r="U4" s="3" t="s">
        <v>105</v>
      </c>
      <c r="V4" s="3" t="s">
        <v>75</v>
      </c>
      <c r="W4" s="3" t="s">
        <v>106</v>
      </c>
      <c r="X4" s="3" t="s">
        <v>77</v>
      </c>
      <c r="Y4" s="3" t="s">
        <v>107</v>
      </c>
      <c r="Z4" s="3" t="s">
        <v>79</v>
      </c>
      <c r="AA4" s="3" t="s">
        <v>80</v>
      </c>
      <c r="AB4" s="3">
        <v>4</v>
      </c>
      <c r="AC4" s="3">
        <v>8</v>
      </c>
      <c r="AD4" s="3">
        <v>11</v>
      </c>
      <c r="AE4" s="3">
        <v>7</v>
      </c>
      <c r="AF4" s="3">
        <v>12</v>
      </c>
      <c r="AG4" s="5">
        <f>IF(H4=H$50,1,0)</f>
        <v>0</v>
      </c>
      <c r="AH4" s="5">
        <f>IF(I4=I$50,1,0)</f>
        <v>1</v>
      </c>
      <c r="AI4" s="5">
        <f>IF(J4=J$50,1,0)</f>
        <v>1</v>
      </c>
      <c r="AJ4" s="5">
        <f>IF(K4=K$50,1,0)</f>
        <v>0</v>
      </c>
      <c r="AK4" s="5">
        <f>IF(L4=L$50,1,0)</f>
        <v>0</v>
      </c>
      <c r="AL4" s="5">
        <f>IF(M4=M$50,1,0)</f>
        <v>1</v>
      </c>
      <c r="AM4" s="5">
        <f>IF(N4=N$50,1,0)</f>
        <v>0</v>
      </c>
      <c r="AN4" s="5">
        <f>IF(O4=O$50,1,0)</f>
        <v>0</v>
      </c>
      <c r="AO4" s="5">
        <f>IF(P4=P$50,1,0)</f>
        <v>1</v>
      </c>
      <c r="AP4" s="5">
        <f>IF(Q4=Q$50,1,0)</f>
        <v>0</v>
      </c>
      <c r="AQ4" s="5">
        <f>IF(R4=R$50,1,0)</f>
        <v>0</v>
      </c>
      <c r="AR4" s="5">
        <f>IF(S4=S$50,1,0)</f>
        <v>0</v>
      </c>
      <c r="AS4" s="5">
        <f>IF(T4=T$50,1,0)</f>
        <v>0</v>
      </c>
      <c r="AT4" s="5">
        <f>IF(U4=U$50,1,0)</f>
        <v>0</v>
      </c>
      <c r="AU4" s="5">
        <f>IF(V4=V$50,1,0)</f>
        <v>1</v>
      </c>
      <c r="AV4" s="5">
        <f>IF(W4=W$50,1,0)</f>
        <v>0</v>
      </c>
      <c r="AW4" s="5">
        <f>IF(X4=X$50,1,0)</f>
        <v>1</v>
      </c>
      <c r="AX4" s="5">
        <f>IF(Y4=Y$50,1,0)</f>
        <v>0</v>
      </c>
      <c r="AY4" s="5">
        <f>IF(Z4=Z$50,1,0)</f>
        <v>1</v>
      </c>
      <c r="AZ4" s="5">
        <f>IF(AA4=AA$50,1,0)</f>
        <v>1</v>
      </c>
      <c r="BA4" s="5">
        <f>IF(AB4=AB$50,1,0)</f>
        <v>0</v>
      </c>
      <c r="BB4" s="5">
        <f>IF(AC4=AC$50,1,0)</f>
        <v>0</v>
      </c>
      <c r="BC4" s="5">
        <f>IF(AD4=AD$50,1,0)</f>
        <v>0</v>
      </c>
      <c r="BD4" s="5">
        <f>IF(AE4=AE$50,1,0)</f>
        <v>0</v>
      </c>
      <c r="BE4" s="5">
        <f>IF(AF4=AF$50,1,0)</f>
        <v>0</v>
      </c>
      <c r="BF4" s="5"/>
      <c r="BG4" s="5">
        <f>SUM(AG4:BF4)*4</f>
        <v>32</v>
      </c>
    </row>
    <row r="5" ht="22.5" customHeight="1" spans="1:62">
      <c r="A5" s="2">
        <v>45995.3003558681</v>
      </c>
      <c r="B5" s="3" t="s">
        <v>108</v>
      </c>
      <c r="C5" s="4">
        <v>20</v>
      </c>
      <c r="D5" s="3" t="s">
        <v>109</v>
      </c>
      <c r="E5" s="3" t="s">
        <v>60</v>
      </c>
      <c r="F5" s="3" t="s">
        <v>108</v>
      </c>
      <c r="G5" s="3">
        <v>12345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  <c r="O5" s="3" t="s">
        <v>68</v>
      </c>
      <c r="P5" s="3" t="s">
        <v>69</v>
      </c>
      <c r="Q5" s="3" t="s">
        <v>70</v>
      </c>
      <c r="R5" s="3" t="s">
        <v>71</v>
      </c>
      <c r="S5" s="3" t="s">
        <v>72</v>
      </c>
      <c r="T5" s="3" t="s">
        <v>73</v>
      </c>
      <c r="U5" s="3" t="s">
        <v>74</v>
      </c>
      <c r="V5" s="3" t="s">
        <v>75</v>
      </c>
      <c r="W5" s="3" t="s">
        <v>76</v>
      </c>
      <c r="X5" s="3" t="s">
        <v>77</v>
      </c>
      <c r="Y5" s="3" t="s">
        <v>78</v>
      </c>
      <c r="Z5" s="3" t="s">
        <v>79</v>
      </c>
      <c r="AA5" s="3" t="s">
        <v>80</v>
      </c>
      <c r="AB5" s="3">
        <v>5</v>
      </c>
      <c r="AC5" s="3">
        <v>18</v>
      </c>
      <c r="AD5" s="3">
        <v>26</v>
      </c>
      <c r="AE5" s="3">
        <v>1</v>
      </c>
      <c r="AF5" s="3">
        <v>3</v>
      </c>
      <c r="AG5" s="5">
        <f>IF(H5=H$50,1,0)</f>
        <v>1</v>
      </c>
      <c r="AH5" s="5">
        <f>IF(I5=I$50,1,0)</f>
        <v>1</v>
      </c>
      <c r="AI5" s="5">
        <f>IF(J5=J$50,1,0)</f>
        <v>1</v>
      </c>
      <c r="AJ5" s="5">
        <f>IF(K5=K$50,1,0)</f>
        <v>1</v>
      </c>
      <c r="AK5" s="5">
        <f>IF(L5=L$50,1,0)</f>
        <v>1</v>
      </c>
      <c r="AL5" s="5">
        <f>IF(M5=M$50,1,0)</f>
        <v>1</v>
      </c>
      <c r="AM5" s="5">
        <f>IF(N5=N$50,1,0)</f>
        <v>1</v>
      </c>
      <c r="AN5" s="5">
        <f>IF(O5=O$50,1,0)</f>
        <v>1</v>
      </c>
      <c r="AO5" s="5">
        <f>IF(P5=P$50,1,0)</f>
        <v>1</v>
      </c>
      <c r="AP5" s="5">
        <f>IF(Q5=Q$50,1,0)</f>
        <v>1</v>
      </c>
      <c r="AQ5" s="5">
        <f>IF(R5=R$50,1,0)</f>
        <v>1</v>
      </c>
      <c r="AR5" s="5">
        <f>IF(S5=S$50,1,0)</f>
        <v>1</v>
      </c>
      <c r="AS5" s="5">
        <f>IF(T5=T$50,1,0)</f>
        <v>1</v>
      </c>
      <c r="AT5" s="5">
        <f>IF(U5=U$50,1,0)</f>
        <v>1</v>
      </c>
      <c r="AU5" s="5">
        <f>IF(V5=V$50,1,0)</f>
        <v>1</v>
      </c>
      <c r="AV5" s="5">
        <f>IF(W5=W$50,1,0)</f>
        <v>1</v>
      </c>
      <c r="AW5" s="5">
        <f>IF(X5=X$50,1,0)</f>
        <v>1</v>
      </c>
      <c r="AX5" s="5">
        <f>IF(Y5=Y$50,1,0)</f>
        <v>1</v>
      </c>
      <c r="AY5" s="5">
        <f>IF(Z5=Z$50,1,0)</f>
        <v>1</v>
      </c>
      <c r="AZ5" s="5">
        <f>IF(AA5=AA$50,1,0)</f>
        <v>1</v>
      </c>
      <c r="BA5" s="5">
        <f>IF(AB5=AB$50,1,0)</f>
        <v>1</v>
      </c>
      <c r="BB5" s="5">
        <f>IF(AC5=AC$50,1,0)</f>
        <v>1</v>
      </c>
      <c r="BC5" s="5">
        <f>IF(AD5=AD$50,1,0)</f>
        <v>1</v>
      </c>
      <c r="BD5" s="5">
        <f>IF(AE5=AE$50,1,0)</f>
        <v>1</v>
      </c>
      <c r="BE5" s="5">
        <f>IF(AF5=AF$50,1,0)</f>
        <v>1</v>
      </c>
      <c r="BF5" s="5"/>
      <c r="BG5" s="5">
        <f>SUM(AG5:BF5)*4</f>
        <v>100</v>
      </c>
      <c r="BH5" s="5"/>
      <c r="BI5" s="5"/>
      <c r="BJ5" s="5"/>
    </row>
    <row r="6" ht="22.5" customHeight="1" spans="1:62">
      <c r="A6" s="2">
        <v>45995.3130632755</v>
      </c>
      <c r="B6" s="3" t="s">
        <v>110</v>
      </c>
      <c r="C6" s="4">
        <v>20</v>
      </c>
      <c r="D6" s="3" t="s">
        <v>111</v>
      </c>
      <c r="E6" s="3" t="s">
        <v>60</v>
      </c>
      <c r="F6" s="3" t="s">
        <v>110</v>
      </c>
      <c r="G6" s="3">
        <v>12345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67</v>
      </c>
      <c r="O6" s="3" t="s">
        <v>68</v>
      </c>
      <c r="P6" s="3" t="s">
        <v>69</v>
      </c>
      <c r="Q6" s="3" t="s">
        <v>70</v>
      </c>
      <c r="R6" s="3" t="s">
        <v>71</v>
      </c>
      <c r="S6" s="3" t="s">
        <v>72</v>
      </c>
      <c r="T6" s="3" t="s">
        <v>73</v>
      </c>
      <c r="U6" s="3" t="s">
        <v>74</v>
      </c>
      <c r="V6" s="3" t="s">
        <v>75</v>
      </c>
      <c r="W6" s="3" t="s">
        <v>76</v>
      </c>
      <c r="X6" s="3" t="s">
        <v>77</v>
      </c>
      <c r="Y6" s="3" t="s">
        <v>78</v>
      </c>
      <c r="Z6" s="3" t="s">
        <v>79</v>
      </c>
      <c r="AA6" s="3" t="s">
        <v>80</v>
      </c>
      <c r="AB6" s="3">
        <v>5</v>
      </c>
      <c r="AC6" s="3">
        <v>18</v>
      </c>
      <c r="AD6" s="3">
        <v>26</v>
      </c>
      <c r="AE6" s="3">
        <v>1</v>
      </c>
      <c r="AF6" s="3">
        <v>3</v>
      </c>
      <c r="AG6" s="5">
        <f>IF(H6=H$50,1,0)</f>
        <v>1</v>
      </c>
      <c r="AH6" s="5">
        <f>IF(I6=I$50,1,0)</f>
        <v>1</v>
      </c>
      <c r="AI6" s="5">
        <f>IF(J6=J$50,1,0)</f>
        <v>1</v>
      </c>
      <c r="AJ6" s="5">
        <f>IF(K6=K$50,1,0)</f>
        <v>1</v>
      </c>
      <c r="AK6" s="5">
        <f>IF(L6=L$50,1,0)</f>
        <v>1</v>
      </c>
      <c r="AL6" s="5">
        <f>IF(M6=M$50,1,0)</f>
        <v>1</v>
      </c>
      <c r="AM6" s="5">
        <f>IF(N6=N$50,1,0)</f>
        <v>1</v>
      </c>
      <c r="AN6" s="5">
        <f>IF(O6=O$50,1,0)</f>
        <v>1</v>
      </c>
      <c r="AO6" s="5">
        <f>IF(P6=P$50,1,0)</f>
        <v>1</v>
      </c>
      <c r="AP6" s="5">
        <f>IF(Q6=Q$50,1,0)</f>
        <v>1</v>
      </c>
      <c r="AQ6" s="5">
        <f>IF(R6=R$50,1,0)</f>
        <v>1</v>
      </c>
      <c r="AR6" s="5">
        <f>IF(S6=S$50,1,0)</f>
        <v>1</v>
      </c>
      <c r="AS6" s="5">
        <f>IF(T6=T$50,1,0)</f>
        <v>1</v>
      </c>
      <c r="AT6" s="5">
        <f>IF(U6=U$50,1,0)</f>
        <v>1</v>
      </c>
      <c r="AU6" s="5">
        <f>IF(V6=V$50,1,0)</f>
        <v>1</v>
      </c>
      <c r="AV6" s="5">
        <f>IF(W6=W$50,1,0)</f>
        <v>1</v>
      </c>
      <c r="AW6" s="5">
        <f>IF(X6=X$50,1,0)</f>
        <v>1</v>
      </c>
      <c r="AX6" s="5">
        <f>IF(Y6=Y$50,1,0)</f>
        <v>1</v>
      </c>
      <c r="AY6" s="5">
        <f>IF(Z6=Z$50,1,0)</f>
        <v>1</v>
      </c>
      <c r="AZ6" s="5">
        <f>IF(AA6=AA$50,1,0)</f>
        <v>1</v>
      </c>
      <c r="BA6" s="5">
        <f>IF(AB6=AB$50,1,0)</f>
        <v>1</v>
      </c>
      <c r="BB6" s="5">
        <f>IF(AC6=AC$50,1,0)</f>
        <v>1</v>
      </c>
      <c r="BC6" s="5">
        <f>IF(AD6=AD$50,1,0)</f>
        <v>1</v>
      </c>
      <c r="BD6" s="5">
        <f>IF(AE6=AE$50,1,0)</f>
        <v>1</v>
      </c>
      <c r="BE6" s="5">
        <f>IF(AF6=AF$50,1,0)</f>
        <v>1</v>
      </c>
      <c r="BF6" s="5"/>
      <c r="BG6" s="5">
        <f>SUM(AG6:BF6)*4</f>
        <v>100</v>
      </c>
    </row>
    <row r="7" ht="22.5" customHeight="1" spans="1:62">
      <c r="A7" s="2">
        <v>45995.3129268403</v>
      </c>
      <c r="B7" s="3" t="s">
        <v>112</v>
      </c>
      <c r="C7" s="4">
        <v>19</v>
      </c>
      <c r="D7" s="3" t="s">
        <v>113</v>
      </c>
      <c r="E7" s="3" t="s">
        <v>60</v>
      </c>
      <c r="F7" s="3" t="s">
        <v>112</v>
      </c>
      <c r="G7" s="3">
        <v>12345</v>
      </c>
      <c r="H7" s="3" t="s">
        <v>63</v>
      </c>
      <c r="I7" s="3" t="s">
        <v>62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69</v>
      </c>
      <c r="Q7" s="3" t="s">
        <v>70</v>
      </c>
      <c r="R7" s="3" t="s">
        <v>71</v>
      </c>
      <c r="S7" s="3" t="s">
        <v>72</v>
      </c>
      <c r="T7" s="3" t="s">
        <v>73</v>
      </c>
      <c r="U7" s="3" t="s">
        <v>74</v>
      </c>
      <c r="V7" s="3" t="s">
        <v>75</v>
      </c>
      <c r="W7" s="3" t="s">
        <v>76</v>
      </c>
      <c r="X7" s="3" t="s">
        <v>77</v>
      </c>
      <c r="Y7" s="3" t="s">
        <v>78</v>
      </c>
      <c r="Z7" s="3" t="s">
        <v>79</v>
      </c>
      <c r="AA7" s="3" t="s">
        <v>80</v>
      </c>
      <c r="AB7" s="3">
        <v>5</v>
      </c>
      <c r="AC7" s="3">
        <v>18</v>
      </c>
      <c r="AD7" s="3">
        <v>26</v>
      </c>
      <c r="AE7" s="3">
        <v>1</v>
      </c>
      <c r="AF7" s="3">
        <v>3</v>
      </c>
      <c r="AG7" s="5">
        <f>IF(H7=H$50,1,0)</f>
        <v>0</v>
      </c>
      <c r="AH7" s="5">
        <f>IF(I7=I$50,1,0)</f>
        <v>1</v>
      </c>
      <c r="AI7" s="5">
        <f>IF(J7=J$50,1,0)</f>
        <v>1</v>
      </c>
      <c r="AJ7" s="5">
        <f>IF(K7=K$50,1,0)</f>
        <v>1</v>
      </c>
      <c r="AK7" s="5">
        <f>IF(L7=L$50,1,0)</f>
        <v>1</v>
      </c>
      <c r="AL7" s="5">
        <f>IF(M7=M$50,1,0)</f>
        <v>1</v>
      </c>
      <c r="AM7" s="5">
        <f>IF(N7=N$50,1,0)</f>
        <v>1</v>
      </c>
      <c r="AN7" s="5">
        <f>IF(O7=O$50,1,0)</f>
        <v>1</v>
      </c>
      <c r="AO7" s="5">
        <f>IF(P7=P$50,1,0)</f>
        <v>1</v>
      </c>
      <c r="AP7" s="5">
        <f>IF(Q7=Q$50,1,0)</f>
        <v>1</v>
      </c>
      <c r="AQ7" s="5">
        <f>IF(R7=R$50,1,0)</f>
        <v>1</v>
      </c>
      <c r="AR7" s="5">
        <f>IF(S7=S$50,1,0)</f>
        <v>1</v>
      </c>
      <c r="AS7" s="5">
        <f>IF(T7=T$50,1,0)</f>
        <v>1</v>
      </c>
      <c r="AT7" s="5">
        <f>IF(U7=U$50,1,0)</f>
        <v>1</v>
      </c>
      <c r="AU7" s="5">
        <f>IF(V7=V$50,1,0)</f>
        <v>1</v>
      </c>
      <c r="AV7" s="5">
        <f>IF(W7=W$50,1,0)</f>
        <v>1</v>
      </c>
      <c r="AW7" s="5">
        <f>IF(X7=X$50,1,0)</f>
        <v>1</v>
      </c>
      <c r="AX7" s="5">
        <f>IF(Y7=Y$50,1,0)</f>
        <v>1</v>
      </c>
      <c r="AY7" s="5">
        <f>IF(Z7=Z$50,1,0)</f>
        <v>1</v>
      </c>
      <c r="AZ7" s="5">
        <f>IF(AA7=AA$50,1,0)</f>
        <v>1</v>
      </c>
      <c r="BA7" s="5">
        <f>IF(AB7=AB$50,1,0)</f>
        <v>1</v>
      </c>
      <c r="BB7" s="5">
        <f>IF(AC7=AC$50,1,0)</f>
        <v>1</v>
      </c>
      <c r="BC7" s="5">
        <f>IF(AD7=AD$50,1,0)</f>
        <v>1</v>
      </c>
      <c r="BD7" s="5">
        <f>IF(AE7=AE$50,1,0)</f>
        <v>1</v>
      </c>
      <c r="BE7" s="5">
        <f>IF(AF7=AF$50,1,0)</f>
        <v>1</v>
      </c>
      <c r="BF7" s="5"/>
      <c r="BG7" s="5">
        <f>SUM(AG7:BF7)*4</f>
        <v>96</v>
      </c>
    </row>
    <row r="8" ht="22.5" customHeight="1" spans="1:62">
      <c r="A8" s="2">
        <v>45995.3034428009</v>
      </c>
      <c r="B8" s="3" t="s">
        <v>114</v>
      </c>
      <c r="C8" s="4">
        <v>20</v>
      </c>
      <c r="D8" s="3" t="s">
        <v>115</v>
      </c>
      <c r="E8" s="3" t="s">
        <v>60</v>
      </c>
      <c r="F8" s="3" t="s">
        <v>114</v>
      </c>
      <c r="G8" s="3">
        <v>12345</v>
      </c>
      <c r="H8" s="3" t="s">
        <v>61</v>
      </c>
      <c r="I8" s="3" t="s">
        <v>62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67</v>
      </c>
      <c r="O8" s="3" t="s">
        <v>68</v>
      </c>
      <c r="P8" s="3" t="s">
        <v>69</v>
      </c>
      <c r="Q8" s="3" t="s">
        <v>70</v>
      </c>
      <c r="R8" s="3" t="s">
        <v>71</v>
      </c>
      <c r="S8" s="3" t="s">
        <v>72</v>
      </c>
      <c r="T8" s="3" t="s">
        <v>73</v>
      </c>
      <c r="U8" s="3" t="s">
        <v>74</v>
      </c>
      <c r="V8" s="3" t="s">
        <v>75</v>
      </c>
      <c r="W8" s="3" t="s">
        <v>76</v>
      </c>
      <c r="X8" s="3" t="s">
        <v>77</v>
      </c>
      <c r="Y8" s="3" t="s">
        <v>78</v>
      </c>
      <c r="Z8" s="3" t="s">
        <v>79</v>
      </c>
      <c r="AA8" s="3" t="s">
        <v>80</v>
      </c>
      <c r="AB8" s="3">
        <v>5</v>
      </c>
      <c r="AC8" s="3">
        <v>18</v>
      </c>
      <c r="AD8" s="3">
        <v>26</v>
      </c>
      <c r="AE8" s="3">
        <v>1</v>
      </c>
      <c r="AF8" s="3">
        <v>3</v>
      </c>
      <c r="AG8" s="5">
        <f>IF(H8=H$50,1,0)</f>
        <v>1</v>
      </c>
      <c r="AH8" s="5">
        <f>IF(I8=I$50,1,0)</f>
        <v>1</v>
      </c>
      <c r="AI8" s="5">
        <f>IF(J8=J$50,1,0)</f>
        <v>1</v>
      </c>
      <c r="AJ8" s="5">
        <f>IF(K8=K$50,1,0)</f>
        <v>1</v>
      </c>
      <c r="AK8" s="5">
        <f>IF(L8=L$50,1,0)</f>
        <v>1</v>
      </c>
      <c r="AL8" s="5">
        <f>IF(M8=M$50,1,0)</f>
        <v>1</v>
      </c>
      <c r="AM8" s="5">
        <f>IF(N8=N$50,1,0)</f>
        <v>1</v>
      </c>
      <c r="AN8" s="5">
        <f>IF(O8=O$50,1,0)</f>
        <v>1</v>
      </c>
      <c r="AO8" s="5">
        <f>IF(P8=P$50,1,0)</f>
        <v>1</v>
      </c>
      <c r="AP8" s="5">
        <f>IF(Q8=Q$50,1,0)</f>
        <v>1</v>
      </c>
      <c r="AQ8" s="5">
        <f>IF(R8=R$50,1,0)</f>
        <v>1</v>
      </c>
      <c r="AR8" s="5">
        <f>IF(S8=S$50,1,0)</f>
        <v>1</v>
      </c>
      <c r="AS8" s="5">
        <f>IF(T8=T$50,1,0)</f>
        <v>1</v>
      </c>
      <c r="AT8" s="5">
        <f>IF(U8=U$50,1,0)</f>
        <v>1</v>
      </c>
      <c r="AU8" s="5">
        <f>IF(V8=V$50,1,0)</f>
        <v>1</v>
      </c>
      <c r="AV8" s="5">
        <f>IF(W8=W$50,1,0)</f>
        <v>1</v>
      </c>
      <c r="AW8" s="5">
        <f>IF(X8=X$50,1,0)</f>
        <v>1</v>
      </c>
      <c r="AX8" s="5">
        <f>IF(Y8=Y$50,1,0)</f>
        <v>1</v>
      </c>
      <c r="AY8" s="5">
        <f>IF(Z8=Z$50,1,0)</f>
        <v>1</v>
      </c>
      <c r="AZ8" s="5">
        <f>IF(AA8=AA$50,1,0)</f>
        <v>1</v>
      </c>
      <c r="BA8" s="5">
        <f>IF(AB8=AB$50,1,0)</f>
        <v>1</v>
      </c>
      <c r="BB8" s="5">
        <f>IF(AC8=AC$50,1,0)</f>
        <v>1</v>
      </c>
      <c r="BC8" s="5">
        <f>IF(AD8=AD$50,1,0)</f>
        <v>1</v>
      </c>
      <c r="BD8" s="5">
        <f>IF(AE8=AE$50,1,0)</f>
        <v>1</v>
      </c>
      <c r="BE8" s="5">
        <f>IF(AF8=AF$50,1,0)</f>
        <v>1</v>
      </c>
      <c r="BF8" s="5"/>
      <c r="BG8" s="5">
        <f>SUM(AG8:BF8)*4</f>
        <v>100</v>
      </c>
    </row>
    <row r="9" ht="22.5" customHeight="1" spans="1:62">
      <c r="A9" s="2">
        <v>45995.3108334028</v>
      </c>
      <c r="B9" s="3" t="s">
        <v>116</v>
      </c>
      <c r="C9" s="4">
        <v>18</v>
      </c>
      <c r="D9" s="3" t="s">
        <v>117</v>
      </c>
      <c r="E9" s="3" t="s">
        <v>60</v>
      </c>
      <c r="F9" s="3" t="s">
        <v>116</v>
      </c>
      <c r="G9" s="3">
        <v>12345</v>
      </c>
      <c r="H9" s="3" t="s">
        <v>61</v>
      </c>
      <c r="I9" s="3" t="s">
        <v>62</v>
      </c>
      <c r="J9" s="3" t="s">
        <v>63</v>
      </c>
      <c r="K9" s="3" t="s">
        <v>118</v>
      </c>
      <c r="L9" s="3" t="s">
        <v>65</v>
      </c>
      <c r="M9" s="3" t="s">
        <v>66</v>
      </c>
      <c r="N9" s="3" t="s">
        <v>67</v>
      </c>
      <c r="O9" s="3" t="s">
        <v>68</v>
      </c>
      <c r="P9" s="3" t="s">
        <v>69</v>
      </c>
      <c r="Q9" s="3" t="s">
        <v>70</v>
      </c>
      <c r="R9" s="3" t="s">
        <v>71</v>
      </c>
      <c r="S9" s="3" t="s">
        <v>72</v>
      </c>
      <c r="T9" s="3" t="s">
        <v>73</v>
      </c>
      <c r="U9" s="3" t="s">
        <v>74</v>
      </c>
      <c r="V9" s="3" t="s">
        <v>75</v>
      </c>
      <c r="W9" s="3" t="s">
        <v>76</v>
      </c>
      <c r="X9" s="3" t="s">
        <v>77</v>
      </c>
      <c r="Y9" s="3" t="s">
        <v>84</v>
      </c>
      <c r="Z9" s="3" t="s">
        <v>79</v>
      </c>
      <c r="AA9" s="3" t="s">
        <v>80</v>
      </c>
      <c r="AB9" s="3">
        <v>24</v>
      </c>
      <c r="AC9" s="3">
        <v>16</v>
      </c>
      <c r="AD9" s="3">
        <v>26</v>
      </c>
      <c r="AE9" s="3">
        <v>23</v>
      </c>
      <c r="AF9" s="3">
        <v>19</v>
      </c>
      <c r="AG9" s="5">
        <f>IF(H9=H$50,1,0)</f>
        <v>1</v>
      </c>
      <c r="AH9" s="5">
        <f>IF(I9=I$50,1,0)</f>
        <v>1</v>
      </c>
      <c r="AI9" s="5">
        <f>IF(J9=J$50,1,0)</f>
        <v>1</v>
      </c>
      <c r="AJ9" s="5">
        <f>IF(K9=K$50,1,0)</f>
        <v>0</v>
      </c>
      <c r="AK9" s="5">
        <f>IF(L9=L$50,1,0)</f>
        <v>1</v>
      </c>
      <c r="AL9" s="5">
        <f>IF(M9=M$50,1,0)</f>
        <v>1</v>
      </c>
      <c r="AM9" s="5">
        <f>IF(N9=N$50,1,0)</f>
        <v>1</v>
      </c>
      <c r="AN9" s="5">
        <f>IF(O9=O$50,1,0)</f>
        <v>1</v>
      </c>
      <c r="AO9" s="5">
        <f>IF(P9=P$50,1,0)</f>
        <v>1</v>
      </c>
      <c r="AP9" s="5">
        <f>IF(Q9=Q$50,1,0)</f>
        <v>1</v>
      </c>
      <c r="AQ9" s="5">
        <f>IF(R9=R$50,1,0)</f>
        <v>1</v>
      </c>
      <c r="AR9" s="5">
        <f>IF(S9=S$50,1,0)</f>
        <v>1</v>
      </c>
      <c r="AS9" s="5">
        <f>IF(T9=T$50,1,0)</f>
        <v>1</v>
      </c>
      <c r="AT9" s="5">
        <f>IF(U9=U$50,1,0)</f>
        <v>1</v>
      </c>
      <c r="AU9" s="5">
        <f>IF(V9=V$50,1,0)</f>
        <v>1</v>
      </c>
      <c r="AV9" s="5">
        <f>IF(W9=W$50,1,0)</f>
        <v>1</v>
      </c>
      <c r="AW9" s="5">
        <f>IF(X9=X$50,1,0)</f>
        <v>1</v>
      </c>
      <c r="AX9" s="5">
        <f>IF(Y9=Y$50,1,0)</f>
        <v>0</v>
      </c>
      <c r="AY9" s="5">
        <f>IF(Z9=Z$50,1,0)</f>
        <v>1</v>
      </c>
      <c r="AZ9" s="5">
        <f>IF(AA9=AA$50,1,0)</f>
        <v>1</v>
      </c>
      <c r="BA9" s="5">
        <f>IF(AB9=AB$50,1,0)</f>
        <v>0</v>
      </c>
      <c r="BB9" s="5">
        <f>IF(AC9=AC$50,1,0)</f>
        <v>0</v>
      </c>
      <c r="BC9" s="5">
        <f>IF(AD9=AD$50,1,0)</f>
        <v>1</v>
      </c>
      <c r="BD9" s="5">
        <f>IF(AE9=AE$50,1,0)</f>
        <v>0</v>
      </c>
      <c r="BE9" s="5">
        <f>IF(AF9=AF$50,1,0)</f>
        <v>0</v>
      </c>
      <c r="BF9" s="5"/>
      <c r="BG9" s="5">
        <f>SUM(AG9:BF9)*4</f>
        <v>76</v>
      </c>
    </row>
    <row r="10" ht="22.5" customHeight="1" spans="1:62">
      <c r="A10" s="2">
        <v>45995.31111</v>
      </c>
      <c r="B10" s="3" t="s">
        <v>119</v>
      </c>
      <c r="C10" s="4">
        <v>18</v>
      </c>
      <c r="D10" s="3" t="s">
        <v>120</v>
      </c>
      <c r="E10" s="3" t="s">
        <v>60</v>
      </c>
      <c r="F10" s="3" t="s">
        <v>121</v>
      </c>
      <c r="G10" s="3">
        <v>12345</v>
      </c>
      <c r="H10" s="3" t="s">
        <v>61</v>
      </c>
      <c r="I10" s="3" t="s">
        <v>62</v>
      </c>
      <c r="J10" s="3" t="s">
        <v>63</v>
      </c>
      <c r="K10" s="3" t="s">
        <v>64</v>
      </c>
      <c r="L10" s="3" t="s">
        <v>65</v>
      </c>
      <c r="M10" s="3" t="s">
        <v>66</v>
      </c>
      <c r="N10" s="3" t="s">
        <v>67</v>
      </c>
      <c r="O10" s="3" t="s">
        <v>68</v>
      </c>
      <c r="P10" s="3" t="s">
        <v>69</v>
      </c>
      <c r="Q10" s="3" t="s">
        <v>70</v>
      </c>
      <c r="R10" s="3" t="s">
        <v>84</v>
      </c>
      <c r="S10" s="3" t="s">
        <v>72</v>
      </c>
      <c r="T10" s="3" t="s">
        <v>73</v>
      </c>
      <c r="U10" s="3" t="s">
        <v>69</v>
      </c>
      <c r="V10" s="3" t="s">
        <v>75</v>
      </c>
      <c r="W10" s="3" t="s">
        <v>76</v>
      </c>
      <c r="X10" s="3" t="s">
        <v>77</v>
      </c>
      <c r="Y10" s="3" t="s">
        <v>78</v>
      </c>
      <c r="Z10" s="3" t="s">
        <v>79</v>
      </c>
      <c r="AA10" s="3" t="s">
        <v>80</v>
      </c>
      <c r="AB10" s="3">
        <v>6</v>
      </c>
      <c r="AC10" s="3">
        <v>18</v>
      </c>
      <c r="AD10" s="3">
        <v>26</v>
      </c>
      <c r="AE10" s="3">
        <v>1</v>
      </c>
      <c r="AF10" s="3">
        <v>3</v>
      </c>
      <c r="AG10" s="5">
        <f>IF(H10=H$50,1,0)</f>
        <v>1</v>
      </c>
      <c r="AH10" s="5">
        <f>IF(I10=I$50,1,0)</f>
        <v>1</v>
      </c>
      <c r="AI10" s="5">
        <f>IF(J10=J$50,1,0)</f>
        <v>1</v>
      </c>
      <c r="AJ10" s="5">
        <f>IF(K10=K$50,1,0)</f>
        <v>1</v>
      </c>
      <c r="AK10" s="5">
        <f>IF(L10=L$50,1,0)</f>
        <v>1</v>
      </c>
      <c r="AL10" s="5">
        <f>IF(M10=M$50,1,0)</f>
        <v>1</v>
      </c>
      <c r="AM10" s="5">
        <f>IF(N10=N$50,1,0)</f>
        <v>1</v>
      </c>
      <c r="AN10" s="5">
        <f>IF(O10=O$50,1,0)</f>
        <v>1</v>
      </c>
      <c r="AO10" s="5">
        <f>IF(P10=P$50,1,0)</f>
        <v>1</v>
      </c>
      <c r="AP10" s="5">
        <f>IF(Q10=Q$50,1,0)</f>
        <v>1</v>
      </c>
      <c r="AQ10" s="5">
        <f>IF(R10=R$50,1,0)</f>
        <v>0</v>
      </c>
      <c r="AR10" s="5">
        <f>IF(S10=S$50,1,0)</f>
        <v>1</v>
      </c>
      <c r="AS10" s="5">
        <f>IF(T10=T$50,1,0)</f>
        <v>1</v>
      </c>
      <c r="AT10" s="5">
        <f>IF(U10=U$50,1,0)</f>
        <v>0</v>
      </c>
      <c r="AU10" s="5">
        <f>IF(V10=V$50,1,0)</f>
        <v>1</v>
      </c>
      <c r="AV10" s="5">
        <f>IF(W10=W$50,1,0)</f>
        <v>1</v>
      </c>
      <c r="AW10" s="5">
        <f>IF(X10=X$50,1,0)</f>
        <v>1</v>
      </c>
      <c r="AX10" s="5">
        <f>IF(Y10=Y$50,1,0)</f>
        <v>1</v>
      </c>
      <c r="AY10" s="5">
        <f>IF(Z10=Z$50,1,0)</f>
        <v>1</v>
      </c>
      <c r="AZ10" s="5">
        <f>IF(AA10=AA$50,1,0)</f>
        <v>1</v>
      </c>
      <c r="BA10" s="5">
        <f>IF(AB10=AB$50,1,0)</f>
        <v>0</v>
      </c>
      <c r="BB10" s="5">
        <f>IF(AC10=AC$50,1,0)</f>
        <v>1</v>
      </c>
      <c r="BC10" s="5">
        <f>IF(AD10=AD$50,1,0)</f>
        <v>1</v>
      </c>
      <c r="BD10" s="5">
        <f>IF(AE10=AE$50,1,0)</f>
        <v>1</v>
      </c>
      <c r="BE10" s="5">
        <f>IF(AF10=AF$50,1,0)</f>
        <v>1</v>
      </c>
      <c r="BF10" s="5"/>
      <c r="BG10" s="5">
        <f>SUM(AG10:BF10)*4</f>
        <v>88</v>
      </c>
    </row>
    <row r="11" ht="22.5" customHeight="1" spans="1:62">
      <c r="A11" s="2">
        <v>45995.317214537</v>
      </c>
      <c r="B11" s="3" t="s">
        <v>122</v>
      </c>
      <c r="C11" s="4">
        <v>19</v>
      </c>
      <c r="D11" s="3" t="s">
        <v>123</v>
      </c>
      <c r="E11" s="3" t="s">
        <v>60</v>
      </c>
      <c r="F11" s="3" t="s">
        <v>122</v>
      </c>
      <c r="G11" s="3">
        <v>12345</v>
      </c>
      <c r="H11" s="3" t="s">
        <v>61</v>
      </c>
      <c r="I11" s="3" t="s">
        <v>62</v>
      </c>
      <c r="J11" s="3" t="s">
        <v>63</v>
      </c>
      <c r="K11" s="3" t="s">
        <v>64</v>
      </c>
      <c r="L11" s="3" t="s">
        <v>65</v>
      </c>
      <c r="M11" s="3" t="s">
        <v>66</v>
      </c>
      <c r="N11" s="3" t="s">
        <v>67</v>
      </c>
      <c r="O11" s="3" t="s">
        <v>68</v>
      </c>
      <c r="P11" s="3" t="s">
        <v>69</v>
      </c>
      <c r="Q11" s="3" t="s">
        <v>70</v>
      </c>
      <c r="R11" s="3" t="s">
        <v>71</v>
      </c>
      <c r="S11" s="3" t="s">
        <v>72</v>
      </c>
      <c r="T11" s="3" t="s">
        <v>73</v>
      </c>
      <c r="U11" s="3" t="s">
        <v>74</v>
      </c>
      <c r="V11" s="3" t="s">
        <v>75</v>
      </c>
      <c r="W11" s="3" t="s">
        <v>76</v>
      </c>
      <c r="X11" s="3" t="s">
        <v>77</v>
      </c>
      <c r="Y11" s="3" t="s">
        <v>96</v>
      </c>
      <c r="Z11" s="3" t="s">
        <v>79</v>
      </c>
      <c r="AA11" s="3" t="s">
        <v>80</v>
      </c>
      <c r="AB11" s="3">
        <v>5</v>
      </c>
      <c r="AC11" s="3">
        <v>18</v>
      </c>
      <c r="AD11" s="3">
        <v>26</v>
      </c>
      <c r="AE11" s="3">
        <v>1</v>
      </c>
      <c r="AF11" s="3">
        <v>3</v>
      </c>
      <c r="AG11" s="5">
        <f>IF(H11=H$50,1,0)</f>
        <v>1</v>
      </c>
      <c r="AH11" s="5">
        <f>IF(I11=I$50,1,0)</f>
        <v>1</v>
      </c>
      <c r="AI11" s="5">
        <f>IF(J11=J$50,1,0)</f>
        <v>1</v>
      </c>
      <c r="AJ11" s="5">
        <f>IF(K11=K$50,1,0)</f>
        <v>1</v>
      </c>
      <c r="AK11" s="5">
        <f>IF(L11=L$50,1,0)</f>
        <v>1</v>
      </c>
      <c r="AL11" s="5">
        <f>IF(M11=M$50,1,0)</f>
        <v>1</v>
      </c>
      <c r="AM11" s="5">
        <f>IF(N11=N$50,1,0)</f>
        <v>1</v>
      </c>
      <c r="AN11" s="5">
        <f>IF(O11=O$50,1,0)</f>
        <v>1</v>
      </c>
      <c r="AO11" s="5">
        <f>IF(P11=P$50,1,0)</f>
        <v>1</v>
      </c>
      <c r="AP11" s="5">
        <f>IF(Q11=Q$50,1,0)</f>
        <v>1</v>
      </c>
      <c r="AQ11" s="5">
        <f>IF(R11=R$50,1,0)</f>
        <v>1</v>
      </c>
      <c r="AR11" s="5">
        <f>IF(S11=S$50,1,0)</f>
        <v>1</v>
      </c>
      <c r="AS11" s="5">
        <f>IF(T11=T$50,1,0)</f>
        <v>1</v>
      </c>
      <c r="AT11" s="5">
        <f>IF(U11=U$50,1,0)</f>
        <v>1</v>
      </c>
      <c r="AU11" s="5">
        <f>IF(V11=V$50,1,0)</f>
        <v>1</v>
      </c>
      <c r="AV11" s="5">
        <f>IF(W11=W$50,1,0)</f>
        <v>1</v>
      </c>
      <c r="AW11" s="5">
        <f>IF(X11=X$50,1,0)</f>
        <v>1</v>
      </c>
      <c r="AX11" s="5">
        <f>IF(Y11=Y$50,1,0)</f>
        <v>0</v>
      </c>
      <c r="AY11" s="5">
        <f>IF(Z11=Z$50,1,0)</f>
        <v>1</v>
      </c>
      <c r="AZ11" s="5">
        <f>IF(AA11=AA$50,1,0)</f>
        <v>1</v>
      </c>
      <c r="BA11" s="5">
        <f>IF(AB11=AB$50,1,0)</f>
        <v>1</v>
      </c>
      <c r="BB11" s="5">
        <f>IF(AC11=AC$50,1,0)</f>
        <v>1</v>
      </c>
      <c r="BC11" s="5">
        <f>IF(AD11=AD$50,1,0)</f>
        <v>1</v>
      </c>
      <c r="BD11" s="5">
        <f>IF(AE11=AE$50,1,0)</f>
        <v>1</v>
      </c>
      <c r="BE11" s="5">
        <f>IF(AF11=AF$50,1,0)</f>
        <v>1</v>
      </c>
      <c r="BF11" s="5"/>
      <c r="BG11" s="5">
        <f>SUM(AG11:BF11)*4</f>
        <v>96</v>
      </c>
    </row>
    <row r="12" ht="22.5" customHeight="1" spans="1:62">
      <c r="A12" s="2">
        <v>45995.30874375</v>
      </c>
      <c r="B12" s="3" t="s">
        <v>124</v>
      </c>
      <c r="C12" s="4">
        <v>18</v>
      </c>
      <c r="D12" s="3" t="s">
        <v>125</v>
      </c>
      <c r="E12" s="3" t="s">
        <v>60</v>
      </c>
      <c r="F12" s="3" t="s">
        <v>126</v>
      </c>
      <c r="G12" s="3">
        <v>12345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103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107</v>
      </c>
      <c r="Z12" s="3" t="s">
        <v>79</v>
      </c>
      <c r="AA12" s="3" t="s">
        <v>80</v>
      </c>
      <c r="AB12" s="3">
        <v>5</v>
      </c>
      <c r="AC12" s="3">
        <v>18</v>
      </c>
      <c r="AD12" s="3">
        <v>26</v>
      </c>
      <c r="AE12" s="3">
        <v>1</v>
      </c>
      <c r="AF12" s="3">
        <v>3</v>
      </c>
      <c r="AG12" s="5">
        <f>IF(H12=H$50,1,0)</f>
        <v>1</v>
      </c>
      <c r="AH12" s="5">
        <f>IF(I12=I$50,1,0)</f>
        <v>1</v>
      </c>
      <c r="AI12" s="5">
        <f>IF(J12=J$50,1,0)</f>
        <v>1</v>
      </c>
      <c r="AJ12" s="5">
        <f>IF(K12=K$50,1,0)</f>
        <v>1</v>
      </c>
      <c r="AK12" s="5">
        <f>IF(L12=L$50,1,0)</f>
        <v>1</v>
      </c>
      <c r="AL12" s="5">
        <f>IF(M12=M$50,1,0)</f>
        <v>1</v>
      </c>
      <c r="AM12" s="5">
        <f>IF(N12=N$50,1,0)</f>
        <v>1</v>
      </c>
      <c r="AN12" s="5">
        <f>IF(O12=O$50,1,0)</f>
        <v>0</v>
      </c>
      <c r="AO12" s="5">
        <f>IF(P12=P$50,1,0)</f>
        <v>1</v>
      </c>
      <c r="AP12" s="5">
        <f>IF(Q12=Q$50,1,0)</f>
        <v>1</v>
      </c>
      <c r="AQ12" s="5">
        <f>IF(R12=R$50,1,0)</f>
        <v>1</v>
      </c>
      <c r="AR12" s="5">
        <f>IF(S12=S$50,1,0)</f>
        <v>1</v>
      </c>
      <c r="AS12" s="5">
        <f>IF(T12=T$50,1,0)</f>
        <v>1</v>
      </c>
      <c r="AT12" s="5">
        <f>IF(U12=U$50,1,0)</f>
        <v>1</v>
      </c>
      <c r="AU12" s="5">
        <f>IF(V12=V$50,1,0)</f>
        <v>1</v>
      </c>
      <c r="AV12" s="5">
        <f>IF(W12=W$50,1,0)</f>
        <v>1</v>
      </c>
      <c r="AW12" s="5">
        <f>IF(X12=X$50,1,0)</f>
        <v>1</v>
      </c>
      <c r="AX12" s="5">
        <f>IF(Y12=Y$50,1,0)</f>
        <v>0</v>
      </c>
      <c r="AY12" s="5">
        <f>IF(Z12=Z$50,1,0)</f>
        <v>1</v>
      </c>
      <c r="AZ12" s="5">
        <f>IF(AA12=AA$50,1,0)</f>
        <v>1</v>
      </c>
      <c r="BA12" s="5">
        <f>IF(AB12=AB$50,1,0)</f>
        <v>1</v>
      </c>
      <c r="BB12" s="5">
        <f>IF(AC12=AC$50,1,0)</f>
        <v>1</v>
      </c>
      <c r="BC12" s="5">
        <f>IF(AD12=AD$50,1,0)</f>
        <v>1</v>
      </c>
      <c r="BD12" s="5">
        <f>IF(AE12=AE$50,1,0)</f>
        <v>1</v>
      </c>
      <c r="BE12" s="5">
        <f>IF(AF12=AF$50,1,0)</f>
        <v>1</v>
      </c>
      <c r="BF12" s="5"/>
      <c r="BG12" s="5">
        <f>SUM(AG12:BF12)*4</f>
        <v>92</v>
      </c>
    </row>
    <row r="13" ht="22.5" customHeight="1" spans="1:62">
      <c r="A13" s="2">
        <v>45995.3107334722</v>
      </c>
      <c r="B13" s="3" t="s">
        <v>127</v>
      </c>
      <c r="C13" s="4">
        <v>18</v>
      </c>
      <c r="D13" s="3" t="s">
        <v>128</v>
      </c>
      <c r="E13" s="3" t="s">
        <v>60</v>
      </c>
      <c r="F13" s="3" t="s">
        <v>129</v>
      </c>
      <c r="G13" s="3">
        <v>12345</v>
      </c>
      <c r="H13" s="3" t="s">
        <v>61</v>
      </c>
      <c r="I13" s="3" t="s">
        <v>62</v>
      </c>
      <c r="J13" s="3" t="s">
        <v>63</v>
      </c>
      <c r="K13" s="3" t="s">
        <v>64</v>
      </c>
      <c r="L13" s="3" t="s">
        <v>65</v>
      </c>
      <c r="M13" s="3" t="s">
        <v>66</v>
      </c>
      <c r="N13" s="3" t="s">
        <v>67</v>
      </c>
      <c r="O13" s="3" t="s">
        <v>68</v>
      </c>
      <c r="P13" s="3" t="s">
        <v>89</v>
      </c>
      <c r="Q13" s="3" t="s">
        <v>70</v>
      </c>
      <c r="R13" s="3" t="s">
        <v>71</v>
      </c>
      <c r="S13" s="3" t="s">
        <v>72</v>
      </c>
      <c r="T13" s="3" t="s">
        <v>73</v>
      </c>
      <c r="U13" s="3" t="s">
        <v>74</v>
      </c>
      <c r="V13" s="3" t="s">
        <v>75</v>
      </c>
      <c r="W13" s="3" t="s">
        <v>76</v>
      </c>
      <c r="X13" s="3" t="s">
        <v>77</v>
      </c>
      <c r="Y13" s="3" t="s">
        <v>107</v>
      </c>
      <c r="Z13" s="3" t="s">
        <v>79</v>
      </c>
      <c r="AA13" s="3" t="s">
        <v>80</v>
      </c>
      <c r="AB13" s="3">
        <v>5</v>
      </c>
      <c r="AC13" s="3">
        <v>18</v>
      </c>
      <c r="AD13" s="3">
        <v>26</v>
      </c>
      <c r="AE13" s="3">
        <v>1</v>
      </c>
      <c r="AF13" s="3">
        <v>3</v>
      </c>
      <c r="AG13" s="5">
        <f>IF(H13=H$50,1,0)</f>
        <v>1</v>
      </c>
      <c r="AH13" s="5">
        <f>IF(I13=I$50,1,0)</f>
        <v>1</v>
      </c>
      <c r="AI13" s="5">
        <f>IF(J13=J$50,1,0)</f>
        <v>1</v>
      </c>
      <c r="AJ13" s="5">
        <f>IF(K13=K$50,1,0)</f>
        <v>1</v>
      </c>
      <c r="AK13" s="5">
        <f>IF(L13=L$50,1,0)</f>
        <v>1</v>
      </c>
      <c r="AL13" s="5">
        <f>IF(M13=M$50,1,0)</f>
        <v>1</v>
      </c>
      <c r="AM13" s="5">
        <f>IF(N13=N$50,1,0)</f>
        <v>1</v>
      </c>
      <c r="AN13" s="5">
        <f>IF(O13=O$50,1,0)</f>
        <v>1</v>
      </c>
      <c r="AO13" s="5">
        <f>IF(P13=P$50,1,0)</f>
        <v>0</v>
      </c>
      <c r="AP13" s="5">
        <f>IF(Q13=Q$50,1,0)</f>
        <v>1</v>
      </c>
      <c r="AQ13" s="5">
        <f>IF(R13=R$50,1,0)</f>
        <v>1</v>
      </c>
      <c r="AR13" s="5">
        <f>IF(S13=S$50,1,0)</f>
        <v>1</v>
      </c>
      <c r="AS13" s="5">
        <f>IF(T13=T$50,1,0)</f>
        <v>1</v>
      </c>
      <c r="AT13" s="5">
        <f>IF(U13=U$50,1,0)</f>
        <v>1</v>
      </c>
      <c r="AU13" s="5">
        <f>IF(V13=V$50,1,0)</f>
        <v>1</v>
      </c>
      <c r="AV13" s="5">
        <f>IF(W13=W$50,1,0)</f>
        <v>1</v>
      </c>
      <c r="AW13" s="5">
        <f>IF(X13=X$50,1,0)</f>
        <v>1</v>
      </c>
      <c r="AX13" s="5">
        <f>IF(Y13=Y$50,1,0)</f>
        <v>0</v>
      </c>
      <c r="AY13" s="5">
        <f>IF(Z13=Z$50,1,0)</f>
        <v>1</v>
      </c>
      <c r="AZ13" s="5">
        <f>IF(AA13=AA$50,1,0)</f>
        <v>1</v>
      </c>
      <c r="BA13" s="5">
        <f>IF(AB13=AB$50,1,0)</f>
        <v>1</v>
      </c>
      <c r="BB13" s="5">
        <f>IF(AC13=AC$50,1,0)</f>
        <v>1</v>
      </c>
      <c r="BC13" s="5">
        <f>IF(AD13=AD$50,1,0)</f>
        <v>1</v>
      </c>
      <c r="BD13" s="5">
        <f>IF(AE13=AE$50,1,0)</f>
        <v>1</v>
      </c>
      <c r="BE13" s="5">
        <f>IF(AF13=AF$50,1,0)</f>
        <v>1</v>
      </c>
      <c r="BF13" s="5"/>
      <c r="BG13" s="5">
        <f>SUM(AG13:BF13)*4</f>
        <v>92</v>
      </c>
    </row>
    <row r="14" ht="22.5" customHeight="1" spans="1:62">
      <c r="A14" s="2">
        <v>45995.3198015625</v>
      </c>
      <c r="B14" s="3" t="s">
        <v>130</v>
      </c>
      <c r="C14" s="4">
        <v>20</v>
      </c>
      <c r="D14" s="3" t="s">
        <v>131</v>
      </c>
      <c r="E14" s="3" t="s">
        <v>60</v>
      </c>
      <c r="F14" s="3" t="s">
        <v>130</v>
      </c>
      <c r="G14" s="3">
        <v>12345</v>
      </c>
      <c r="H14" s="3" t="s">
        <v>61</v>
      </c>
      <c r="I14" s="3" t="s">
        <v>62</v>
      </c>
      <c r="J14" s="3" t="s">
        <v>63</v>
      </c>
      <c r="K14" s="3" t="s">
        <v>64</v>
      </c>
      <c r="L14" s="3" t="s">
        <v>65</v>
      </c>
      <c r="M14" s="3" t="s">
        <v>66</v>
      </c>
      <c r="N14" s="3" t="s">
        <v>67</v>
      </c>
      <c r="O14" s="3" t="s">
        <v>68</v>
      </c>
      <c r="P14" s="3" t="s">
        <v>69</v>
      </c>
      <c r="Q14" s="3" t="s">
        <v>70</v>
      </c>
      <c r="R14" s="3" t="s">
        <v>71</v>
      </c>
      <c r="S14" s="3" t="s">
        <v>72</v>
      </c>
      <c r="T14" s="3" t="s">
        <v>73</v>
      </c>
      <c r="U14" s="3" t="s">
        <v>74</v>
      </c>
      <c r="V14" s="3" t="s">
        <v>75</v>
      </c>
      <c r="W14" s="3" t="s">
        <v>76</v>
      </c>
      <c r="X14" s="3" t="s">
        <v>77</v>
      </c>
      <c r="Y14" s="3" t="s">
        <v>78</v>
      </c>
      <c r="Z14" s="3" t="s">
        <v>79</v>
      </c>
      <c r="AA14" s="3" t="s">
        <v>80</v>
      </c>
      <c r="AB14" s="3">
        <v>5</v>
      </c>
      <c r="AC14" s="3">
        <v>18</v>
      </c>
      <c r="AD14" s="3">
        <v>26</v>
      </c>
      <c r="AE14" s="3">
        <v>1</v>
      </c>
      <c r="AF14" s="3">
        <v>3</v>
      </c>
      <c r="AG14" s="5">
        <f>IF(H14=H$50,1,0)</f>
        <v>1</v>
      </c>
      <c r="AH14" s="5">
        <f>IF(I14=I$50,1,0)</f>
        <v>1</v>
      </c>
      <c r="AI14" s="5">
        <f>IF(J14=J$50,1,0)</f>
        <v>1</v>
      </c>
      <c r="AJ14" s="5">
        <f>IF(K14=K$50,1,0)</f>
        <v>1</v>
      </c>
      <c r="AK14" s="5">
        <f>IF(L14=L$50,1,0)</f>
        <v>1</v>
      </c>
      <c r="AL14" s="5">
        <f>IF(M14=M$50,1,0)</f>
        <v>1</v>
      </c>
      <c r="AM14" s="5">
        <f>IF(N14=N$50,1,0)</f>
        <v>1</v>
      </c>
      <c r="AN14" s="5">
        <f>IF(O14=O$50,1,0)</f>
        <v>1</v>
      </c>
      <c r="AO14" s="5">
        <f>IF(P14=P$50,1,0)</f>
        <v>1</v>
      </c>
      <c r="AP14" s="5">
        <f>IF(Q14=Q$50,1,0)</f>
        <v>1</v>
      </c>
      <c r="AQ14" s="5">
        <f>IF(R14=R$50,1,0)</f>
        <v>1</v>
      </c>
      <c r="AR14" s="5">
        <f>IF(S14=S$50,1,0)</f>
        <v>1</v>
      </c>
      <c r="AS14" s="5">
        <f>IF(T14=T$50,1,0)</f>
        <v>1</v>
      </c>
      <c r="AT14" s="5">
        <f>IF(U14=U$50,1,0)</f>
        <v>1</v>
      </c>
      <c r="AU14" s="5">
        <f>IF(V14=V$50,1,0)</f>
        <v>1</v>
      </c>
      <c r="AV14" s="5">
        <f>IF(W14=W$50,1,0)</f>
        <v>1</v>
      </c>
      <c r="AW14" s="5">
        <f>IF(X14=X$50,1,0)</f>
        <v>1</v>
      </c>
      <c r="AX14" s="5">
        <f>IF(Y14=Y$50,1,0)</f>
        <v>1</v>
      </c>
      <c r="AY14" s="5">
        <f>IF(Z14=Z$50,1,0)</f>
        <v>1</v>
      </c>
      <c r="AZ14" s="5">
        <f>IF(AA14=AA$50,1,0)</f>
        <v>1</v>
      </c>
      <c r="BA14" s="5">
        <f>IF(AB14=AB$50,1,0)</f>
        <v>1</v>
      </c>
      <c r="BB14" s="5">
        <f>IF(AC14=AC$50,1,0)</f>
        <v>1</v>
      </c>
      <c r="BC14" s="5">
        <f>IF(AD14=AD$50,1,0)</f>
        <v>1</v>
      </c>
      <c r="BD14" s="5">
        <f>IF(AE14=AE$50,1,0)</f>
        <v>1</v>
      </c>
      <c r="BE14" s="5">
        <f>IF(AF14=AF$50,1,0)</f>
        <v>1</v>
      </c>
      <c r="BF14" s="5"/>
      <c r="BG14" s="5">
        <f>SUM(AG14:BF14)*4</f>
        <v>100</v>
      </c>
    </row>
    <row r="15" ht="22.5" customHeight="1" spans="1:62">
      <c r="A15" s="2">
        <v>45995.3167749421</v>
      </c>
      <c r="B15" s="3" t="s">
        <v>132</v>
      </c>
      <c r="C15" s="4">
        <v>20</v>
      </c>
      <c r="D15" s="3" t="s">
        <v>133</v>
      </c>
      <c r="E15" s="3" t="s">
        <v>60</v>
      </c>
      <c r="F15" s="3" t="s">
        <v>132</v>
      </c>
      <c r="G15" s="3">
        <v>12345</v>
      </c>
      <c r="H15" s="3" t="s">
        <v>61</v>
      </c>
      <c r="I15" s="3" t="s">
        <v>62</v>
      </c>
      <c r="J15" s="3" t="s">
        <v>63</v>
      </c>
      <c r="K15" s="3" t="s">
        <v>64</v>
      </c>
      <c r="L15" s="3" t="s">
        <v>65</v>
      </c>
      <c r="M15" s="3" t="s">
        <v>66</v>
      </c>
      <c r="N15" s="3" t="s">
        <v>67</v>
      </c>
      <c r="O15" s="3" t="s">
        <v>68</v>
      </c>
      <c r="P15" s="3" t="s">
        <v>69</v>
      </c>
      <c r="Q15" s="3" t="s">
        <v>70</v>
      </c>
      <c r="R15" s="3" t="s">
        <v>71</v>
      </c>
      <c r="S15" s="3" t="s">
        <v>72</v>
      </c>
      <c r="T15" s="3" t="s">
        <v>73</v>
      </c>
      <c r="U15" s="3" t="s">
        <v>74</v>
      </c>
      <c r="V15" s="3" t="s">
        <v>75</v>
      </c>
      <c r="W15" s="3" t="s">
        <v>76</v>
      </c>
      <c r="X15" s="3" t="s">
        <v>77</v>
      </c>
      <c r="Y15" s="3" t="s">
        <v>78</v>
      </c>
      <c r="Z15" s="3" t="s">
        <v>79</v>
      </c>
      <c r="AA15" s="3" t="s">
        <v>80</v>
      </c>
      <c r="AB15" s="3">
        <v>5</v>
      </c>
      <c r="AC15" s="3">
        <v>18</v>
      </c>
      <c r="AD15" s="3">
        <v>26</v>
      </c>
      <c r="AE15" s="3">
        <v>1</v>
      </c>
      <c r="AF15" s="3">
        <v>3</v>
      </c>
      <c r="AG15" s="5">
        <f>IF(H15=H$50,1,0)</f>
        <v>1</v>
      </c>
      <c r="AH15" s="5">
        <f>IF(I15=I$50,1,0)</f>
        <v>1</v>
      </c>
      <c r="AI15" s="5">
        <f>IF(J15=J$50,1,0)</f>
        <v>1</v>
      </c>
      <c r="AJ15" s="5">
        <f>IF(K15=K$50,1,0)</f>
        <v>1</v>
      </c>
      <c r="AK15" s="5">
        <f>IF(L15=L$50,1,0)</f>
        <v>1</v>
      </c>
      <c r="AL15" s="5">
        <f>IF(M15=M$50,1,0)</f>
        <v>1</v>
      </c>
      <c r="AM15" s="5">
        <f>IF(N15=N$50,1,0)</f>
        <v>1</v>
      </c>
      <c r="AN15" s="5">
        <f>IF(O15=O$50,1,0)</f>
        <v>1</v>
      </c>
      <c r="AO15" s="5">
        <f>IF(P15=P$50,1,0)</f>
        <v>1</v>
      </c>
      <c r="AP15" s="5">
        <f>IF(Q15=Q$50,1,0)</f>
        <v>1</v>
      </c>
      <c r="AQ15" s="5">
        <f>IF(R15=R$50,1,0)</f>
        <v>1</v>
      </c>
      <c r="AR15" s="5">
        <f>IF(S15=S$50,1,0)</f>
        <v>1</v>
      </c>
      <c r="AS15" s="5">
        <f>IF(T15=T$50,1,0)</f>
        <v>1</v>
      </c>
      <c r="AT15" s="5">
        <f>IF(U15=U$50,1,0)</f>
        <v>1</v>
      </c>
      <c r="AU15" s="5">
        <f>IF(V15=V$50,1,0)</f>
        <v>1</v>
      </c>
      <c r="AV15" s="5">
        <f>IF(W15=W$50,1,0)</f>
        <v>1</v>
      </c>
      <c r="AW15" s="5">
        <f>IF(X15=X$50,1,0)</f>
        <v>1</v>
      </c>
      <c r="AX15" s="5">
        <f>IF(Y15=Y$50,1,0)</f>
        <v>1</v>
      </c>
      <c r="AY15" s="5">
        <f>IF(Z15=Z$50,1,0)</f>
        <v>1</v>
      </c>
      <c r="AZ15" s="5">
        <f>IF(AA15=AA$50,1,0)</f>
        <v>1</v>
      </c>
      <c r="BA15" s="5">
        <f>IF(AB15=AB$50,1,0)</f>
        <v>1</v>
      </c>
      <c r="BB15" s="5">
        <f>IF(AC15=AC$50,1,0)</f>
        <v>1</v>
      </c>
      <c r="BC15" s="5">
        <f>IF(AD15=AD$50,1,0)</f>
        <v>1</v>
      </c>
      <c r="BD15" s="5">
        <f>IF(AE15=AE$50,1,0)</f>
        <v>1</v>
      </c>
      <c r="BE15" s="5">
        <f>IF(AF15=AF$50,1,0)</f>
        <v>1</v>
      </c>
      <c r="BF15" s="5"/>
      <c r="BG15" s="5">
        <f>SUM(AG15:BF15)*4</f>
        <v>100</v>
      </c>
    </row>
    <row r="16" ht="22.5" customHeight="1" spans="1:62">
      <c r="A16" s="2">
        <v>45995.3159760417</v>
      </c>
      <c r="B16" s="3" t="s">
        <v>134</v>
      </c>
      <c r="C16" s="4">
        <v>16</v>
      </c>
      <c r="D16" s="3" t="s">
        <v>135</v>
      </c>
      <c r="E16" s="3" t="s">
        <v>60</v>
      </c>
      <c r="F16" s="3" t="s">
        <v>134</v>
      </c>
      <c r="G16" s="3">
        <v>12345</v>
      </c>
      <c r="H16" s="3" t="s">
        <v>61</v>
      </c>
      <c r="I16" s="3" t="s">
        <v>62</v>
      </c>
      <c r="J16" s="3" t="s">
        <v>84</v>
      </c>
      <c r="K16" s="3" t="s">
        <v>64</v>
      </c>
      <c r="L16" s="3" t="s">
        <v>65</v>
      </c>
      <c r="M16" s="3" t="s">
        <v>66</v>
      </c>
      <c r="N16" s="3" t="s">
        <v>67</v>
      </c>
      <c r="O16" s="3" t="s">
        <v>63</v>
      </c>
      <c r="P16" s="3" t="s">
        <v>69</v>
      </c>
      <c r="Q16" s="3" t="s">
        <v>70</v>
      </c>
      <c r="R16" s="3" t="s">
        <v>84</v>
      </c>
      <c r="S16" s="3" t="s">
        <v>72</v>
      </c>
      <c r="T16" s="3" t="s">
        <v>73</v>
      </c>
      <c r="U16" s="3" t="s">
        <v>74</v>
      </c>
      <c r="V16" s="3" t="s">
        <v>136</v>
      </c>
      <c r="W16" s="3" t="s">
        <v>76</v>
      </c>
      <c r="X16" s="3" t="s">
        <v>77</v>
      </c>
      <c r="Y16" s="3" t="s">
        <v>78</v>
      </c>
      <c r="Z16" s="3" t="s">
        <v>79</v>
      </c>
      <c r="AA16" s="3" t="s">
        <v>80</v>
      </c>
      <c r="AB16" s="3">
        <v>5</v>
      </c>
      <c r="AC16" s="3">
        <v>18</v>
      </c>
      <c r="AD16" s="3">
        <v>26</v>
      </c>
      <c r="AE16" s="3">
        <v>1</v>
      </c>
      <c r="AF16" s="3">
        <v>3</v>
      </c>
      <c r="AG16" s="5">
        <f>IF(H16=H$50,1,0)</f>
        <v>1</v>
      </c>
      <c r="AH16" s="5">
        <f>IF(I16=I$50,1,0)</f>
        <v>1</v>
      </c>
      <c r="AI16" s="5">
        <f>IF(J16=J$50,1,0)</f>
        <v>0</v>
      </c>
      <c r="AJ16" s="5">
        <f>IF(K16=K$50,1,0)</f>
        <v>1</v>
      </c>
      <c r="AK16" s="5">
        <f>IF(L16=L$50,1,0)</f>
        <v>1</v>
      </c>
      <c r="AL16" s="5">
        <f>IF(M16=M$50,1,0)</f>
        <v>1</v>
      </c>
      <c r="AM16" s="5">
        <f>IF(N16=N$50,1,0)</f>
        <v>1</v>
      </c>
      <c r="AN16" s="5">
        <f>IF(O16=O$50,1,0)</f>
        <v>0</v>
      </c>
      <c r="AO16" s="5">
        <f>IF(P16=P$50,1,0)</f>
        <v>1</v>
      </c>
      <c r="AP16" s="5">
        <f>IF(Q16=Q$50,1,0)</f>
        <v>1</v>
      </c>
      <c r="AQ16" s="5">
        <f>IF(R16=R$50,1,0)</f>
        <v>0</v>
      </c>
      <c r="AR16" s="5">
        <f>IF(S16=S$50,1,0)</f>
        <v>1</v>
      </c>
      <c r="AS16" s="5">
        <f>IF(T16=T$50,1,0)</f>
        <v>1</v>
      </c>
      <c r="AT16" s="5">
        <f>IF(U16=U$50,1,0)</f>
        <v>1</v>
      </c>
      <c r="AU16" s="5">
        <f>IF(V16=V$50,1,0)</f>
        <v>0</v>
      </c>
      <c r="AV16" s="5">
        <f>IF(W16=W$50,1,0)</f>
        <v>1</v>
      </c>
      <c r="AW16" s="5">
        <f>IF(X16=X$50,1,0)</f>
        <v>1</v>
      </c>
      <c r="AX16" s="5">
        <f>IF(Y16=Y$50,1,0)</f>
        <v>1</v>
      </c>
      <c r="AY16" s="5">
        <f>IF(Z16=Z$50,1,0)</f>
        <v>1</v>
      </c>
      <c r="AZ16" s="5">
        <f>IF(AA16=AA$50,1,0)</f>
        <v>1</v>
      </c>
      <c r="BA16" s="5">
        <f>IF(AB16=AB$50,1,0)</f>
        <v>1</v>
      </c>
      <c r="BB16" s="5">
        <f>IF(AC16=AC$50,1,0)</f>
        <v>1</v>
      </c>
      <c r="BC16" s="5">
        <f>IF(AD16=AD$50,1,0)</f>
        <v>1</v>
      </c>
      <c r="BD16" s="5">
        <f>IF(AE16=AE$50,1,0)</f>
        <v>1</v>
      </c>
      <c r="BE16" s="5">
        <f>IF(AF16=AF$50,1,0)</f>
        <v>1</v>
      </c>
      <c r="BF16" s="5"/>
      <c r="BG16" s="5">
        <f>SUM(AG16:BF16)*4</f>
        <v>84</v>
      </c>
    </row>
    <row r="17" ht="22.5" customHeight="1" spans="1:59">
      <c r="A17" s="2">
        <v>45995.3194828704</v>
      </c>
      <c r="B17" s="3" t="s">
        <v>137</v>
      </c>
      <c r="C17" s="4">
        <v>19</v>
      </c>
      <c r="D17" s="3" t="s">
        <v>138</v>
      </c>
      <c r="E17" s="3" t="s">
        <v>60</v>
      </c>
      <c r="F17" s="3" t="s">
        <v>137</v>
      </c>
      <c r="G17" s="3">
        <v>12345</v>
      </c>
      <c r="H17" s="3" t="s">
        <v>61</v>
      </c>
      <c r="I17" s="3" t="s">
        <v>62</v>
      </c>
      <c r="J17" s="3" t="s">
        <v>63</v>
      </c>
      <c r="K17" s="3" t="s">
        <v>64</v>
      </c>
      <c r="L17" s="3" t="s">
        <v>65</v>
      </c>
      <c r="M17" s="3" t="s">
        <v>66</v>
      </c>
      <c r="N17" s="3" t="s">
        <v>67</v>
      </c>
      <c r="O17" s="3" t="s">
        <v>68</v>
      </c>
      <c r="P17" s="3" t="s">
        <v>69</v>
      </c>
      <c r="Q17" s="3" t="s">
        <v>90</v>
      </c>
      <c r="R17" s="3" t="s">
        <v>71</v>
      </c>
      <c r="S17" s="3" t="s">
        <v>72</v>
      </c>
      <c r="T17" s="3" t="s">
        <v>73</v>
      </c>
      <c r="U17" s="3" t="s">
        <v>74</v>
      </c>
      <c r="V17" s="3" t="s">
        <v>75</v>
      </c>
      <c r="W17" s="3" t="s">
        <v>76</v>
      </c>
      <c r="X17" s="3" t="s">
        <v>77</v>
      </c>
      <c r="Y17" s="3" t="s">
        <v>78</v>
      </c>
      <c r="Z17" s="3" t="s">
        <v>79</v>
      </c>
      <c r="AA17" s="3" t="s">
        <v>80</v>
      </c>
      <c r="AB17" s="3">
        <v>5</v>
      </c>
      <c r="AC17" s="3">
        <v>18</v>
      </c>
      <c r="AD17" s="3">
        <v>26</v>
      </c>
      <c r="AE17" s="3">
        <v>1</v>
      </c>
      <c r="AF17" s="3">
        <v>3</v>
      </c>
      <c r="AG17" s="5">
        <f>IF(H17=H$50,1,0)</f>
        <v>1</v>
      </c>
      <c r="AH17" s="5">
        <f>IF(I17=I$50,1,0)</f>
        <v>1</v>
      </c>
      <c r="AI17" s="5">
        <f>IF(J17=J$50,1,0)</f>
        <v>1</v>
      </c>
      <c r="AJ17" s="5">
        <f>IF(K17=K$50,1,0)</f>
        <v>1</v>
      </c>
      <c r="AK17" s="5">
        <f>IF(L17=L$50,1,0)</f>
        <v>1</v>
      </c>
      <c r="AL17" s="5">
        <f>IF(M17=M$50,1,0)</f>
        <v>1</v>
      </c>
      <c r="AM17" s="5">
        <f>IF(N17=N$50,1,0)</f>
        <v>1</v>
      </c>
      <c r="AN17" s="5">
        <f>IF(O17=O$50,1,0)</f>
        <v>1</v>
      </c>
      <c r="AO17" s="5">
        <f>IF(P17=P$50,1,0)</f>
        <v>1</v>
      </c>
      <c r="AP17" s="5">
        <f>IF(Q17=Q$50,1,0)</f>
        <v>0</v>
      </c>
      <c r="AQ17" s="5">
        <f>IF(R17=R$50,1,0)</f>
        <v>1</v>
      </c>
      <c r="AR17" s="5">
        <f>IF(S17=S$50,1,0)</f>
        <v>1</v>
      </c>
      <c r="AS17" s="5">
        <f>IF(T17=T$50,1,0)</f>
        <v>1</v>
      </c>
      <c r="AT17" s="5">
        <f>IF(U17=U$50,1,0)</f>
        <v>1</v>
      </c>
      <c r="AU17" s="5">
        <f>IF(V17=V$50,1,0)</f>
        <v>1</v>
      </c>
      <c r="AV17" s="5">
        <f>IF(W17=W$50,1,0)</f>
        <v>1</v>
      </c>
      <c r="AW17" s="5">
        <f>IF(X17=X$50,1,0)</f>
        <v>1</v>
      </c>
      <c r="AX17" s="5">
        <f>IF(Y17=Y$50,1,0)</f>
        <v>1</v>
      </c>
      <c r="AY17" s="5">
        <f>IF(Z17=Z$50,1,0)</f>
        <v>1</v>
      </c>
      <c r="AZ17" s="5">
        <f>IF(AA17=AA$50,1,0)</f>
        <v>1</v>
      </c>
      <c r="BA17" s="5">
        <f>IF(AB17=AB$50,1,0)</f>
        <v>1</v>
      </c>
      <c r="BB17" s="5">
        <f>IF(AC17=AC$50,1,0)</f>
        <v>1</v>
      </c>
      <c r="BC17" s="5">
        <f>IF(AD17=AD$50,1,0)</f>
        <v>1</v>
      </c>
      <c r="BD17" s="5">
        <f>IF(AE17=AE$50,1,0)</f>
        <v>1</v>
      </c>
      <c r="BE17" s="5">
        <f>IF(AF17=AF$50,1,0)</f>
        <v>1</v>
      </c>
      <c r="BF17" s="5"/>
      <c r="BG17" s="5">
        <f>SUM(AG17:BF17)*4</f>
        <v>96</v>
      </c>
    </row>
    <row r="18" ht="22.5" customHeight="1" spans="1:59">
      <c r="A18" s="2">
        <v>45995.3083047454</v>
      </c>
      <c r="B18" s="3" t="s">
        <v>139</v>
      </c>
      <c r="C18" s="4">
        <v>19</v>
      </c>
      <c r="D18" s="3" t="s">
        <v>140</v>
      </c>
      <c r="E18" s="3" t="s">
        <v>60</v>
      </c>
      <c r="F18" s="3" t="s">
        <v>139</v>
      </c>
      <c r="G18" s="3">
        <v>12345</v>
      </c>
      <c r="H18" s="3" t="s">
        <v>61</v>
      </c>
      <c r="I18" s="3" t="s">
        <v>62</v>
      </c>
      <c r="J18" s="3" t="s">
        <v>63</v>
      </c>
      <c r="K18" s="3" t="s">
        <v>64</v>
      </c>
      <c r="L18" s="3" t="s">
        <v>65</v>
      </c>
      <c r="M18" s="3" t="s">
        <v>66</v>
      </c>
      <c r="N18" s="3" t="s">
        <v>67</v>
      </c>
      <c r="O18" s="3" t="s">
        <v>68</v>
      </c>
      <c r="P18" s="3" t="s">
        <v>69</v>
      </c>
      <c r="Q18" s="3" t="s">
        <v>70</v>
      </c>
      <c r="R18" s="3" t="s">
        <v>71</v>
      </c>
      <c r="S18" s="3" t="s">
        <v>91</v>
      </c>
      <c r="T18" s="3" t="s">
        <v>73</v>
      </c>
      <c r="U18" s="3" t="s">
        <v>74</v>
      </c>
      <c r="V18" s="3" t="s">
        <v>75</v>
      </c>
      <c r="W18" s="3" t="s">
        <v>76</v>
      </c>
      <c r="X18" s="3" t="s">
        <v>77</v>
      </c>
      <c r="Y18" s="3" t="s">
        <v>78</v>
      </c>
      <c r="Z18" s="3" t="s">
        <v>79</v>
      </c>
      <c r="AA18" s="3" t="s">
        <v>80</v>
      </c>
      <c r="AB18" s="3">
        <v>5</v>
      </c>
      <c r="AC18" s="3">
        <v>18</v>
      </c>
      <c r="AD18" s="3">
        <v>26</v>
      </c>
      <c r="AE18" s="3">
        <v>1</v>
      </c>
      <c r="AF18" s="3">
        <v>5</v>
      </c>
      <c r="AG18" s="5">
        <f>IF(H18=H$50,1,0)</f>
        <v>1</v>
      </c>
      <c r="AH18" s="5">
        <f>IF(I18=I$50,1,0)</f>
        <v>1</v>
      </c>
      <c r="AI18" s="5">
        <f>IF(J18=J$50,1,0)</f>
        <v>1</v>
      </c>
      <c r="AJ18" s="5">
        <f>IF(K18=K$50,1,0)</f>
        <v>1</v>
      </c>
      <c r="AK18" s="5">
        <f>IF(L18=L$50,1,0)</f>
        <v>1</v>
      </c>
      <c r="AL18" s="5">
        <f>IF(M18=M$50,1,0)</f>
        <v>1</v>
      </c>
      <c r="AM18" s="5">
        <f>IF(N18=N$50,1,0)</f>
        <v>1</v>
      </c>
      <c r="AN18" s="5">
        <f>IF(O18=O$50,1,0)</f>
        <v>1</v>
      </c>
      <c r="AO18" s="5">
        <f>IF(P18=P$50,1,0)</f>
        <v>1</v>
      </c>
      <c r="AP18" s="5">
        <f>IF(Q18=Q$50,1,0)</f>
        <v>1</v>
      </c>
      <c r="AQ18" s="5">
        <f>IF(R18=R$50,1,0)</f>
        <v>1</v>
      </c>
      <c r="AR18" s="5">
        <f>IF(S18=S$50,1,0)</f>
        <v>0</v>
      </c>
      <c r="AS18" s="5">
        <f>IF(T18=T$50,1,0)</f>
        <v>1</v>
      </c>
      <c r="AT18" s="5">
        <f>IF(U18=U$50,1,0)</f>
        <v>1</v>
      </c>
      <c r="AU18" s="5">
        <f>IF(V18=V$50,1,0)</f>
        <v>1</v>
      </c>
      <c r="AV18" s="5">
        <f>IF(W18=W$50,1,0)</f>
        <v>1</v>
      </c>
      <c r="AW18" s="5">
        <f>IF(X18=X$50,1,0)</f>
        <v>1</v>
      </c>
      <c r="AX18" s="5">
        <f>IF(Y18=Y$50,1,0)</f>
        <v>1</v>
      </c>
      <c r="AY18" s="5">
        <f>IF(Z18=Z$50,1,0)</f>
        <v>1</v>
      </c>
      <c r="AZ18" s="5">
        <f>IF(AA18=AA$50,1,0)</f>
        <v>1</v>
      </c>
      <c r="BA18" s="5">
        <f>IF(AB18=AB$50,1,0)</f>
        <v>1</v>
      </c>
      <c r="BB18" s="5">
        <f>IF(AC18=AC$50,1,0)</f>
        <v>1</v>
      </c>
      <c r="BC18" s="5">
        <f>IF(AD18=AD$50,1,0)</f>
        <v>1</v>
      </c>
      <c r="BD18" s="5">
        <f>IF(AE18=AE$50,1,0)</f>
        <v>1</v>
      </c>
      <c r="BE18" s="5">
        <f>IF(AF18=AF$50,1,0)</f>
        <v>0</v>
      </c>
      <c r="BF18" s="5"/>
      <c r="BG18" s="5">
        <f>SUM(AG18:BF18)*4</f>
        <v>92</v>
      </c>
    </row>
    <row r="19" ht="22.5" customHeight="1" spans="1:59">
      <c r="A19" s="2">
        <v>45995.3150173611</v>
      </c>
      <c r="B19" s="3" t="s">
        <v>141</v>
      </c>
      <c r="C19" s="4">
        <v>20</v>
      </c>
      <c r="D19" s="3" t="s">
        <v>142</v>
      </c>
      <c r="E19" s="3" t="s">
        <v>60</v>
      </c>
      <c r="F19" s="3" t="s">
        <v>141</v>
      </c>
      <c r="G19" s="3">
        <v>12345</v>
      </c>
      <c r="H19" s="3" t="s">
        <v>61</v>
      </c>
      <c r="I19" s="3" t="s">
        <v>62</v>
      </c>
      <c r="J19" s="3" t="s">
        <v>63</v>
      </c>
      <c r="K19" s="3" t="s">
        <v>64</v>
      </c>
      <c r="L19" s="3" t="s">
        <v>65</v>
      </c>
      <c r="M19" s="3" t="s">
        <v>66</v>
      </c>
      <c r="N19" s="3" t="s">
        <v>67</v>
      </c>
      <c r="O19" s="3" t="s">
        <v>68</v>
      </c>
      <c r="P19" s="3" t="s">
        <v>69</v>
      </c>
      <c r="Q19" s="3" t="s">
        <v>70</v>
      </c>
      <c r="R19" s="3" t="s">
        <v>71</v>
      </c>
      <c r="S19" s="3" t="s">
        <v>72</v>
      </c>
      <c r="T19" s="3" t="s">
        <v>73</v>
      </c>
      <c r="U19" s="3" t="s">
        <v>74</v>
      </c>
      <c r="V19" s="3" t="s">
        <v>75</v>
      </c>
      <c r="W19" s="3" t="s">
        <v>76</v>
      </c>
      <c r="X19" s="3" t="s">
        <v>77</v>
      </c>
      <c r="Y19" s="3" t="s">
        <v>78</v>
      </c>
      <c r="Z19" s="3" t="s">
        <v>79</v>
      </c>
      <c r="AA19" s="3" t="s">
        <v>80</v>
      </c>
      <c r="AB19" s="3">
        <v>5</v>
      </c>
      <c r="AC19" s="3">
        <v>18</v>
      </c>
      <c r="AD19" s="3">
        <v>26</v>
      </c>
      <c r="AE19" s="3">
        <v>1</v>
      </c>
      <c r="AF19" s="3">
        <v>3</v>
      </c>
      <c r="AG19" s="5">
        <f>IF(H19=H$50,1,0)</f>
        <v>1</v>
      </c>
      <c r="AH19" s="5">
        <f>IF(I19=I$50,1,0)</f>
        <v>1</v>
      </c>
      <c r="AI19" s="5">
        <f>IF(J19=J$50,1,0)</f>
        <v>1</v>
      </c>
      <c r="AJ19" s="5">
        <f>IF(K19=K$50,1,0)</f>
        <v>1</v>
      </c>
      <c r="AK19" s="5">
        <f>IF(L19=L$50,1,0)</f>
        <v>1</v>
      </c>
      <c r="AL19" s="5">
        <f>IF(M19=M$50,1,0)</f>
        <v>1</v>
      </c>
      <c r="AM19" s="5">
        <f>IF(N19=N$50,1,0)</f>
        <v>1</v>
      </c>
      <c r="AN19" s="5">
        <f>IF(O19=O$50,1,0)</f>
        <v>1</v>
      </c>
      <c r="AO19" s="5">
        <f>IF(P19=P$50,1,0)</f>
        <v>1</v>
      </c>
      <c r="AP19" s="5">
        <f>IF(Q19=Q$50,1,0)</f>
        <v>1</v>
      </c>
      <c r="AQ19" s="5">
        <f>IF(R19=R$50,1,0)</f>
        <v>1</v>
      </c>
      <c r="AR19" s="5">
        <f>IF(S19=S$50,1,0)</f>
        <v>1</v>
      </c>
      <c r="AS19" s="5">
        <f>IF(T19=T$50,1,0)</f>
        <v>1</v>
      </c>
      <c r="AT19" s="5">
        <f>IF(U19=U$50,1,0)</f>
        <v>1</v>
      </c>
      <c r="AU19" s="5">
        <f>IF(V19=V$50,1,0)</f>
        <v>1</v>
      </c>
      <c r="AV19" s="5">
        <f>IF(W19=W$50,1,0)</f>
        <v>1</v>
      </c>
      <c r="AW19" s="5">
        <f>IF(X19=X$50,1,0)</f>
        <v>1</v>
      </c>
      <c r="AX19" s="5">
        <f>IF(Y19=Y$50,1,0)</f>
        <v>1</v>
      </c>
      <c r="AY19" s="5">
        <f>IF(Z19=Z$50,1,0)</f>
        <v>1</v>
      </c>
      <c r="AZ19" s="5">
        <f>IF(AA19=AA$50,1,0)</f>
        <v>1</v>
      </c>
      <c r="BA19" s="5">
        <f>IF(AB19=AB$50,1,0)</f>
        <v>1</v>
      </c>
      <c r="BB19" s="5">
        <f>IF(AC19=AC$50,1,0)</f>
        <v>1</v>
      </c>
      <c r="BC19" s="5">
        <f>IF(AD19=AD$50,1,0)</f>
        <v>1</v>
      </c>
      <c r="BD19" s="5">
        <f>IF(AE19=AE$50,1,0)</f>
        <v>1</v>
      </c>
      <c r="BE19" s="5">
        <f>IF(AF19=AF$50,1,0)</f>
        <v>1</v>
      </c>
      <c r="BF19" s="5"/>
      <c r="BG19" s="5">
        <f>SUM(AG19:BF19)*4</f>
        <v>100</v>
      </c>
    </row>
    <row r="20" ht="22.5" customHeight="1" spans="1:59">
      <c r="A20" s="2">
        <v>45995.3089795718</v>
      </c>
      <c r="B20" s="3" t="s">
        <v>143</v>
      </c>
      <c r="C20" s="4">
        <v>20</v>
      </c>
      <c r="D20" s="3" t="s">
        <v>144</v>
      </c>
      <c r="E20" s="3" t="s">
        <v>60</v>
      </c>
      <c r="F20" s="3" t="s">
        <v>143</v>
      </c>
      <c r="G20" s="3">
        <v>12345</v>
      </c>
      <c r="H20" s="3" t="s">
        <v>61</v>
      </c>
      <c r="I20" s="3" t="s">
        <v>62</v>
      </c>
      <c r="J20" s="3" t="s">
        <v>63</v>
      </c>
      <c r="K20" s="3" t="s">
        <v>64</v>
      </c>
      <c r="L20" s="3" t="s">
        <v>65</v>
      </c>
      <c r="M20" s="3" t="s">
        <v>66</v>
      </c>
      <c r="N20" s="3" t="s">
        <v>67</v>
      </c>
      <c r="O20" s="3" t="s">
        <v>68</v>
      </c>
      <c r="P20" s="3" t="s">
        <v>69</v>
      </c>
      <c r="Q20" s="3" t="s">
        <v>70</v>
      </c>
      <c r="R20" s="3" t="s">
        <v>71</v>
      </c>
      <c r="S20" s="3" t="s">
        <v>72</v>
      </c>
      <c r="T20" s="3" t="s">
        <v>73</v>
      </c>
      <c r="U20" s="3" t="s">
        <v>74</v>
      </c>
      <c r="V20" s="3" t="s">
        <v>75</v>
      </c>
      <c r="W20" s="3" t="s">
        <v>76</v>
      </c>
      <c r="X20" s="3" t="s">
        <v>77</v>
      </c>
      <c r="Y20" s="3" t="s">
        <v>78</v>
      </c>
      <c r="Z20" s="3" t="s">
        <v>79</v>
      </c>
      <c r="AA20" s="3" t="s">
        <v>80</v>
      </c>
      <c r="AB20" s="3">
        <v>5</v>
      </c>
      <c r="AC20" s="3">
        <v>18</v>
      </c>
      <c r="AD20" s="3">
        <v>26</v>
      </c>
      <c r="AE20" s="3">
        <v>1</v>
      </c>
      <c r="AF20" s="3">
        <v>3</v>
      </c>
      <c r="AG20" s="5">
        <f>IF(H20=H$50,1,0)</f>
        <v>1</v>
      </c>
      <c r="AH20" s="5">
        <f>IF(I20=I$50,1,0)</f>
        <v>1</v>
      </c>
      <c r="AI20" s="5">
        <f>IF(J20=J$50,1,0)</f>
        <v>1</v>
      </c>
      <c r="AJ20" s="5">
        <f>IF(K20=K$50,1,0)</f>
        <v>1</v>
      </c>
      <c r="AK20" s="5">
        <f>IF(L20=L$50,1,0)</f>
        <v>1</v>
      </c>
      <c r="AL20" s="5">
        <f>IF(M20=M$50,1,0)</f>
        <v>1</v>
      </c>
      <c r="AM20" s="5">
        <f>IF(N20=N$50,1,0)</f>
        <v>1</v>
      </c>
      <c r="AN20" s="5">
        <f>IF(O20=O$50,1,0)</f>
        <v>1</v>
      </c>
      <c r="AO20" s="5">
        <f>IF(P20=P$50,1,0)</f>
        <v>1</v>
      </c>
      <c r="AP20" s="5">
        <f>IF(Q20=Q$50,1,0)</f>
        <v>1</v>
      </c>
      <c r="AQ20" s="5">
        <f>IF(R20=R$50,1,0)</f>
        <v>1</v>
      </c>
      <c r="AR20" s="5">
        <f>IF(S20=S$50,1,0)</f>
        <v>1</v>
      </c>
      <c r="AS20" s="5">
        <f>IF(T20=T$50,1,0)</f>
        <v>1</v>
      </c>
      <c r="AT20" s="5">
        <f>IF(U20=U$50,1,0)</f>
        <v>1</v>
      </c>
      <c r="AU20" s="5">
        <f>IF(V20=V$50,1,0)</f>
        <v>1</v>
      </c>
      <c r="AV20" s="5">
        <f>IF(W20=W$50,1,0)</f>
        <v>1</v>
      </c>
      <c r="AW20" s="5">
        <f>IF(X20=X$50,1,0)</f>
        <v>1</v>
      </c>
      <c r="AX20" s="5">
        <f>IF(Y20=Y$50,1,0)</f>
        <v>1</v>
      </c>
      <c r="AY20" s="5">
        <f>IF(Z20=Z$50,1,0)</f>
        <v>1</v>
      </c>
      <c r="AZ20" s="5">
        <f>IF(AA20=AA$50,1,0)</f>
        <v>1</v>
      </c>
      <c r="BA20" s="5">
        <f>IF(AB20=AB$50,1,0)</f>
        <v>1</v>
      </c>
      <c r="BB20" s="5">
        <f>IF(AC20=AC$50,1,0)</f>
        <v>1</v>
      </c>
      <c r="BC20" s="5">
        <f>IF(AD20=AD$50,1,0)</f>
        <v>1</v>
      </c>
      <c r="BD20" s="5">
        <f>IF(AE20=AE$50,1,0)</f>
        <v>1</v>
      </c>
      <c r="BE20" s="5">
        <f>IF(AF20=AF$50,1,0)</f>
        <v>1</v>
      </c>
      <c r="BF20" s="5"/>
      <c r="BG20" s="5">
        <f>SUM(AG20:BF20)*4</f>
        <v>100</v>
      </c>
    </row>
    <row r="21" ht="22.5" customHeight="1" spans="1:59">
      <c r="A21" s="2">
        <v>45995.3164482407</v>
      </c>
      <c r="B21" s="3" t="s">
        <v>145</v>
      </c>
      <c r="C21" s="4">
        <v>20</v>
      </c>
      <c r="D21" s="3" t="s">
        <v>146</v>
      </c>
      <c r="E21" s="3" t="s">
        <v>60</v>
      </c>
      <c r="F21" s="3" t="s">
        <v>145</v>
      </c>
      <c r="G21" s="3">
        <v>12345</v>
      </c>
      <c r="H21" s="3" t="s">
        <v>61</v>
      </c>
      <c r="I21" s="3" t="s">
        <v>62</v>
      </c>
      <c r="J21" s="3" t="s">
        <v>63</v>
      </c>
      <c r="K21" s="3" t="s">
        <v>64</v>
      </c>
      <c r="L21" s="3" t="s">
        <v>65</v>
      </c>
      <c r="M21" s="3" t="s">
        <v>66</v>
      </c>
      <c r="N21" s="3" t="s">
        <v>67</v>
      </c>
      <c r="O21" s="3" t="s">
        <v>68</v>
      </c>
      <c r="P21" s="3" t="s">
        <v>69</v>
      </c>
      <c r="Q21" s="3" t="s">
        <v>70</v>
      </c>
      <c r="R21" s="3" t="s">
        <v>71</v>
      </c>
      <c r="S21" s="3" t="s">
        <v>72</v>
      </c>
      <c r="T21" s="3" t="s">
        <v>73</v>
      </c>
      <c r="U21" s="3" t="s">
        <v>74</v>
      </c>
      <c r="V21" s="3" t="s">
        <v>75</v>
      </c>
      <c r="W21" s="3" t="s">
        <v>76</v>
      </c>
      <c r="X21" s="3" t="s">
        <v>77</v>
      </c>
      <c r="Y21" s="3" t="s">
        <v>78</v>
      </c>
      <c r="Z21" s="3" t="s">
        <v>79</v>
      </c>
      <c r="AA21" s="3" t="s">
        <v>80</v>
      </c>
      <c r="AB21" s="3">
        <v>5</v>
      </c>
      <c r="AC21" s="3">
        <v>18</v>
      </c>
      <c r="AD21" s="3">
        <v>26</v>
      </c>
      <c r="AE21" s="3">
        <v>1</v>
      </c>
      <c r="AF21" s="3">
        <v>3</v>
      </c>
      <c r="AG21" s="5">
        <f>IF(H21=H$50,1,0)</f>
        <v>1</v>
      </c>
      <c r="AH21" s="5">
        <f>IF(I21=I$50,1,0)</f>
        <v>1</v>
      </c>
      <c r="AI21" s="5">
        <f>IF(J21=J$50,1,0)</f>
        <v>1</v>
      </c>
      <c r="AJ21" s="5">
        <f>IF(K21=K$50,1,0)</f>
        <v>1</v>
      </c>
      <c r="AK21" s="5">
        <f>IF(L21=L$50,1,0)</f>
        <v>1</v>
      </c>
      <c r="AL21" s="5">
        <f>IF(M21=M$50,1,0)</f>
        <v>1</v>
      </c>
      <c r="AM21" s="5">
        <f>IF(N21=N$50,1,0)</f>
        <v>1</v>
      </c>
      <c r="AN21" s="5">
        <f>IF(O21=O$50,1,0)</f>
        <v>1</v>
      </c>
      <c r="AO21" s="5">
        <f>IF(P21=P$50,1,0)</f>
        <v>1</v>
      </c>
      <c r="AP21" s="5">
        <f>IF(Q21=Q$50,1,0)</f>
        <v>1</v>
      </c>
      <c r="AQ21" s="5">
        <f>IF(R21=R$50,1,0)</f>
        <v>1</v>
      </c>
      <c r="AR21" s="5">
        <f>IF(S21=S$50,1,0)</f>
        <v>1</v>
      </c>
      <c r="AS21" s="5">
        <f>IF(T21=T$50,1,0)</f>
        <v>1</v>
      </c>
      <c r="AT21" s="5">
        <f>IF(U21=U$50,1,0)</f>
        <v>1</v>
      </c>
      <c r="AU21" s="5">
        <f>IF(V21=V$50,1,0)</f>
        <v>1</v>
      </c>
      <c r="AV21" s="5">
        <f>IF(W21=W$50,1,0)</f>
        <v>1</v>
      </c>
      <c r="AW21" s="5">
        <f>IF(X21=X$50,1,0)</f>
        <v>1</v>
      </c>
      <c r="AX21" s="5">
        <f>IF(Y21=Y$50,1,0)</f>
        <v>1</v>
      </c>
      <c r="AY21" s="5">
        <f>IF(Z21=Z$50,1,0)</f>
        <v>1</v>
      </c>
      <c r="AZ21" s="5">
        <f>IF(AA21=AA$50,1,0)</f>
        <v>1</v>
      </c>
      <c r="BA21" s="5">
        <f>IF(AB21=AB$50,1,0)</f>
        <v>1</v>
      </c>
      <c r="BB21" s="5">
        <f>IF(AC21=AC$50,1,0)</f>
        <v>1</v>
      </c>
      <c r="BC21" s="5">
        <f>IF(AD21=AD$50,1,0)</f>
        <v>1</v>
      </c>
      <c r="BD21" s="5">
        <f>IF(AE21=AE$50,1,0)</f>
        <v>1</v>
      </c>
      <c r="BE21" s="5">
        <f>IF(AF21=AF$50,1,0)</f>
        <v>1</v>
      </c>
      <c r="BF21" s="5"/>
      <c r="BG21" s="5">
        <f>SUM(AG21:BF21)*4</f>
        <v>100</v>
      </c>
    </row>
    <row r="22" ht="22.5" customHeight="1" spans="1:59">
      <c r="A22" s="2">
        <v>45995.3111365972</v>
      </c>
      <c r="B22" s="3" t="s">
        <v>147</v>
      </c>
      <c r="C22" s="4">
        <v>20</v>
      </c>
      <c r="D22" s="3" t="s">
        <v>148</v>
      </c>
      <c r="E22" s="3" t="s">
        <v>60</v>
      </c>
      <c r="F22" s="3" t="s">
        <v>147</v>
      </c>
      <c r="G22" s="3">
        <v>12345</v>
      </c>
      <c r="H22" s="3" t="s">
        <v>61</v>
      </c>
      <c r="I22" s="3" t="s">
        <v>62</v>
      </c>
      <c r="J22" s="3" t="s">
        <v>63</v>
      </c>
      <c r="K22" s="3" t="s">
        <v>64</v>
      </c>
      <c r="L22" s="3" t="s">
        <v>65</v>
      </c>
      <c r="M22" s="3" t="s">
        <v>66</v>
      </c>
      <c r="N22" s="3" t="s">
        <v>67</v>
      </c>
      <c r="O22" s="3" t="s">
        <v>68</v>
      </c>
      <c r="P22" s="3" t="s">
        <v>69</v>
      </c>
      <c r="Q22" s="3" t="s">
        <v>70</v>
      </c>
      <c r="R22" s="3" t="s">
        <v>71</v>
      </c>
      <c r="S22" s="3" t="s">
        <v>72</v>
      </c>
      <c r="T22" s="3" t="s">
        <v>73</v>
      </c>
      <c r="U22" s="3" t="s">
        <v>74</v>
      </c>
      <c r="V22" s="3" t="s">
        <v>75</v>
      </c>
      <c r="W22" s="3" t="s">
        <v>76</v>
      </c>
      <c r="X22" s="3" t="s">
        <v>77</v>
      </c>
      <c r="Y22" s="3" t="s">
        <v>78</v>
      </c>
      <c r="Z22" s="3" t="s">
        <v>79</v>
      </c>
      <c r="AA22" s="3" t="s">
        <v>80</v>
      </c>
      <c r="AB22" s="3">
        <v>5</v>
      </c>
      <c r="AC22" s="3">
        <v>18</v>
      </c>
      <c r="AD22" s="3">
        <v>26</v>
      </c>
      <c r="AE22" s="3">
        <v>1</v>
      </c>
      <c r="AF22" s="3">
        <v>3</v>
      </c>
      <c r="AG22" s="5">
        <f>IF(H22=H$50,1,0)</f>
        <v>1</v>
      </c>
      <c r="AH22" s="5">
        <f>IF(I22=I$50,1,0)</f>
        <v>1</v>
      </c>
      <c r="AI22" s="5">
        <f>IF(J22=J$50,1,0)</f>
        <v>1</v>
      </c>
      <c r="AJ22" s="5">
        <f>IF(K22=K$50,1,0)</f>
        <v>1</v>
      </c>
      <c r="AK22" s="5">
        <f>IF(L22=L$50,1,0)</f>
        <v>1</v>
      </c>
      <c r="AL22" s="5">
        <f>IF(M22=M$50,1,0)</f>
        <v>1</v>
      </c>
      <c r="AM22" s="5">
        <f>IF(N22=N$50,1,0)</f>
        <v>1</v>
      </c>
      <c r="AN22" s="5">
        <f>IF(O22=O$50,1,0)</f>
        <v>1</v>
      </c>
      <c r="AO22" s="5">
        <f>IF(P22=P$50,1,0)</f>
        <v>1</v>
      </c>
      <c r="AP22" s="5">
        <f>IF(Q22=Q$50,1,0)</f>
        <v>1</v>
      </c>
      <c r="AQ22" s="5">
        <f>IF(R22=R$50,1,0)</f>
        <v>1</v>
      </c>
      <c r="AR22" s="5">
        <f>IF(S22=S$50,1,0)</f>
        <v>1</v>
      </c>
      <c r="AS22" s="5">
        <f>IF(T22=T$50,1,0)</f>
        <v>1</v>
      </c>
      <c r="AT22" s="5">
        <f>IF(U22=U$50,1,0)</f>
        <v>1</v>
      </c>
      <c r="AU22" s="5">
        <f>IF(V22=V$50,1,0)</f>
        <v>1</v>
      </c>
      <c r="AV22" s="5">
        <f>IF(W22=W$50,1,0)</f>
        <v>1</v>
      </c>
      <c r="AW22" s="5">
        <f>IF(X22=X$50,1,0)</f>
        <v>1</v>
      </c>
      <c r="AX22" s="5">
        <f>IF(Y22=Y$50,1,0)</f>
        <v>1</v>
      </c>
      <c r="AY22" s="5">
        <f>IF(Z22=Z$50,1,0)</f>
        <v>1</v>
      </c>
      <c r="AZ22" s="5">
        <f>IF(AA22=AA$50,1,0)</f>
        <v>1</v>
      </c>
      <c r="BA22" s="5">
        <f>IF(AB22=AB$50,1,0)</f>
        <v>1</v>
      </c>
      <c r="BB22" s="5">
        <f>IF(AC22=AC$50,1,0)</f>
        <v>1</v>
      </c>
      <c r="BC22" s="5">
        <f>IF(AD22=AD$50,1,0)</f>
        <v>1</v>
      </c>
      <c r="BD22" s="5">
        <f>IF(AE22=AE$50,1,0)</f>
        <v>1</v>
      </c>
      <c r="BE22" s="5">
        <f>IF(AF22=AF$50,1,0)</f>
        <v>1</v>
      </c>
      <c r="BF22" s="5"/>
      <c r="BG22" s="5">
        <f>SUM(AG22:BF22)*4</f>
        <v>100</v>
      </c>
    </row>
    <row r="23" ht="22.5" customHeight="1" spans="1:59">
      <c r="A23" s="2">
        <v>45995.3064703357</v>
      </c>
      <c r="B23" s="3" t="s">
        <v>149</v>
      </c>
      <c r="C23" s="4">
        <v>20</v>
      </c>
      <c r="D23" s="3" t="s">
        <v>150</v>
      </c>
      <c r="E23" s="3" t="s">
        <v>60</v>
      </c>
      <c r="F23" s="3" t="s">
        <v>149</v>
      </c>
      <c r="G23" s="3">
        <v>12345</v>
      </c>
      <c r="H23" s="3" t="s">
        <v>61</v>
      </c>
      <c r="I23" s="3" t="s">
        <v>62</v>
      </c>
      <c r="J23" s="3" t="s">
        <v>63</v>
      </c>
      <c r="K23" s="3" t="s">
        <v>64</v>
      </c>
      <c r="L23" s="3" t="s">
        <v>65</v>
      </c>
      <c r="M23" s="3" t="s">
        <v>66</v>
      </c>
      <c r="N23" s="3" t="s">
        <v>67</v>
      </c>
      <c r="O23" s="3" t="s">
        <v>68</v>
      </c>
      <c r="P23" s="3" t="s">
        <v>69</v>
      </c>
      <c r="Q23" s="3" t="s">
        <v>70</v>
      </c>
      <c r="R23" s="3" t="s">
        <v>71</v>
      </c>
      <c r="S23" s="3" t="s">
        <v>72</v>
      </c>
      <c r="T23" s="3" t="s">
        <v>73</v>
      </c>
      <c r="U23" s="3" t="s">
        <v>74</v>
      </c>
      <c r="V23" s="3" t="s">
        <v>75</v>
      </c>
      <c r="W23" s="3" t="s">
        <v>76</v>
      </c>
      <c r="X23" s="3" t="s">
        <v>77</v>
      </c>
      <c r="Y23" s="3" t="s">
        <v>78</v>
      </c>
      <c r="Z23" s="3" t="s">
        <v>79</v>
      </c>
      <c r="AA23" s="3" t="s">
        <v>80</v>
      </c>
      <c r="AB23" s="3">
        <v>5</v>
      </c>
      <c r="AC23" s="3">
        <v>18</v>
      </c>
      <c r="AD23" s="3">
        <v>26</v>
      </c>
      <c r="AE23" s="3">
        <v>1</v>
      </c>
      <c r="AF23" s="3">
        <v>3</v>
      </c>
      <c r="AG23" s="5">
        <f>IF(H23=H$50,1,0)</f>
        <v>1</v>
      </c>
      <c r="AH23" s="5">
        <f>IF(I23=I$50,1,0)</f>
        <v>1</v>
      </c>
      <c r="AI23" s="5">
        <f>IF(J23=J$50,1,0)</f>
        <v>1</v>
      </c>
      <c r="AJ23" s="5">
        <f>IF(K23=K$50,1,0)</f>
        <v>1</v>
      </c>
      <c r="AK23" s="5">
        <f>IF(L23=L$50,1,0)</f>
        <v>1</v>
      </c>
      <c r="AL23" s="5">
        <f>IF(M23=M$50,1,0)</f>
        <v>1</v>
      </c>
      <c r="AM23" s="5">
        <f>IF(N23=N$50,1,0)</f>
        <v>1</v>
      </c>
      <c r="AN23" s="5">
        <f>IF(O23=O$50,1,0)</f>
        <v>1</v>
      </c>
      <c r="AO23" s="5">
        <f>IF(P23=P$50,1,0)</f>
        <v>1</v>
      </c>
      <c r="AP23" s="5">
        <f>IF(Q23=Q$50,1,0)</f>
        <v>1</v>
      </c>
      <c r="AQ23" s="5">
        <f>IF(R23=R$50,1,0)</f>
        <v>1</v>
      </c>
      <c r="AR23" s="5">
        <f>IF(S23=S$50,1,0)</f>
        <v>1</v>
      </c>
      <c r="AS23" s="5">
        <f>IF(T23=T$50,1,0)</f>
        <v>1</v>
      </c>
      <c r="AT23" s="5">
        <f>IF(U23=U$50,1,0)</f>
        <v>1</v>
      </c>
      <c r="AU23" s="5">
        <f>IF(V23=V$50,1,0)</f>
        <v>1</v>
      </c>
      <c r="AV23" s="5">
        <f>IF(W23=W$50,1,0)</f>
        <v>1</v>
      </c>
      <c r="AW23" s="5">
        <f>IF(X23=X$50,1,0)</f>
        <v>1</v>
      </c>
      <c r="AX23" s="5">
        <f>IF(Y23=Y$50,1,0)</f>
        <v>1</v>
      </c>
      <c r="AY23" s="5">
        <f>IF(Z23=Z$50,1,0)</f>
        <v>1</v>
      </c>
      <c r="AZ23" s="5">
        <f>IF(AA23=AA$50,1,0)</f>
        <v>1</v>
      </c>
      <c r="BA23" s="5">
        <f>IF(AB23=AB$50,1,0)</f>
        <v>1</v>
      </c>
      <c r="BB23" s="5">
        <f>IF(AC23=AC$50,1,0)</f>
        <v>1</v>
      </c>
      <c r="BC23" s="5">
        <f>IF(AD23=AD$50,1,0)</f>
        <v>1</v>
      </c>
      <c r="BD23" s="5">
        <f>IF(AE23=AE$50,1,0)</f>
        <v>1</v>
      </c>
      <c r="BE23" s="5">
        <f>IF(AF23=AF$50,1,0)</f>
        <v>1</v>
      </c>
      <c r="BF23" s="5"/>
      <c r="BG23" s="5">
        <f>SUM(AG23:BF23)*4</f>
        <v>100</v>
      </c>
    </row>
    <row r="24" ht="22.5" customHeight="1" spans="1:59">
      <c r="A24" s="2">
        <v>45995.3138861343</v>
      </c>
      <c r="B24" s="3" t="s">
        <v>151</v>
      </c>
      <c r="C24" s="4">
        <v>15</v>
      </c>
      <c r="D24" s="3" t="s">
        <v>152</v>
      </c>
      <c r="E24" s="3" t="s">
        <v>60</v>
      </c>
      <c r="F24" s="3" t="s">
        <v>151</v>
      </c>
      <c r="G24" s="3">
        <v>12345</v>
      </c>
      <c r="H24" s="3" t="s">
        <v>61</v>
      </c>
      <c r="I24" s="3" t="s">
        <v>62</v>
      </c>
      <c r="J24" s="3" t="s">
        <v>63</v>
      </c>
      <c r="K24" s="3" t="s">
        <v>64</v>
      </c>
      <c r="L24" s="3" t="s">
        <v>65</v>
      </c>
      <c r="M24" s="3" t="s">
        <v>153</v>
      </c>
      <c r="N24" s="3" t="s">
        <v>67</v>
      </c>
      <c r="O24" s="3" t="s">
        <v>68</v>
      </c>
      <c r="P24" s="3" t="s">
        <v>69</v>
      </c>
      <c r="Q24" s="3" t="s">
        <v>70</v>
      </c>
      <c r="R24" s="3" t="s">
        <v>71</v>
      </c>
      <c r="S24" s="3" t="s">
        <v>154</v>
      </c>
      <c r="T24" s="3" t="s">
        <v>92</v>
      </c>
      <c r="U24" s="3" t="s">
        <v>74</v>
      </c>
      <c r="V24" s="3" t="s">
        <v>75</v>
      </c>
      <c r="W24" s="3" t="s">
        <v>76</v>
      </c>
      <c r="X24" s="3" t="s">
        <v>87</v>
      </c>
      <c r="Y24" s="3" t="s">
        <v>84</v>
      </c>
      <c r="Z24" s="3" t="s">
        <v>79</v>
      </c>
      <c r="AA24" s="3" t="s">
        <v>80</v>
      </c>
      <c r="AB24" s="3">
        <v>4</v>
      </c>
      <c r="AC24" s="3">
        <v>4</v>
      </c>
      <c r="AD24" s="3" t="s">
        <v>155</v>
      </c>
      <c r="AE24" s="3" t="s">
        <v>156</v>
      </c>
      <c r="AF24" s="3" t="s">
        <v>157</v>
      </c>
      <c r="AG24" s="5">
        <f>IF(H24=H$50,1,0)</f>
        <v>1</v>
      </c>
      <c r="AH24" s="5">
        <f>IF(I24=I$50,1,0)</f>
        <v>1</v>
      </c>
      <c r="AI24" s="5">
        <f>IF(J24=J$50,1,0)</f>
        <v>1</v>
      </c>
      <c r="AJ24" s="5">
        <f>IF(K24=K$50,1,0)</f>
        <v>1</v>
      </c>
      <c r="AK24" s="5">
        <f>IF(L24=L$50,1,0)</f>
        <v>1</v>
      </c>
      <c r="AL24" s="5">
        <f>IF(M24=M$50,1,0)</f>
        <v>0</v>
      </c>
      <c r="AM24" s="5">
        <f>IF(N24=N$50,1,0)</f>
        <v>1</v>
      </c>
      <c r="AN24" s="5">
        <f>IF(O24=O$50,1,0)</f>
        <v>1</v>
      </c>
      <c r="AO24" s="5">
        <f>IF(P24=P$50,1,0)</f>
        <v>1</v>
      </c>
      <c r="AP24" s="5">
        <f>IF(Q24=Q$50,1,0)</f>
        <v>1</v>
      </c>
      <c r="AQ24" s="5">
        <f>IF(R24=R$50,1,0)</f>
        <v>1</v>
      </c>
      <c r="AR24" s="5">
        <f>IF(S24=S$50,1,0)</f>
        <v>0</v>
      </c>
      <c r="AS24" s="5">
        <f>IF(T24=T$50,1,0)</f>
        <v>0</v>
      </c>
      <c r="AT24" s="5">
        <f>IF(U24=U$50,1,0)</f>
        <v>1</v>
      </c>
      <c r="AU24" s="5">
        <f>IF(V24=V$50,1,0)</f>
        <v>1</v>
      </c>
      <c r="AV24" s="5">
        <f>IF(W24=W$50,1,0)</f>
        <v>1</v>
      </c>
      <c r="AW24" s="5">
        <f>IF(X24=X$50,1,0)</f>
        <v>0</v>
      </c>
      <c r="AX24" s="5">
        <f>IF(Y24=Y$50,1,0)</f>
        <v>0</v>
      </c>
      <c r="AY24" s="5">
        <f>IF(Z24=Z$50,1,0)</f>
        <v>1</v>
      </c>
      <c r="AZ24" s="5">
        <f>IF(AA24=AA$50,1,0)</f>
        <v>1</v>
      </c>
      <c r="BA24" s="5">
        <f>IF(AB24=AB$50,1,0)</f>
        <v>0</v>
      </c>
      <c r="BB24" s="5">
        <f>IF(AC24=AC$50,1,0)</f>
        <v>0</v>
      </c>
      <c r="BC24" s="5">
        <f>IF(AD24=AD$50,1,0)</f>
        <v>0</v>
      </c>
      <c r="BD24" s="5">
        <f>IF(AE24=AE$50,1,0)</f>
        <v>0</v>
      </c>
      <c r="BE24" s="5">
        <f>IF(AF24=AF$50,1,0)</f>
        <v>0</v>
      </c>
      <c r="BF24" s="5"/>
      <c r="BG24" s="5">
        <f>SUM(AG24:BF24)*4</f>
        <v>60</v>
      </c>
    </row>
    <row r="25" ht="22.5" customHeight="1" spans="1:59">
      <c r="A25" s="2">
        <v>45995.3156097917</v>
      </c>
      <c r="B25" s="3" t="s">
        <v>158</v>
      </c>
      <c r="C25" s="4">
        <v>9</v>
      </c>
      <c r="D25" s="3" t="s">
        <v>159</v>
      </c>
      <c r="E25" s="3" t="s">
        <v>60</v>
      </c>
      <c r="F25" s="3" t="s">
        <v>158</v>
      </c>
      <c r="G25" s="3">
        <v>12345</v>
      </c>
      <c r="H25" s="3" t="s">
        <v>61</v>
      </c>
      <c r="I25" s="3" t="s">
        <v>160</v>
      </c>
      <c r="J25" s="3" t="s">
        <v>161</v>
      </c>
      <c r="K25" s="3" t="s">
        <v>64</v>
      </c>
      <c r="L25" s="3" t="s">
        <v>65</v>
      </c>
      <c r="M25" s="3" t="s">
        <v>66</v>
      </c>
      <c r="N25" s="3" t="s">
        <v>88</v>
      </c>
      <c r="O25" s="3" t="s">
        <v>162</v>
      </c>
      <c r="P25" s="3" t="s">
        <v>105</v>
      </c>
      <c r="Q25" s="3" t="s">
        <v>163</v>
      </c>
      <c r="R25" s="3" t="s">
        <v>84</v>
      </c>
      <c r="S25" s="3" t="s">
        <v>154</v>
      </c>
      <c r="T25" s="3" t="s">
        <v>97</v>
      </c>
      <c r="U25" s="3" t="s">
        <v>74</v>
      </c>
      <c r="V25" s="3" t="s">
        <v>75</v>
      </c>
      <c r="W25" s="3" t="s">
        <v>94</v>
      </c>
      <c r="X25" s="3" t="s">
        <v>77</v>
      </c>
      <c r="Y25" s="3" t="s">
        <v>78</v>
      </c>
      <c r="Z25" s="3" t="s">
        <v>97</v>
      </c>
      <c r="AA25" s="3" t="s">
        <v>80</v>
      </c>
      <c r="AB25" s="3">
        <v>5</v>
      </c>
      <c r="AC25" s="3">
        <v>18</v>
      </c>
      <c r="AD25" s="3">
        <v>26</v>
      </c>
      <c r="AE25" s="3">
        <v>1</v>
      </c>
      <c r="AF25" s="3">
        <v>3</v>
      </c>
      <c r="AG25" s="5">
        <f>IF(H25=H$50,1,0)</f>
        <v>1</v>
      </c>
      <c r="AH25" s="5">
        <f>IF(I25=I$50,1,0)</f>
        <v>0</v>
      </c>
      <c r="AI25" s="5">
        <f>IF(J25=J$50,1,0)</f>
        <v>0</v>
      </c>
      <c r="AJ25" s="5">
        <f>IF(K25=K$50,1,0)</f>
        <v>1</v>
      </c>
      <c r="AK25" s="5">
        <f>IF(L25=L$50,1,0)</f>
        <v>1</v>
      </c>
      <c r="AL25" s="5">
        <f>IF(M25=M$50,1,0)</f>
        <v>1</v>
      </c>
      <c r="AM25" s="5">
        <f>IF(N25=N$50,1,0)</f>
        <v>0</v>
      </c>
      <c r="AN25" s="5">
        <f>IF(O25=O$50,1,0)</f>
        <v>0</v>
      </c>
      <c r="AO25" s="5">
        <f>IF(P25=P$50,1,0)</f>
        <v>0</v>
      </c>
      <c r="AP25" s="5">
        <f>IF(Q25=Q$50,1,0)</f>
        <v>0</v>
      </c>
      <c r="AQ25" s="5">
        <f>IF(R25=R$50,1,0)</f>
        <v>0</v>
      </c>
      <c r="AR25" s="5">
        <f>IF(S25=S$50,1,0)</f>
        <v>0</v>
      </c>
      <c r="AS25" s="5">
        <f>IF(T25=T$50,1,0)</f>
        <v>0</v>
      </c>
      <c r="AT25" s="5">
        <f>IF(U25=U$50,1,0)</f>
        <v>1</v>
      </c>
      <c r="AU25" s="5">
        <f>IF(V25=V$50,1,0)</f>
        <v>1</v>
      </c>
      <c r="AV25" s="5">
        <f>IF(W25=W$50,1,0)</f>
        <v>0</v>
      </c>
      <c r="AW25" s="5">
        <f>IF(X25=X$50,1,0)</f>
        <v>1</v>
      </c>
      <c r="AX25" s="5">
        <f>IF(Y25=Y$50,1,0)</f>
        <v>1</v>
      </c>
      <c r="AY25" s="5">
        <f>IF(Z25=Z$50,1,0)</f>
        <v>0</v>
      </c>
      <c r="AZ25" s="5">
        <f>IF(AA25=AA$50,1,0)</f>
        <v>1</v>
      </c>
      <c r="BA25" s="5">
        <f>IF(AB25=AB$50,1,0)</f>
        <v>1</v>
      </c>
      <c r="BB25" s="5">
        <f>IF(AC25=AC$50,1,0)</f>
        <v>1</v>
      </c>
      <c r="BC25" s="5">
        <f>IF(AD25=AD$50,1,0)</f>
        <v>1</v>
      </c>
      <c r="BD25" s="5">
        <f>IF(AE25=AE$50,1,0)</f>
        <v>1</v>
      </c>
      <c r="BE25" s="5">
        <f>IF(AF25=AF$50,1,0)</f>
        <v>1</v>
      </c>
      <c r="BF25" s="5"/>
      <c r="BG25" s="5">
        <f>SUM(AG25:BF25)*4</f>
        <v>56</v>
      </c>
    </row>
    <row r="26" ht="22.5" customHeight="1" spans="1:59">
      <c r="A26" s="2">
        <v>45995.315711412</v>
      </c>
      <c r="B26" s="3" t="s">
        <v>164</v>
      </c>
      <c r="C26" s="4">
        <v>16</v>
      </c>
      <c r="D26" s="3" t="s">
        <v>165</v>
      </c>
      <c r="E26" s="3" t="s">
        <v>60</v>
      </c>
      <c r="F26" s="3" t="s">
        <v>164</v>
      </c>
      <c r="G26" s="3">
        <v>12345</v>
      </c>
      <c r="H26" s="3" t="s">
        <v>96</v>
      </c>
      <c r="I26" s="3" t="s">
        <v>62</v>
      </c>
      <c r="J26" s="3" t="s">
        <v>63</v>
      </c>
      <c r="K26" s="3" t="s">
        <v>64</v>
      </c>
      <c r="L26" s="3" t="s">
        <v>65</v>
      </c>
      <c r="M26" s="3" t="s">
        <v>66</v>
      </c>
      <c r="N26" s="3" t="s">
        <v>67</v>
      </c>
      <c r="O26" s="3" t="s">
        <v>86</v>
      </c>
      <c r="P26" s="3" t="s">
        <v>69</v>
      </c>
      <c r="Q26" s="3" t="s">
        <v>70</v>
      </c>
      <c r="R26" s="3" t="s">
        <v>71</v>
      </c>
      <c r="S26" s="3" t="s">
        <v>72</v>
      </c>
      <c r="T26" s="3" t="s">
        <v>73</v>
      </c>
      <c r="U26" s="3" t="s">
        <v>69</v>
      </c>
      <c r="V26" s="3" t="s">
        <v>75</v>
      </c>
      <c r="W26" s="3" t="s">
        <v>76</v>
      </c>
      <c r="X26" s="3" t="s">
        <v>77</v>
      </c>
      <c r="Y26" s="3" t="s">
        <v>107</v>
      </c>
      <c r="Z26" s="3" t="s">
        <v>79</v>
      </c>
      <c r="AA26" s="3" t="s">
        <v>80</v>
      </c>
      <c r="AB26" s="3">
        <v>5</v>
      </c>
      <c r="AC26" s="3">
        <v>18</v>
      </c>
      <c r="AD26" s="3">
        <v>26</v>
      </c>
      <c r="AE26" s="3">
        <v>1</v>
      </c>
      <c r="AF26" s="3">
        <v>3</v>
      </c>
      <c r="AG26" s="5">
        <f>IF(H26=H$50,1,0)</f>
        <v>0</v>
      </c>
      <c r="AH26" s="5">
        <f>IF(I26=I$50,1,0)</f>
        <v>1</v>
      </c>
      <c r="AI26" s="5">
        <f>IF(J26=J$50,1,0)</f>
        <v>1</v>
      </c>
      <c r="AJ26" s="5">
        <f>IF(K26=K$50,1,0)</f>
        <v>1</v>
      </c>
      <c r="AK26" s="5">
        <f>IF(L26=L$50,1,0)</f>
        <v>1</v>
      </c>
      <c r="AL26" s="5">
        <f>IF(M26=M$50,1,0)</f>
        <v>1</v>
      </c>
      <c r="AM26" s="5">
        <f>IF(N26=N$50,1,0)</f>
        <v>1</v>
      </c>
      <c r="AN26" s="5">
        <f>IF(O26=O$50,1,0)</f>
        <v>0</v>
      </c>
      <c r="AO26" s="5">
        <f>IF(P26=P$50,1,0)</f>
        <v>1</v>
      </c>
      <c r="AP26" s="5">
        <f>IF(Q26=Q$50,1,0)</f>
        <v>1</v>
      </c>
      <c r="AQ26" s="5">
        <f>IF(R26=R$50,1,0)</f>
        <v>1</v>
      </c>
      <c r="AR26" s="5">
        <f>IF(S26=S$50,1,0)</f>
        <v>1</v>
      </c>
      <c r="AS26" s="5">
        <f>IF(T26=T$50,1,0)</f>
        <v>1</v>
      </c>
      <c r="AT26" s="5">
        <f>IF(U26=U$50,1,0)</f>
        <v>0</v>
      </c>
      <c r="AU26" s="5">
        <f>IF(V26=V$50,1,0)</f>
        <v>1</v>
      </c>
      <c r="AV26" s="5">
        <f>IF(W26=W$50,1,0)</f>
        <v>1</v>
      </c>
      <c r="AW26" s="5">
        <f>IF(X26=X$50,1,0)</f>
        <v>1</v>
      </c>
      <c r="AX26" s="5">
        <f>IF(Y26=Y$50,1,0)</f>
        <v>0</v>
      </c>
      <c r="AY26" s="5">
        <f>IF(Z26=Z$50,1,0)</f>
        <v>1</v>
      </c>
      <c r="AZ26" s="5">
        <f>IF(AA26=AA$50,1,0)</f>
        <v>1</v>
      </c>
      <c r="BA26" s="5">
        <f>IF(AB26=AB$50,1,0)</f>
        <v>1</v>
      </c>
      <c r="BB26" s="5">
        <f>IF(AC26=AC$50,1,0)</f>
        <v>1</v>
      </c>
      <c r="BC26" s="5">
        <f>IF(AD26=AD$50,1,0)</f>
        <v>1</v>
      </c>
      <c r="BD26" s="5">
        <f>IF(AE26=AE$50,1,0)</f>
        <v>1</v>
      </c>
      <c r="BE26" s="5">
        <f>IF(AF26=AF$50,1,0)</f>
        <v>1</v>
      </c>
      <c r="BF26" s="5"/>
      <c r="BG26" s="5">
        <f>SUM(AG26:BF26)*4</f>
        <v>84</v>
      </c>
    </row>
    <row r="27" ht="22.5" customHeight="1" spans="1:59">
      <c r="A27" s="2">
        <v>45995.3042276273</v>
      </c>
      <c r="B27" s="3" t="s">
        <v>166</v>
      </c>
      <c r="C27" s="4">
        <v>20</v>
      </c>
      <c r="D27" s="3" t="s">
        <v>167</v>
      </c>
      <c r="E27" s="3" t="s">
        <v>60</v>
      </c>
      <c r="F27" s="3" t="s">
        <v>166</v>
      </c>
      <c r="G27" s="3">
        <v>12345</v>
      </c>
      <c r="H27" s="3" t="s">
        <v>61</v>
      </c>
      <c r="I27" s="3" t="s">
        <v>62</v>
      </c>
      <c r="J27" s="3" t="s">
        <v>63</v>
      </c>
      <c r="K27" s="3" t="s">
        <v>64</v>
      </c>
      <c r="L27" s="3" t="s">
        <v>65</v>
      </c>
      <c r="M27" s="3" t="s">
        <v>66</v>
      </c>
      <c r="N27" s="3" t="s">
        <v>67</v>
      </c>
      <c r="O27" s="3" t="s">
        <v>68</v>
      </c>
      <c r="P27" s="3" t="s">
        <v>69</v>
      </c>
      <c r="Q27" s="3" t="s">
        <v>70</v>
      </c>
      <c r="R27" s="3" t="s">
        <v>71</v>
      </c>
      <c r="S27" s="3" t="s">
        <v>72</v>
      </c>
      <c r="T27" s="3" t="s">
        <v>73</v>
      </c>
      <c r="U27" s="3" t="s">
        <v>74</v>
      </c>
      <c r="V27" s="3" t="s">
        <v>75</v>
      </c>
      <c r="W27" s="3" t="s">
        <v>76</v>
      </c>
      <c r="X27" s="3" t="s">
        <v>77</v>
      </c>
      <c r="Y27" s="3" t="s">
        <v>78</v>
      </c>
      <c r="Z27" s="3" t="s">
        <v>79</v>
      </c>
      <c r="AA27" s="3" t="s">
        <v>80</v>
      </c>
      <c r="AB27" s="3">
        <v>5</v>
      </c>
      <c r="AC27" s="3">
        <v>18</v>
      </c>
      <c r="AD27" s="3">
        <v>26</v>
      </c>
      <c r="AE27" s="3">
        <v>1</v>
      </c>
      <c r="AF27" s="3">
        <v>3</v>
      </c>
      <c r="AG27" s="5">
        <f>IF(H27=H$50,1,0)</f>
        <v>1</v>
      </c>
      <c r="AH27" s="5">
        <f>IF(I27=I$50,1,0)</f>
        <v>1</v>
      </c>
      <c r="AI27" s="5">
        <f>IF(J27=J$50,1,0)</f>
        <v>1</v>
      </c>
      <c r="AJ27" s="5">
        <f>IF(K27=K$50,1,0)</f>
        <v>1</v>
      </c>
      <c r="AK27" s="5">
        <f>IF(L27=L$50,1,0)</f>
        <v>1</v>
      </c>
      <c r="AL27" s="5">
        <f>IF(M27=M$50,1,0)</f>
        <v>1</v>
      </c>
      <c r="AM27" s="5">
        <f>IF(N27=N$50,1,0)</f>
        <v>1</v>
      </c>
      <c r="AN27" s="5">
        <f>IF(O27=O$50,1,0)</f>
        <v>1</v>
      </c>
      <c r="AO27" s="5">
        <f>IF(P27=P$50,1,0)</f>
        <v>1</v>
      </c>
      <c r="AP27" s="5">
        <f>IF(Q27=Q$50,1,0)</f>
        <v>1</v>
      </c>
      <c r="AQ27" s="5">
        <f>IF(R27=R$50,1,0)</f>
        <v>1</v>
      </c>
      <c r="AR27" s="5">
        <f>IF(S27=S$50,1,0)</f>
        <v>1</v>
      </c>
      <c r="AS27" s="5">
        <f>IF(T27=T$50,1,0)</f>
        <v>1</v>
      </c>
      <c r="AT27" s="5">
        <f>IF(U27=U$50,1,0)</f>
        <v>1</v>
      </c>
      <c r="AU27" s="5">
        <f>IF(V27=V$50,1,0)</f>
        <v>1</v>
      </c>
      <c r="AV27" s="5">
        <f>IF(W27=W$50,1,0)</f>
        <v>1</v>
      </c>
      <c r="AW27" s="5">
        <f>IF(X27=X$50,1,0)</f>
        <v>1</v>
      </c>
      <c r="AX27" s="5">
        <f>IF(Y27=Y$50,1,0)</f>
        <v>1</v>
      </c>
      <c r="AY27" s="5">
        <f>IF(Z27=Z$50,1,0)</f>
        <v>1</v>
      </c>
      <c r="AZ27" s="5">
        <f>IF(AA27=AA$50,1,0)</f>
        <v>1</v>
      </c>
      <c r="BA27" s="5">
        <f>IF(AB27=AB$50,1,0)</f>
        <v>1</v>
      </c>
      <c r="BB27" s="5">
        <f>IF(AC27=AC$50,1,0)</f>
        <v>1</v>
      </c>
      <c r="BC27" s="5">
        <f>IF(AD27=AD$50,1,0)</f>
        <v>1</v>
      </c>
      <c r="BD27" s="5">
        <f>IF(AE27=AE$50,1,0)</f>
        <v>1</v>
      </c>
      <c r="BE27" s="5">
        <f>IF(AF27=AF$50,1,0)</f>
        <v>1</v>
      </c>
      <c r="BF27" s="5"/>
      <c r="BG27" s="5">
        <f>SUM(AG27:BF27)*4</f>
        <v>100</v>
      </c>
    </row>
    <row r="28" ht="22.5" customHeight="1" spans="1:59">
      <c r="A28" s="2">
        <v>45995.3031251157</v>
      </c>
      <c r="B28" s="3" t="s">
        <v>168</v>
      </c>
      <c r="C28" s="4">
        <v>20</v>
      </c>
      <c r="D28" s="3" t="s">
        <v>169</v>
      </c>
      <c r="E28" s="3" t="s">
        <v>60</v>
      </c>
      <c r="F28" s="3" t="s">
        <v>168</v>
      </c>
      <c r="G28" s="3">
        <v>12345</v>
      </c>
      <c r="H28" s="3" t="s">
        <v>61</v>
      </c>
      <c r="I28" s="3" t="s">
        <v>62</v>
      </c>
      <c r="J28" s="3" t="s">
        <v>63</v>
      </c>
      <c r="K28" s="3" t="s">
        <v>64</v>
      </c>
      <c r="L28" s="3" t="s">
        <v>65</v>
      </c>
      <c r="M28" s="3" t="s">
        <v>66</v>
      </c>
      <c r="N28" s="3" t="s">
        <v>67</v>
      </c>
      <c r="O28" s="3" t="s">
        <v>68</v>
      </c>
      <c r="P28" s="3" t="s">
        <v>69</v>
      </c>
      <c r="Q28" s="3" t="s">
        <v>70</v>
      </c>
      <c r="R28" s="3" t="s">
        <v>71</v>
      </c>
      <c r="S28" s="3" t="s">
        <v>72</v>
      </c>
      <c r="T28" s="3" t="s">
        <v>73</v>
      </c>
      <c r="U28" s="3" t="s">
        <v>74</v>
      </c>
      <c r="V28" s="3" t="s">
        <v>75</v>
      </c>
      <c r="W28" s="3" t="s">
        <v>76</v>
      </c>
      <c r="X28" s="3" t="s">
        <v>77</v>
      </c>
      <c r="Y28" s="3" t="s">
        <v>78</v>
      </c>
      <c r="Z28" s="3" t="s">
        <v>79</v>
      </c>
      <c r="AA28" s="3" t="s">
        <v>80</v>
      </c>
      <c r="AB28" s="3">
        <v>5</v>
      </c>
      <c r="AC28" s="3">
        <v>18</v>
      </c>
      <c r="AD28" s="3">
        <v>26</v>
      </c>
      <c r="AE28" s="3">
        <v>1</v>
      </c>
      <c r="AF28" s="3">
        <v>3</v>
      </c>
      <c r="AG28" s="5">
        <f>IF(H28=H$50,1,0)</f>
        <v>1</v>
      </c>
      <c r="AH28" s="5">
        <f>IF(I28=I$50,1,0)</f>
        <v>1</v>
      </c>
      <c r="AI28" s="5">
        <f>IF(J28=J$50,1,0)</f>
        <v>1</v>
      </c>
      <c r="AJ28" s="5">
        <f>IF(K28=K$50,1,0)</f>
        <v>1</v>
      </c>
      <c r="AK28" s="5">
        <f>IF(L28=L$50,1,0)</f>
        <v>1</v>
      </c>
      <c r="AL28" s="5">
        <f>IF(M28=M$50,1,0)</f>
        <v>1</v>
      </c>
      <c r="AM28" s="5">
        <f>IF(N28=N$50,1,0)</f>
        <v>1</v>
      </c>
      <c r="AN28" s="5">
        <f>IF(O28=O$50,1,0)</f>
        <v>1</v>
      </c>
      <c r="AO28" s="5">
        <f>IF(P28=P$50,1,0)</f>
        <v>1</v>
      </c>
      <c r="AP28" s="5">
        <f>IF(Q28=Q$50,1,0)</f>
        <v>1</v>
      </c>
      <c r="AQ28" s="5">
        <f>IF(R28=R$50,1,0)</f>
        <v>1</v>
      </c>
      <c r="AR28" s="5">
        <f>IF(S28=S$50,1,0)</f>
        <v>1</v>
      </c>
      <c r="AS28" s="5">
        <f>IF(T28=T$50,1,0)</f>
        <v>1</v>
      </c>
      <c r="AT28" s="5">
        <f>IF(U28=U$50,1,0)</f>
        <v>1</v>
      </c>
      <c r="AU28" s="5">
        <f>IF(V28=V$50,1,0)</f>
        <v>1</v>
      </c>
      <c r="AV28" s="5">
        <f>IF(W28=W$50,1,0)</f>
        <v>1</v>
      </c>
      <c r="AW28" s="5">
        <f>IF(X28=X$50,1,0)</f>
        <v>1</v>
      </c>
      <c r="AX28" s="5">
        <f>IF(Y28=Y$50,1,0)</f>
        <v>1</v>
      </c>
      <c r="AY28" s="5">
        <f>IF(Z28=Z$50,1,0)</f>
        <v>1</v>
      </c>
      <c r="AZ28" s="5">
        <f>IF(AA28=AA$50,1,0)</f>
        <v>1</v>
      </c>
      <c r="BA28" s="5">
        <f>IF(AB28=AB$50,1,0)</f>
        <v>1</v>
      </c>
      <c r="BB28" s="5">
        <f>IF(AC28=AC$50,1,0)</f>
        <v>1</v>
      </c>
      <c r="BC28" s="5">
        <f>IF(AD28=AD$50,1,0)</f>
        <v>1</v>
      </c>
      <c r="BD28" s="5">
        <f>IF(AE28=AE$50,1,0)</f>
        <v>1</v>
      </c>
      <c r="BE28" s="5">
        <f>IF(AF28=AF$50,1,0)</f>
        <v>1</v>
      </c>
      <c r="BF28" s="5"/>
      <c r="BG28" s="5">
        <f>SUM(AG28:BF28)*4</f>
        <v>100</v>
      </c>
    </row>
    <row r="29" ht="22.5" customHeight="1" spans="1:59">
      <c r="A29" s="2">
        <v>45995.3157804977</v>
      </c>
      <c r="B29" s="3" t="s">
        <v>170</v>
      </c>
      <c r="C29" s="4">
        <v>19</v>
      </c>
      <c r="D29" s="3" t="s">
        <v>171</v>
      </c>
      <c r="E29" s="3" t="s">
        <v>60</v>
      </c>
      <c r="F29" s="3" t="s">
        <v>170</v>
      </c>
      <c r="G29" s="3">
        <v>12345</v>
      </c>
      <c r="H29" s="3" t="s">
        <v>61</v>
      </c>
      <c r="I29" s="3" t="s">
        <v>62</v>
      </c>
      <c r="J29" s="3" t="s">
        <v>63</v>
      </c>
      <c r="K29" s="3" t="s">
        <v>64</v>
      </c>
      <c r="L29" s="3" t="s">
        <v>65</v>
      </c>
      <c r="M29" s="3" t="s">
        <v>66</v>
      </c>
      <c r="N29" s="3" t="s">
        <v>67</v>
      </c>
      <c r="O29" s="3" t="s">
        <v>68</v>
      </c>
      <c r="P29" s="3" t="s">
        <v>69</v>
      </c>
      <c r="Q29" s="3" t="s">
        <v>70</v>
      </c>
      <c r="R29" s="3" t="s">
        <v>71</v>
      </c>
      <c r="S29" s="3" t="s">
        <v>72</v>
      </c>
      <c r="T29" s="3" t="s">
        <v>73</v>
      </c>
      <c r="U29" s="3" t="s">
        <v>105</v>
      </c>
      <c r="V29" s="3" t="s">
        <v>75</v>
      </c>
      <c r="W29" s="3" t="s">
        <v>76</v>
      </c>
      <c r="X29" s="3" t="s">
        <v>77</v>
      </c>
      <c r="Y29" s="3" t="s">
        <v>78</v>
      </c>
      <c r="Z29" s="3" t="s">
        <v>79</v>
      </c>
      <c r="AA29" s="3" t="s">
        <v>80</v>
      </c>
      <c r="AB29" s="3">
        <v>13</v>
      </c>
      <c r="AC29" s="3">
        <v>18</v>
      </c>
      <c r="AD29" s="3">
        <v>26</v>
      </c>
      <c r="AE29" s="3">
        <v>1</v>
      </c>
      <c r="AF29" s="3">
        <v>3</v>
      </c>
      <c r="AG29" s="5">
        <f>IF(H29=H$50,1,0)</f>
        <v>1</v>
      </c>
      <c r="AH29" s="5">
        <f>IF(I29=I$50,1,0)</f>
        <v>1</v>
      </c>
      <c r="AI29" s="5">
        <f>IF(J29=J$50,1,0)</f>
        <v>1</v>
      </c>
      <c r="AJ29" s="5">
        <f>IF(K29=K$50,1,0)</f>
        <v>1</v>
      </c>
      <c r="AK29" s="5">
        <f>IF(L29=L$50,1,0)</f>
        <v>1</v>
      </c>
      <c r="AL29" s="5">
        <f>IF(M29=M$50,1,0)</f>
        <v>1</v>
      </c>
      <c r="AM29" s="5">
        <f>IF(N29=N$50,1,0)</f>
        <v>1</v>
      </c>
      <c r="AN29" s="5">
        <f>IF(O29=O$50,1,0)</f>
        <v>1</v>
      </c>
      <c r="AO29" s="5">
        <f>IF(P29=P$50,1,0)</f>
        <v>1</v>
      </c>
      <c r="AP29" s="5">
        <f>IF(Q29=Q$50,1,0)</f>
        <v>1</v>
      </c>
      <c r="AQ29" s="5">
        <f>IF(R29=R$50,1,0)</f>
        <v>1</v>
      </c>
      <c r="AR29" s="5">
        <f>IF(S29=S$50,1,0)</f>
        <v>1</v>
      </c>
      <c r="AS29" s="5">
        <f>IF(T29=T$50,1,0)</f>
        <v>1</v>
      </c>
      <c r="AT29" s="5">
        <f>IF(U29=U$50,1,0)</f>
        <v>0</v>
      </c>
      <c r="AU29" s="5">
        <f>IF(V29=V$50,1,0)</f>
        <v>1</v>
      </c>
      <c r="AV29" s="5">
        <f>IF(W29=W$50,1,0)</f>
        <v>1</v>
      </c>
      <c r="AW29" s="5">
        <f>IF(X29=X$50,1,0)</f>
        <v>1</v>
      </c>
      <c r="AX29" s="5">
        <f>IF(Y29=Y$50,1,0)</f>
        <v>1</v>
      </c>
      <c r="AY29" s="5">
        <f>IF(Z29=Z$50,1,0)</f>
        <v>1</v>
      </c>
      <c r="AZ29" s="5">
        <f>IF(AA29=AA$50,1,0)</f>
        <v>1</v>
      </c>
      <c r="BA29" s="5">
        <f>IF(AB29=AB$50,1,0)</f>
        <v>0</v>
      </c>
      <c r="BB29" s="5">
        <f>IF(AC29=AC$50,1,0)</f>
        <v>1</v>
      </c>
      <c r="BC29" s="5">
        <f>IF(AD29=AD$50,1,0)</f>
        <v>1</v>
      </c>
      <c r="BD29" s="5">
        <f>IF(AE29=AE$50,1,0)</f>
        <v>1</v>
      </c>
      <c r="BE29" s="5">
        <f>IF(AF29=AF$50,1,0)</f>
        <v>1</v>
      </c>
      <c r="BF29" s="5"/>
      <c r="BG29" s="5">
        <f>SUM(AG29:BF29)*4</f>
        <v>92</v>
      </c>
    </row>
    <row r="30" ht="22.5" customHeight="1" spans="1:59">
      <c r="A30" s="2">
        <v>45995.3175793634</v>
      </c>
      <c r="B30" s="3" t="s">
        <v>172</v>
      </c>
      <c r="C30" s="4">
        <v>12</v>
      </c>
      <c r="D30" s="3" t="s">
        <v>173</v>
      </c>
      <c r="E30" s="3" t="s">
        <v>60</v>
      </c>
      <c r="F30" s="3" t="s">
        <v>173</v>
      </c>
      <c r="G30" s="3">
        <v>12345</v>
      </c>
      <c r="H30" s="3" t="s">
        <v>96</v>
      </c>
      <c r="I30" s="3" t="s">
        <v>62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88</v>
      </c>
      <c r="O30" s="3" t="s">
        <v>68</v>
      </c>
      <c r="P30" s="3" t="s">
        <v>69</v>
      </c>
      <c r="Q30" s="3" t="s">
        <v>70</v>
      </c>
      <c r="R30" s="3" t="s">
        <v>71</v>
      </c>
      <c r="S30" s="3" t="s">
        <v>72</v>
      </c>
      <c r="T30" s="3" t="s">
        <v>97</v>
      </c>
      <c r="U30" s="3" t="s">
        <v>105</v>
      </c>
      <c r="V30" s="3" t="s">
        <v>75</v>
      </c>
      <c r="W30" s="3" t="s">
        <v>94</v>
      </c>
      <c r="X30" s="3" t="s">
        <v>174</v>
      </c>
      <c r="Y30" s="3" t="s">
        <v>78</v>
      </c>
      <c r="Z30" s="3" t="s">
        <v>97</v>
      </c>
      <c r="AA30" s="3" t="s">
        <v>175</v>
      </c>
      <c r="AB30" s="3">
        <v>25</v>
      </c>
      <c r="AC30" s="3">
        <v>11</v>
      </c>
      <c r="AD30" s="3">
        <v>23</v>
      </c>
      <c r="AE30" s="3">
        <v>2</v>
      </c>
      <c r="AF30" s="3">
        <v>33</v>
      </c>
      <c r="AG30" s="5">
        <f>IF(H30=H$50,1,0)</f>
        <v>0</v>
      </c>
      <c r="AH30" s="5">
        <f>IF(I30=I$50,1,0)</f>
        <v>1</v>
      </c>
      <c r="AI30" s="5">
        <f>IF(J30=J$50,1,0)</f>
        <v>1</v>
      </c>
      <c r="AJ30" s="5">
        <f>IF(K30=K$50,1,0)</f>
        <v>1</v>
      </c>
      <c r="AK30" s="5">
        <f>IF(L30=L$50,1,0)</f>
        <v>1</v>
      </c>
      <c r="AL30" s="5">
        <f>IF(M30=M$50,1,0)</f>
        <v>1</v>
      </c>
      <c r="AM30" s="5">
        <f>IF(N30=N$50,1,0)</f>
        <v>0</v>
      </c>
      <c r="AN30" s="5">
        <f>IF(O30=O$50,1,0)</f>
        <v>1</v>
      </c>
      <c r="AO30" s="5">
        <f>IF(P30=P$50,1,0)</f>
        <v>1</v>
      </c>
      <c r="AP30" s="5">
        <f>IF(Q30=Q$50,1,0)</f>
        <v>1</v>
      </c>
      <c r="AQ30" s="5">
        <f>IF(R30=R$50,1,0)</f>
        <v>1</v>
      </c>
      <c r="AR30" s="5">
        <f>IF(S30=S$50,1,0)</f>
        <v>1</v>
      </c>
      <c r="AS30" s="5">
        <f>IF(T30=T$50,1,0)</f>
        <v>0</v>
      </c>
      <c r="AT30" s="5">
        <f>IF(U30=U$50,1,0)</f>
        <v>0</v>
      </c>
      <c r="AU30" s="5">
        <f>IF(V30=V$50,1,0)</f>
        <v>1</v>
      </c>
      <c r="AV30" s="5">
        <f>IF(W30=W$50,1,0)</f>
        <v>0</v>
      </c>
      <c r="AW30" s="5">
        <f>IF(X30=X$50,1,0)</f>
        <v>0</v>
      </c>
      <c r="AX30" s="5">
        <f>IF(Y30=Y$50,1,0)</f>
        <v>1</v>
      </c>
      <c r="AY30" s="5">
        <f>IF(Z30=Z$50,1,0)</f>
        <v>0</v>
      </c>
      <c r="AZ30" s="5">
        <f>IF(AA30=AA$50,1,0)</f>
        <v>0</v>
      </c>
      <c r="BA30" s="5">
        <f>IF(AB30=AB$50,1,0)</f>
        <v>0</v>
      </c>
      <c r="BB30" s="5">
        <f>IF(AC30=AC$50,1,0)</f>
        <v>0</v>
      </c>
      <c r="BC30" s="5">
        <f>IF(AD30=AD$50,1,0)</f>
        <v>0</v>
      </c>
      <c r="BD30" s="5">
        <f>IF(AE30=AE$50,1,0)</f>
        <v>0</v>
      </c>
      <c r="BE30" s="5">
        <f>IF(AF30=AF$50,1,0)</f>
        <v>0</v>
      </c>
      <c r="BF30" s="5"/>
      <c r="BG30" s="5">
        <f>SUM(AG30:BF30)*4</f>
        <v>48</v>
      </c>
    </row>
    <row r="31" ht="22.5" customHeight="1" spans="1:59">
      <c r="A31" s="2">
        <v>45995.3203627315</v>
      </c>
      <c r="B31" s="3" t="s">
        <v>176</v>
      </c>
      <c r="C31" s="4">
        <v>10</v>
      </c>
      <c r="D31" s="3" t="s">
        <v>177</v>
      </c>
      <c r="E31" s="3" t="s">
        <v>60</v>
      </c>
      <c r="F31" s="3" t="s">
        <v>176</v>
      </c>
      <c r="G31" s="3">
        <v>12345</v>
      </c>
      <c r="H31" s="3" t="s">
        <v>96</v>
      </c>
      <c r="I31" s="3" t="s">
        <v>160</v>
      </c>
      <c r="J31" s="3" t="s">
        <v>84</v>
      </c>
      <c r="K31" s="3" t="s">
        <v>118</v>
      </c>
      <c r="L31" s="3" t="s">
        <v>65</v>
      </c>
      <c r="M31" s="3" t="s">
        <v>178</v>
      </c>
      <c r="N31" s="3" t="s">
        <v>67</v>
      </c>
      <c r="O31" s="3" t="s">
        <v>63</v>
      </c>
      <c r="P31" s="3" t="s">
        <v>69</v>
      </c>
      <c r="Q31" s="3" t="s">
        <v>70</v>
      </c>
      <c r="R31" s="3" t="s">
        <v>71</v>
      </c>
      <c r="S31" s="3" t="s">
        <v>179</v>
      </c>
      <c r="T31" s="3" t="s">
        <v>92</v>
      </c>
      <c r="U31" s="3" t="s">
        <v>105</v>
      </c>
      <c r="V31" s="3" t="s">
        <v>75</v>
      </c>
      <c r="W31" s="3" t="s">
        <v>94</v>
      </c>
      <c r="X31" s="3" t="s">
        <v>77</v>
      </c>
      <c r="Y31" s="3" t="s">
        <v>78</v>
      </c>
      <c r="Z31" s="3" t="s">
        <v>79</v>
      </c>
      <c r="AA31" s="3" t="s">
        <v>80</v>
      </c>
      <c r="AB31" s="3">
        <v>5</v>
      </c>
      <c r="AC31" s="3">
        <v>17</v>
      </c>
      <c r="AD31" s="3">
        <v>26</v>
      </c>
      <c r="AE31" s="3">
        <v>1</v>
      </c>
      <c r="AF31" s="3">
        <v>3</v>
      </c>
      <c r="AG31" s="5">
        <f>IF(H31=H$50,1,0)</f>
        <v>0</v>
      </c>
      <c r="AH31" s="5">
        <f>IF(I31=I$50,1,0)</f>
        <v>0</v>
      </c>
      <c r="AI31" s="5">
        <f>IF(J31=J$50,1,0)</f>
        <v>0</v>
      </c>
      <c r="AJ31" s="5">
        <f>IF(K31=K$50,1,0)</f>
        <v>0</v>
      </c>
      <c r="AK31" s="5">
        <f>IF(L31=L$50,1,0)</f>
        <v>1</v>
      </c>
      <c r="AL31" s="5">
        <f>IF(M31=M$50,1,0)</f>
        <v>0</v>
      </c>
      <c r="AM31" s="5">
        <f>IF(N31=N$50,1,0)</f>
        <v>1</v>
      </c>
      <c r="AN31" s="5">
        <f>IF(O31=O$50,1,0)</f>
        <v>0</v>
      </c>
      <c r="AO31" s="5">
        <f>IF(P31=P$50,1,0)</f>
        <v>1</v>
      </c>
      <c r="AP31" s="5">
        <f>IF(Q31=Q$50,1,0)</f>
        <v>1</v>
      </c>
      <c r="AQ31" s="5">
        <f>IF(R31=R$50,1,0)</f>
        <v>1</v>
      </c>
      <c r="AR31" s="5">
        <f>IF(S31=S$50,1,0)</f>
        <v>0</v>
      </c>
      <c r="AS31" s="5">
        <f>IF(T31=T$50,1,0)</f>
        <v>0</v>
      </c>
      <c r="AT31" s="5">
        <f>IF(U31=U$50,1,0)</f>
        <v>0</v>
      </c>
      <c r="AU31" s="5">
        <f>IF(V31=V$50,1,0)</f>
        <v>1</v>
      </c>
      <c r="AV31" s="5">
        <f>IF(W31=W$50,1,0)</f>
        <v>0</v>
      </c>
      <c r="AW31" s="5">
        <f>IF(X31=X$50,1,0)</f>
        <v>1</v>
      </c>
      <c r="AX31" s="5">
        <f>IF(Y31=Y$50,1,0)</f>
        <v>1</v>
      </c>
      <c r="AY31" s="5">
        <f>IF(Z31=Z$50,1,0)</f>
        <v>1</v>
      </c>
      <c r="AZ31" s="5">
        <f>IF(AA31=AA$50,1,0)</f>
        <v>1</v>
      </c>
      <c r="BA31" s="5">
        <f>IF(AB31=AB$50,1,0)</f>
        <v>1</v>
      </c>
      <c r="BB31" s="5">
        <f>IF(AC31=AC$50,1,0)</f>
        <v>0</v>
      </c>
      <c r="BC31" s="5">
        <f>IF(AD31=AD$50,1,0)</f>
        <v>1</v>
      </c>
      <c r="BD31" s="5">
        <f>IF(AE31=AE$50,1,0)</f>
        <v>1</v>
      </c>
      <c r="BE31" s="5">
        <f>IF(AF31=AF$50,1,0)</f>
        <v>1</v>
      </c>
      <c r="BF31" s="5"/>
      <c r="BG31" s="5">
        <f>SUM(AG31:BF31)*4</f>
        <v>56</v>
      </c>
    </row>
    <row r="32" ht="22.5" customHeight="1" spans="1:59">
      <c r="A32" s="2">
        <v>45995.3145984143</v>
      </c>
      <c r="B32" s="3" t="s">
        <v>180</v>
      </c>
      <c r="C32" s="4">
        <v>20</v>
      </c>
      <c r="D32" s="3" t="s">
        <v>181</v>
      </c>
      <c r="E32" s="3" t="s">
        <v>60</v>
      </c>
      <c r="F32" s="3" t="s">
        <v>180</v>
      </c>
      <c r="G32" s="3">
        <v>12345</v>
      </c>
      <c r="H32" s="3" t="s">
        <v>61</v>
      </c>
      <c r="I32" s="3" t="s">
        <v>62</v>
      </c>
      <c r="J32" s="3" t="s">
        <v>63</v>
      </c>
      <c r="K32" s="3" t="s">
        <v>64</v>
      </c>
      <c r="L32" s="3" t="s">
        <v>65</v>
      </c>
      <c r="M32" s="3" t="s">
        <v>66</v>
      </c>
      <c r="N32" s="3" t="s">
        <v>67</v>
      </c>
      <c r="O32" s="3" t="s">
        <v>68</v>
      </c>
      <c r="P32" s="3" t="s">
        <v>69</v>
      </c>
      <c r="Q32" s="3" t="s">
        <v>70</v>
      </c>
      <c r="R32" s="3" t="s">
        <v>71</v>
      </c>
      <c r="S32" s="3" t="s">
        <v>72</v>
      </c>
      <c r="T32" s="3" t="s">
        <v>73</v>
      </c>
      <c r="U32" s="3" t="s">
        <v>74</v>
      </c>
      <c r="V32" s="3" t="s">
        <v>75</v>
      </c>
      <c r="W32" s="3" t="s">
        <v>76</v>
      </c>
      <c r="X32" s="3" t="s">
        <v>77</v>
      </c>
      <c r="Y32" s="3" t="s">
        <v>78</v>
      </c>
      <c r="Z32" s="3" t="s">
        <v>79</v>
      </c>
      <c r="AA32" s="3" t="s">
        <v>80</v>
      </c>
      <c r="AB32" s="3">
        <v>5</v>
      </c>
      <c r="AC32" s="3">
        <v>18</v>
      </c>
      <c r="AD32" s="3">
        <v>26</v>
      </c>
      <c r="AE32" s="3">
        <v>1</v>
      </c>
      <c r="AF32" s="3">
        <v>3</v>
      </c>
      <c r="AG32" s="5">
        <f>IF(H32=H$50,1,0)</f>
        <v>1</v>
      </c>
      <c r="AH32" s="5">
        <f>IF(I32=I$50,1,0)</f>
        <v>1</v>
      </c>
      <c r="AI32" s="5">
        <f>IF(J32=J$50,1,0)</f>
        <v>1</v>
      </c>
      <c r="AJ32" s="5">
        <f>IF(K32=K$50,1,0)</f>
        <v>1</v>
      </c>
      <c r="AK32" s="5">
        <f>IF(L32=L$50,1,0)</f>
        <v>1</v>
      </c>
      <c r="AL32" s="5">
        <f>IF(M32=M$50,1,0)</f>
        <v>1</v>
      </c>
      <c r="AM32" s="5">
        <f>IF(N32=N$50,1,0)</f>
        <v>1</v>
      </c>
      <c r="AN32" s="5">
        <f>IF(O32=O$50,1,0)</f>
        <v>1</v>
      </c>
      <c r="AO32" s="5">
        <f>IF(P32=P$50,1,0)</f>
        <v>1</v>
      </c>
      <c r="AP32" s="5">
        <f>IF(Q32=Q$50,1,0)</f>
        <v>1</v>
      </c>
      <c r="AQ32" s="5">
        <f>IF(R32=R$50,1,0)</f>
        <v>1</v>
      </c>
      <c r="AR32" s="5">
        <f>IF(S32=S$50,1,0)</f>
        <v>1</v>
      </c>
      <c r="AS32" s="5">
        <f>IF(T32=T$50,1,0)</f>
        <v>1</v>
      </c>
      <c r="AT32" s="5">
        <f>IF(U32=U$50,1,0)</f>
        <v>1</v>
      </c>
      <c r="AU32" s="5">
        <f>IF(V32=V$50,1,0)</f>
        <v>1</v>
      </c>
      <c r="AV32" s="5">
        <f>IF(W32=W$50,1,0)</f>
        <v>1</v>
      </c>
      <c r="AW32" s="5">
        <f>IF(X32=X$50,1,0)</f>
        <v>1</v>
      </c>
      <c r="AX32" s="5">
        <f>IF(Y32=Y$50,1,0)</f>
        <v>1</v>
      </c>
      <c r="AY32" s="5">
        <f>IF(Z32=Z$50,1,0)</f>
        <v>1</v>
      </c>
      <c r="AZ32" s="5">
        <f>IF(AA32=AA$50,1,0)</f>
        <v>1</v>
      </c>
      <c r="BA32" s="5">
        <f>IF(AB32=AB$50,1,0)</f>
        <v>1</v>
      </c>
      <c r="BB32" s="5">
        <f>IF(AC32=AC$50,1,0)</f>
        <v>1</v>
      </c>
      <c r="BC32" s="5">
        <f>IF(AD32=AD$50,1,0)</f>
        <v>1</v>
      </c>
      <c r="BD32" s="5">
        <f>IF(AE32=AE$50,1,0)</f>
        <v>1</v>
      </c>
      <c r="BE32" s="5">
        <f>IF(AF32=AF$50,1,0)</f>
        <v>1</v>
      </c>
      <c r="BF32" s="5"/>
      <c r="BG32" s="5">
        <f>SUM(AG32:BF32)*4</f>
        <v>100</v>
      </c>
    </row>
    <row r="33" ht="22.5" customHeight="1" spans="1:64">
      <c r="A33" s="2">
        <v>45995.3197473495</v>
      </c>
      <c r="B33" s="3" t="s">
        <v>182</v>
      </c>
      <c r="C33" s="4">
        <v>7</v>
      </c>
      <c r="D33" s="3" t="s">
        <v>183</v>
      </c>
      <c r="E33" s="3" t="s">
        <v>60</v>
      </c>
      <c r="F33" s="3" t="s">
        <v>182</v>
      </c>
      <c r="G33" s="3">
        <v>12345</v>
      </c>
      <c r="H33" s="3" t="s">
        <v>61</v>
      </c>
      <c r="I33" s="3" t="s">
        <v>160</v>
      </c>
      <c r="J33" s="3" t="s">
        <v>84</v>
      </c>
      <c r="K33" s="3" t="s">
        <v>184</v>
      </c>
      <c r="L33" s="3" t="s">
        <v>65</v>
      </c>
      <c r="M33" s="3" t="s">
        <v>178</v>
      </c>
      <c r="N33" s="3" t="s">
        <v>67</v>
      </c>
      <c r="O33" s="3" t="s">
        <v>86</v>
      </c>
      <c r="P33" s="3" t="s">
        <v>69</v>
      </c>
      <c r="Q33" s="3" t="s">
        <v>90</v>
      </c>
      <c r="R33" s="3" t="s">
        <v>71</v>
      </c>
      <c r="S33" s="3" t="s">
        <v>91</v>
      </c>
      <c r="T33" s="3" t="s">
        <v>92</v>
      </c>
      <c r="U33" s="3" t="s">
        <v>105</v>
      </c>
      <c r="V33" s="3" t="s">
        <v>185</v>
      </c>
      <c r="W33" s="3" t="s">
        <v>76</v>
      </c>
      <c r="X33" s="3" t="s">
        <v>174</v>
      </c>
      <c r="Y33" s="3" t="s">
        <v>107</v>
      </c>
      <c r="Z33" s="3" t="s">
        <v>97</v>
      </c>
      <c r="AA33" s="3" t="s">
        <v>80</v>
      </c>
      <c r="AB33" s="3">
        <v>6420</v>
      </c>
      <c r="AC33" s="10" t="s">
        <v>186</v>
      </c>
      <c r="AD33" s="10" t="s">
        <v>187</v>
      </c>
      <c r="AE33" s="3">
        <v>6020</v>
      </c>
      <c r="AF33" s="3">
        <v>11010</v>
      </c>
      <c r="AG33" s="5">
        <f>IF(H33=H$50,1,0)</f>
        <v>1</v>
      </c>
      <c r="AH33" s="5">
        <f>IF(I33=I$50,1,0)</f>
        <v>0</v>
      </c>
      <c r="AI33" s="5">
        <f>IF(J33=J$50,1,0)</f>
        <v>0</v>
      </c>
      <c r="AJ33" s="5">
        <f>IF(K33=K$50,1,0)</f>
        <v>0</v>
      </c>
      <c r="AK33" s="5">
        <f>IF(L33=L$50,1,0)</f>
        <v>1</v>
      </c>
      <c r="AL33" s="5">
        <f>IF(M33=M$50,1,0)</f>
        <v>0</v>
      </c>
      <c r="AM33" s="5">
        <f>IF(N33=N$50,1,0)</f>
        <v>1</v>
      </c>
      <c r="AN33" s="5">
        <f>IF(O33=O$50,1,0)</f>
        <v>0</v>
      </c>
      <c r="AO33" s="5">
        <f>IF(P33=P$50,1,0)</f>
        <v>1</v>
      </c>
      <c r="AP33" s="5">
        <f>IF(Q33=Q$50,1,0)</f>
        <v>0</v>
      </c>
      <c r="AQ33" s="5">
        <f>IF(R33=R$50,1,0)</f>
        <v>1</v>
      </c>
      <c r="AR33" s="5">
        <f>IF(S33=S$50,1,0)</f>
        <v>0</v>
      </c>
      <c r="AS33" s="5">
        <f>IF(T33=T$50,1,0)</f>
        <v>0</v>
      </c>
      <c r="AT33" s="5">
        <f>IF(U33=U$50,1,0)</f>
        <v>0</v>
      </c>
      <c r="AU33" s="5">
        <f>IF(V33=V$50,1,0)</f>
        <v>0</v>
      </c>
      <c r="AV33" s="5">
        <f>IF(W33=W$50,1,0)</f>
        <v>1</v>
      </c>
      <c r="AW33" s="5">
        <f>IF(X33=X$50,1,0)</f>
        <v>0</v>
      </c>
      <c r="AX33" s="5">
        <f>IF(Y33=Y$50,1,0)</f>
        <v>0</v>
      </c>
      <c r="AY33" s="5">
        <f>IF(Z33=Z$50,1,0)</f>
        <v>0</v>
      </c>
      <c r="AZ33" s="5">
        <f>IF(AA33=AA$50,1,0)</f>
        <v>1</v>
      </c>
      <c r="BA33" s="5">
        <f>IF(AB33=AB$50,1,0)</f>
        <v>0</v>
      </c>
      <c r="BB33" s="5">
        <f>IF(AC33=AC$50,1,0)</f>
        <v>0</v>
      </c>
      <c r="BC33" s="5">
        <f>IF(AD33=AD$50,1,0)</f>
        <v>0</v>
      </c>
      <c r="BD33" s="5">
        <f>IF(AE33=AE$50,1,0)</f>
        <v>0</v>
      </c>
      <c r="BE33" s="5">
        <f>IF(AF33=AF$50,1,0)</f>
        <v>0</v>
      </c>
      <c r="BF33" s="5"/>
      <c r="BG33" s="5">
        <f>SUM(AG33:BF33)*4</f>
        <v>28</v>
      </c>
    </row>
    <row r="34" ht="22.5" customHeight="1" spans="1:64">
      <c r="A34" s="2">
        <v>45995.3167634143</v>
      </c>
      <c r="B34" s="3" t="s">
        <v>188</v>
      </c>
      <c r="C34" s="4">
        <v>19</v>
      </c>
      <c r="D34" s="3" t="s">
        <v>189</v>
      </c>
      <c r="E34" s="3" t="s">
        <v>60</v>
      </c>
      <c r="F34" s="3" t="s">
        <v>188</v>
      </c>
      <c r="G34" s="3">
        <v>12345</v>
      </c>
      <c r="H34" s="3" t="s">
        <v>61</v>
      </c>
      <c r="I34" s="3" t="s">
        <v>62</v>
      </c>
      <c r="J34" s="3" t="s">
        <v>63</v>
      </c>
      <c r="K34" s="3" t="s">
        <v>64</v>
      </c>
      <c r="L34" s="3" t="s">
        <v>65</v>
      </c>
      <c r="M34" s="3" t="s">
        <v>66</v>
      </c>
      <c r="N34" s="3" t="s">
        <v>67</v>
      </c>
      <c r="O34" s="3" t="s">
        <v>68</v>
      </c>
      <c r="P34" s="3" t="s">
        <v>69</v>
      </c>
      <c r="Q34" s="3" t="s">
        <v>70</v>
      </c>
      <c r="R34" s="3" t="s">
        <v>71</v>
      </c>
      <c r="S34" s="3" t="s">
        <v>72</v>
      </c>
      <c r="T34" s="3" t="s">
        <v>73</v>
      </c>
      <c r="U34" s="3" t="s">
        <v>105</v>
      </c>
      <c r="V34" s="3" t="s">
        <v>75</v>
      </c>
      <c r="W34" s="3" t="s">
        <v>76</v>
      </c>
      <c r="X34" s="3" t="s">
        <v>77</v>
      </c>
      <c r="Y34" s="3" t="s">
        <v>78</v>
      </c>
      <c r="Z34" s="3" t="s">
        <v>79</v>
      </c>
      <c r="AA34" s="3" t="s">
        <v>80</v>
      </c>
      <c r="AB34" s="3">
        <v>5</v>
      </c>
      <c r="AC34" s="3">
        <v>18</v>
      </c>
      <c r="AD34" s="3">
        <v>26</v>
      </c>
      <c r="AE34" s="3">
        <v>1</v>
      </c>
      <c r="AF34" s="3">
        <v>3</v>
      </c>
      <c r="AG34" s="5">
        <f>IF(H34=H$50,1,0)</f>
        <v>1</v>
      </c>
      <c r="AH34" s="5">
        <f>IF(I34=I$50,1,0)</f>
        <v>1</v>
      </c>
      <c r="AI34" s="5">
        <f>IF(J34=J$50,1,0)</f>
        <v>1</v>
      </c>
      <c r="AJ34" s="5">
        <f>IF(K34=K$50,1,0)</f>
        <v>1</v>
      </c>
      <c r="AK34" s="5">
        <f>IF(L34=L$50,1,0)</f>
        <v>1</v>
      </c>
      <c r="AL34" s="5">
        <f>IF(M34=M$50,1,0)</f>
        <v>1</v>
      </c>
      <c r="AM34" s="5">
        <f>IF(N34=N$50,1,0)</f>
        <v>1</v>
      </c>
      <c r="AN34" s="5">
        <f>IF(O34=O$50,1,0)</f>
        <v>1</v>
      </c>
      <c r="AO34" s="5">
        <f>IF(P34=P$50,1,0)</f>
        <v>1</v>
      </c>
      <c r="AP34" s="5">
        <f>IF(Q34=Q$50,1,0)</f>
        <v>1</v>
      </c>
      <c r="AQ34" s="5">
        <f>IF(R34=R$50,1,0)</f>
        <v>1</v>
      </c>
      <c r="AR34" s="5">
        <f>IF(S34=S$50,1,0)</f>
        <v>1</v>
      </c>
      <c r="AS34" s="5">
        <f>IF(T34=T$50,1,0)</f>
        <v>1</v>
      </c>
      <c r="AT34" s="5">
        <f>IF(U34=U$50,1,0)</f>
        <v>0</v>
      </c>
      <c r="AU34" s="5">
        <f>IF(V34=V$50,1,0)</f>
        <v>1</v>
      </c>
      <c r="AV34" s="5">
        <f>IF(W34=W$50,1,0)</f>
        <v>1</v>
      </c>
      <c r="AW34" s="5">
        <f>IF(X34=X$50,1,0)</f>
        <v>1</v>
      </c>
      <c r="AX34" s="5">
        <f>IF(Y34=Y$50,1,0)</f>
        <v>1</v>
      </c>
      <c r="AY34" s="5">
        <f>IF(Z34=Z$50,1,0)</f>
        <v>1</v>
      </c>
      <c r="AZ34" s="5">
        <f>IF(AA34=AA$50,1,0)</f>
        <v>1</v>
      </c>
      <c r="BA34" s="5">
        <f>IF(AB34=AB$50,1,0)</f>
        <v>1</v>
      </c>
      <c r="BB34" s="5">
        <f>IF(AC34=AC$50,1,0)</f>
        <v>1</v>
      </c>
      <c r="BC34" s="5">
        <f>IF(AD34=AD$50,1,0)</f>
        <v>1</v>
      </c>
      <c r="BD34" s="5">
        <f>IF(AE34=AE$50,1,0)</f>
        <v>1</v>
      </c>
      <c r="BE34" s="5">
        <f>IF(AF34=AF$50,1,0)</f>
        <v>1</v>
      </c>
      <c r="BF34" s="5"/>
      <c r="BG34" s="5">
        <f>SUM(AG34:BF34)*4</f>
        <v>96</v>
      </c>
    </row>
    <row r="35" ht="22.5" customHeight="1" spans="1:64">
      <c r="A35" s="2">
        <v>45995.3052781597</v>
      </c>
      <c r="B35" s="3" t="s">
        <v>190</v>
      </c>
      <c r="C35" s="4">
        <v>11</v>
      </c>
      <c r="D35" s="3" t="s">
        <v>191</v>
      </c>
      <c r="E35" s="3" t="s">
        <v>60</v>
      </c>
      <c r="F35" s="3" t="s">
        <v>190</v>
      </c>
      <c r="G35" s="3">
        <v>12345</v>
      </c>
      <c r="H35" s="3" t="s">
        <v>96</v>
      </c>
      <c r="I35" s="3" t="s">
        <v>62</v>
      </c>
      <c r="J35" s="3" t="s">
        <v>84</v>
      </c>
      <c r="K35" s="3" t="s">
        <v>64</v>
      </c>
      <c r="L35" s="3" t="s">
        <v>65</v>
      </c>
      <c r="M35" s="3" t="s">
        <v>178</v>
      </c>
      <c r="N35" s="3" t="s">
        <v>88</v>
      </c>
      <c r="O35" s="3" t="s">
        <v>86</v>
      </c>
      <c r="P35" s="3" t="s">
        <v>69</v>
      </c>
      <c r="Q35" s="3" t="s">
        <v>70</v>
      </c>
      <c r="R35" s="3" t="s">
        <v>84</v>
      </c>
      <c r="S35" s="3" t="s">
        <v>72</v>
      </c>
      <c r="T35" s="3" t="s">
        <v>73</v>
      </c>
      <c r="U35" s="3" t="s">
        <v>89</v>
      </c>
      <c r="V35" s="3" t="s">
        <v>75</v>
      </c>
      <c r="W35" s="3" t="s">
        <v>94</v>
      </c>
      <c r="X35" s="3" t="s">
        <v>95</v>
      </c>
      <c r="Y35" s="3" t="s">
        <v>78</v>
      </c>
      <c r="Z35" s="3" t="s">
        <v>79</v>
      </c>
      <c r="AA35" s="3" t="s">
        <v>80</v>
      </c>
      <c r="AB35" s="3">
        <v>5</v>
      </c>
      <c r="AC35" s="3">
        <v>18</v>
      </c>
      <c r="AD35" s="3">
        <v>26</v>
      </c>
      <c r="AE35" s="3">
        <v>1</v>
      </c>
      <c r="AF35" s="3">
        <v>3</v>
      </c>
      <c r="AG35" s="5">
        <f>IF(H35=H$50,1,0)</f>
        <v>0</v>
      </c>
      <c r="AH35" s="5">
        <f>IF(I35=I$50,1,0)</f>
        <v>1</v>
      </c>
      <c r="AI35" s="5">
        <f>IF(J35=J$50,1,0)</f>
        <v>0</v>
      </c>
      <c r="AJ35" s="5">
        <f>IF(K35=K$50,1,0)</f>
        <v>1</v>
      </c>
      <c r="AK35" s="5">
        <f>IF(L35=L$50,1,0)</f>
        <v>1</v>
      </c>
      <c r="AL35" s="5">
        <f>IF(M35=M$50,1,0)</f>
        <v>0</v>
      </c>
      <c r="AM35" s="5">
        <f>IF(N35=N$50,1,0)</f>
        <v>0</v>
      </c>
      <c r="AN35" s="5">
        <f>IF(O35=O$50,1,0)</f>
        <v>0</v>
      </c>
      <c r="AO35" s="5">
        <f>IF(P35=P$50,1,0)</f>
        <v>1</v>
      </c>
      <c r="AP35" s="5">
        <f>IF(Q35=Q$50,1,0)</f>
        <v>1</v>
      </c>
      <c r="AQ35" s="5">
        <f>IF(R35=R$50,1,0)</f>
        <v>0</v>
      </c>
      <c r="AR35" s="5">
        <f>IF(S35=S$50,1,0)</f>
        <v>1</v>
      </c>
      <c r="AS35" s="5">
        <f>IF(T35=T$50,1,0)</f>
        <v>1</v>
      </c>
      <c r="AT35" s="5">
        <f>IF(U35=U$50,1,0)</f>
        <v>0</v>
      </c>
      <c r="AU35" s="5">
        <f>IF(V35=V$50,1,0)</f>
        <v>1</v>
      </c>
      <c r="AV35" s="5">
        <f>IF(W35=W$50,1,0)</f>
        <v>0</v>
      </c>
      <c r="AW35" s="5">
        <f>IF(X35=X$50,1,0)</f>
        <v>0</v>
      </c>
      <c r="AX35" s="5">
        <f>IF(Y35=Y$50,1,0)</f>
        <v>1</v>
      </c>
      <c r="AY35" s="5">
        <f>IF(Z35=Z$50,1,0)</f>
        <v>1</v>
      </c>
      <c r="AZ35" s="5">
        <f>IF(AA35=AA$50,1,0)</f>
        <v>1</v>
      </c>
      <c r="BA35" s="5">
        <f>IF(AB35=AB$50,1,0)</f>
        <v>1</v>
      </c>
      <c r="BB35" s="5">
        <f>IF(AC35=AC$50,1,0)</f>
        <v>1</v>
      </c>
      <c r="BC35" s="5">
        <f>IF(AD35=AD$50,1,0)</f>
        <v>1</v>
      </c>
      <c r="BD35" s="5">
        <f>IF(AE35=AE$50,1,0)</f>
        <v>1</v>
      </c>
      <c r="BE35" s="5">
        <f>IF(AF35=AF$50,1,0)</f>
        <v>1</v>
      </c>
      <c r="BF35" s="5"/>
      <c r="BG35" s="5">
        <f>SUM(AG35:BF35)*4</f>
        <v>64</v>
      </c>
    </row>
    <row r="36" ht="22.5" customHeight="1" spans="1:64">
      <c r="A36" s="2">
        <v>45995.3023710648</v>
      </c>
      <c r="B36" s="3" t="s">
        <v>192</v>
      </c>
      <c r="C36" s="4">
        <v>19</v>
      </c>
      <c r="D36" s="3" t="s">
        <v>193</v>
      </c>
      <c r="E36" s="3" t="s">
        <v>60</v>
      </c>
      <c r="F36" s="3" t="s">
        <v>192</v>
      </c>
      <c r="G36" s="3">
        <v>12345</v>
      </c>
      <c r="H36" s="3" t="s">
        <v>61</v>
      </c>
      <c r="I36" s="3" t="s">
        <v>62</v>
      </c>
      <c r="J36" s="3" t="s">
        <v>63</v>
      </c>
      <c r="K36" s="3" t="s">
        <v>64</v>
      </c>
      <c r="L36" s="3" t="s">
        <v>65</v>
      </c>
      <c r="M36" s="3" t="s">
        <v>66</v>
      </c>
      <c r="N36" s="3" t="s">
        <v>67</v>
      </c>
      <c r="O36" s="3" t="s">
        <v>68</v>
      </c>
      <c r="P36" s="3" t="s">
        <v>69</v>
      </c>
      <c r="Q36" s="3" t="s">
        <v>70</v>
      </c>
      <c r="R36" s="3" t="s">
        <v>71</v>
      </c>
      <c r="S36" s="3" t="s">
        <v>72</v>
      </c>
      <c r="T36" s="3" t="s">
        <v>73</v>
      </c>
      <c r="U36" s="3" t="s">
        <v>194</v>
      </c>
      <c r="V36" s="3" t="s">
        <v>75</v>
      </c>
      <c r="W36" s="3" t="s">
        <v>76</v>
      </c>
      <c r="X36" s="3" t="s">
        <v>77</v>
      </c>
      <c r="Y36" s="3" t="s">
        <v>78</v>
      </c>
      <c r="Z36" s="3" t="s">
        <v>79</v>
      </c>
      <c r="AA36" s="3" t="s">
        <v>80</v>
      </c>
      <c r="AB36" s="3">
        <v>5</v>
      </c>
      <c r="AC36" s="3">
        <v>18</v>
      </c>
      <c r="AD36" s="3">
        <v>26</v>
      </c>
      <c r="AE36" s="3">
        <v>1</v>
      </c>
      <c r="AF36" s="3">
        <v>3</v>
      </c>
      <c r="AG36" s="5">
        <f>IF(H36=H$50,1,0)</f>
        <v>1</v>
      </c>
      <c r="AH36" s="5">
        <f>IF(I36=I$50,1,0)</f>
        <v>1</v>
      </c>
      <c r="AI36" s="5">
        <f>IF(J36=J$50,1,0)</f>
        <v>1</v>
      </c>
      <c r="AJ36" s="5">
        <f>IF(K36=K$50,1,0)</f>
        <v>1</v>
      </c>
      <c r="AK36" s="5">
        <f>IF(L36=L$50,1,0)</f>
        <v>1</v>
      </c>
      <c r="AL36" s="5">
        <f>IF(M36=M$50,1,0)</f>
        <v>1</v>
      </c>
      <c r="AM36" s="5">
        <f>IF(N36=N$50,1,0)</f>
        <v>1</v>
      </c>
      <c r="AN36" s="5">
        <f>IF(O36=O$50,1,0)</f>
        <v>1</v>
      </c>
      <c r="AO36" s="5">
        <f>IF(P36=P$50,1,0)</f>
        <v>1</v>
      </c>
      <c r="AP36" s="5">
        <f>IF(Q36=Q$50,1,0)</f>
        <v>1</v>
      </c>
      <c r="AQ36" s="5">
        <f>IF(R36=R$50,1,0)</f>
        <v>1</v>
      </c>
      <c r="AR36" s="5">
        <f>IF(S36=S$50,1,0)</f>
        <v>1</v>
      </c>
      <c r="AS36" s="5">
        <f>IF(T36=T$50,1,0)</f>
        <v>1</v>
      </c>
      <c r="AT36" s="5">
        <f>IF(U36=U$50,1,0)</f>
        <v>0</v>
      </c>
      <c r="AU36" s="5">
        <f>IF(V36=V$50,1,0)</f>
        <v>1</v>
      </c>
      <c r="AV36" s="5">
        <f>IF(W36=W$50,1,0)</f>
        <v>1</v>
      </c>
      <c r="AW36" s="5">
        <f>IF(X36=X$50,1,0)</f>
        <v>1</v>
      </c>
      <c r="AX36" s="5">
        <f>IF(Y36=Y$50,1,0)</f>
        <v>1</v>
      </c>
      <c r="AY36" s="5">
        <f>IF(Z36=Z$50,1,0)</f>
        <v>1</v>
      </c>
      <c r="AZ36" s="5">
        <f>IF(AA36=AA$50,1,0)</f>
        <v>1</v>
      </c>
      <c r="BA36" s="5">
        <f>IF(AB36=AB$50,1,0)</f>
        <v>1</v>
      </c>
      <c r="BB36" s="5">
        <f>IF(AC36=AC$50,1,0)</f>
        <v>1</v>
      </c>
      <c r="BC36" s="5">
        <f>IF(AD36=AD$50,1,0)</f>
        <v>1</v>
      </c>
      <c r="BD36" s="5">
        <f>IF(AE36=AE$50,1,0)</f>
        <v>1</v>
      </c>
      <c r="BE36" s="5">
        <f>IF(AF36=AF$50,1,0)</f>
        <v>1</v>
      </c>
      <c r="BF36" s="5"/>
      <c r="BG36" s="5">
        <f>SUM(AG36:BF36)*4</f>
        <v>96</v>
      </c>
    </row>
    <row r="37" ht="22.5" customHeight="1" spans="1:64">
      <c r="A37" s="2">
        <v>45995.3038419907</v>
      </c>
      <c r="B37" s="3" t="s">
        <v>195</v>
      </c>
      <c r="C37" s="4">
        <v>20</v>
      </c>
      <c r="D37" s="3" t="s">
        <v>196</v>
      </c>
      <c r="E37" s="3" t="s">
        <v>60</v>
      </c>
      <c r="F37" s="3" t="s">
        <v>195</v>
      </c>
      <c r="G37" s="3">
        <v>12345</v>
      </c>
      <c r="H37" s="3" t="s">
        <v>61</v>
      </c>
      <c r="I37" s="3" t="s">
        <v>62</v>
      </c>
      <c r="J37" s="3" t="s">
        <v>63</v>
      </c>
      <c r="K37" s="3" t="s">
        <v>64</v>
      </c>
      <c r="L37" s="3" t="s">
        <v>65</v>
      </c>
      <c r="M37" s="3" t="s">
        <v>66</v>
      </c>
      <c r="N37" s="3" t="s">
        <v>67</v>
      </c>
      <c r="O37" s="3" t="s">
        <v>68</v>
      </c>
      <c r="P37" s="3" t="s">
        <v>69</v>
      </c>
      <c r="Q37" s="3" t="s">
        <v>70</v>
      </c>
      <c r="R37" s="3" t="s">
        <v>71</v>
      </c>
      <c r="S37" s="3" t="s">
        <v>72</v>
      </c>
      <c r="T37" s="3" t="s">
        <v>73</v>
      </c>
      <c r="U37" s="3" t="s">
        <v>74</v>
      </c>
      <c r="V37" s="3" t="s">
        <v>75</v>
      </c>
      <c r="W37" s="3" t="s">
        <v>76</v>
      </c>
      <c r="X37" s="3" t="s">
        <v>77</v>
      </c>
      <c r="Y37" s="3" t="s">
        <v>78</v>
      </c>
      <c r="Z37" s="3" t="s">
        <v>79</v>
      </c>
      <c r="AA37" s="3" t="s">
        <v>80</v>
      </c>
      <c r="AB37" s="3">
        <v>5</v>
      </c>
      <c r="AC37" s="3">
        <v>18</v>
      </c>
      <c r="AD37" s="3">
        <v>26</v>
      </c>
      <c r="AE37" s="3">
        <v>1</v>
      </c>
      <c r="AF37" s="3">
        <v>3</v>
      </c>
      <c r="AG37" s="5">
        <f>IF(H37=H$50,1,0)</f>
        <v>1</v>
      </c>
      <c r="AH37" s="5">
        <f>IF(I37=I$50,1,0)</f>
        <v>1</v>
      </c>
      <c r="AI37" s="5">
        <f>IF(J37=J$50,1,0)</f>
        <v>1</v>
      </c>
      <c r="AJ37" s="5">
        <f>IF(K37=K$50,1,0)</f>
        <v>1</v>
      </c>
      <c r="AK37" s="5">
        <f>IF(L37=L$50,1,0)</f>
        <v>1</v>
      </c>
      <c r="AL37" s="5">
        <f>IF(M37=M$50,1,0)</f>
        <v>1</v>
      </c>
      <c r="AM37" s="5">
        <f>IF(N37=N$50,1,0)</f>
        <v>1</v>
      </c>
      <c r="AN37" s="5">
        <f>IF(O37=O$50,1,0)</f>
        <v>1</v>
      </c>
      <c r="AO37" s="5">
        <f>IF(P37=P$50,1,0)</f>
        <v>1</v>
      </c>
      <c r="AP37" s="5">
        <f>IF(Q37=Q$50,1,0)</f>
        <v>1</v>
      </c>
      <c r="AQ37" s="5">
        <f>IF(R37=R$50,1,0)</f>
        <v>1</v>
      </c>
      <c r="AR37" s="5">
        <f>IF(S37=S$50,1,0)</f>
        <v>1</v>
      </c>
      <c r="AS37" s="5">
        <f>IF(T37=T$50,1,0)</f>
        <v>1</v>
      </c>
      <c r="AT37" s="5">
        <f>IF(U37=U$50,1,0)</f>
        <v>1</v>
      </c>
      <c r="AU37" s="5">
        <f>IF(V37=V$50,1,0)</f>
        <v>1</v>
      </c>
      <c r="AV37" s="5">
        <f>IF(W37=W$50,1,0)</f>
        <v>1</v>
      </c>
      <c r="AW37" s="5">
        <f>IF(X37=X$50,1,0)</f>
        <v>1</v>
      </c>
      <c r="AX37" s="5">
        <f>IF(Y37=Y$50,1,0)</f>
        <v>1</v>
      </c>
      <c r="AY37" s="5">
        <f>IF(Z37=Z$50,1,0)</f>
        <v>1</v>
      </c>
      <c r="AZ37" s="5">
        <f>IF(AA37=AA$50,1,0)</f>
        <v>1</v>
      </c>
      <c r="BA37" s="5">
        <f>IF(AB37=AB$50,1,0)</f>
        <v>1</v>
      </c>
      <c r="BB37" s="5">
        <f>IF(AC37=AC$50,1,0)</f>
        <v>1</v>
      </c>
      <c r="BC37" s="5">
        <f>IF(AD37=AD$50,1,0)</f>
        <v>1</v>
      </c>
      <c r="BD37" s="5">
        <f>IF(AE37=AE$50,1,0)</f>
        <v>1</v>
      </c>
      <c r="BE37" s="5">
        <f>IF(AF37=AF$50,1,0)</f>
        <v>1</v>
      </c>
      <c r="BF37" s="5"/>
      <c r="BG37" s="5">
        <f>SUM(AG37:BF37)*4</f>
        <v>100</v>
      </c>
    </row>
    <row r="38" ht="22.5" customHeight="1" spans="1:64">
      <c r="A38" s="2">
        <v>45995.313984375</v>
      </c>
      <c r="B38" s="3" t="s">
        <v>197</v>
      </c>
      <c r="C38" s="4">
        <v>20</v>
      </c>
      <c r="D38" s="3" t="s">
        <v>198</v>
      </c>
      <c r="E38" s="3" t="s">
        <v>60</v>
      </c>
      <c r="F38" s="3" t="s">
        <v>197</v>
      </c>
      <c r="G38" s="3">
        <v>12345</v>
      </c>
      <c r="H38" s="3" t="s">
        <v>61</v>
      </c>
      <c r="I38" s="3" t="s">
        <v>62</v>
      </c>
      <c r="J38" s="3" t="s">
        <v>63</v>
      </c>
      <c r="K38" s="3" t="s">
        <v>64</v>
      </c>
      <c r="L38" s="3" t="s">
        <v>65</v>
      </c>
      <c r="M38" s="3" t="s">
        <v>66</v>
      </c>
      <c r="N38" s="3" t="s">
        <v>67</v>
      </c>
      <c r="O38" s="3" t="s">
        <v>68</v>
      </c>
      <c r="P38" s="3" t="s">
        <v>69</v>
      </c>
      <c r="Q38" s="3" t="s">
        <v>70</v>
      </c>
      <c r="R38" s="3" t="s">
        <v>71</v>
      </c>
      <c r="S38" s="3" t="s">
        <v>72</v>
      </c>
      <c r="T38" s="3" t="s">
        <v>73</v>
      </c>
      <c r="U38" s="3" t="s">
        <v>74</v>
      </c>
      <c r="V38" s="3" t="s">
        <v>75</v>
      </c>
      <c r="W38" s="3" t="s">
        <v>76</v>
      </c>
      <c r="X38" s="3" t="s">
        <v>77</v>
      </c>
      <c r="Y38" s="3" t="s">
        <v>78</v>
      </c>
      <c r="Z38" s="3" t="s">
        <v>79</v>
      </c>
      <c r="AA38" s="3" t="s">
        <v>80</v>
      </c>
      <c r="AB38" s="3">
        <v>5</v>
      </c>
      <c r="AC38" s="3">
        <v>18</v>
      </c>
      <c r="AD38" s="3">
        <v>26</v>
      </c>
      <c r="AE38" s="3">
        <v>1</v>
      </c>
      <c r="AF38" s="3">
        <v>3</v>
      </c>
      <c r="AG38" s="5">
        <f>IF(H38=H$50,1,0)</f>
        <v>1</v>
      </c>
      <c r="AH38" s="5">
        <f>IF(I38=I$50,1,0)</f>
        <v>1</v>
      </c>
      <c r="AI38" s="5">
        <f>IF(J38=J$50,1,0)</f>
        <v>1</v>
      </c>
      <c r="AJ38" s="5">
        <f>IF(K38=K$50,1,0)</f>
        <v>1</v>
      </c>
      <c r="AK38" s="5">
        <f>IF(L38=L$50,1,0)</f>
        <v>1</v>
      </c>
      <c r="AL38" s="5">
        <f>IF(M38=M$50,1,0)</f>
        <v>1</v>
      </c>
      <c r="AM38" s="5">
        <f>IF(N38=N$50,1,0)</f>
        <v>1</v>
      </c>
      <c r="AN38" s="5">
        <f>IF(O38=O$50,1,0)</f>
        <v>1</v>
      </c>
      <c r="AO38" s="5">
        <f>IF(P38=P$50,1,0)</f>
        <v>1</v>
      </c>
      <c r="AP38" s="5">
        <f>IF(Q38=Q$50,1,0)</f>
        <v>1</v>
      </c>
      <c r="AQ38" s="5">
        <f>IF(R38=R$50,1,0)</f>
        <v>1</v>
      </c>
      <c r="AR38" s="5">
        <f>IF(S38=S$50,1,0)</f>
        <v>1</v>
      </c>
      <c r="AS38" s="5">
        <f>IF(T38=T$50,1,0)</f>
        <v>1</v>
      </c>
      <c r="AT38" s="5">
        <f>IF(U38=U$50,1,0)</f>
        <v>1</v>
      </c>
      <c r="AU38" s="5">
        <f>IF(V38=V$50,1,0)</f>
        <v>1</v>
      </c>
      <c r="AV38" s="5">
        <f>IF(W38=W$50,1,0)</f>
        <v>1</v>
      </c>
      <c r="AW38" s="5">
        <f>IF(X38=X$50,1,0)</f>
        <v>1</v>
      </c>
      <c r="AX38" s="5">
        <f>IF(Y38=Y$50,1,0)</f>
        <v>1</v>
      </c>
      <c r="AY38" s="5">
        <f>IF(Z38=Z$50,1,0)</f>
        <v>1</v>
      </c>
      <c r="AZ38" s="5">
        <f>IF(AA38=AA$50,1,0)</f>
        <v>1</v>
      </c>
      <c r="BA38" s="5">
        <f>IF(AB38=AB$50,1,0)</f>
        <v>1</v>
      </c>
      <c r="BB38" s="5">
        <f>IF(AC38=AC$50,1,0)</f>
        <v>1</v>
      </c>
      <c r="BC38" s="5">
        <f>IF(AD38=AD$50,1,0)</f>
        <v>1</v>
      </c>
      <c r="BD38" s="5">
        <f>IF(AE38=AE$50,1,0)</f>
        <v>1</v>
      </c>
      <c r="BE38" s="5">
        <f>IF(AF38=AF$50,1,0)</f>
        <v>1</v>
      </c>
      <c r="BF38" s="5"/>
      <c r="BG38" s="5">
        <f>SUM(AG38:BF38)*4</f>
        <v>100</v>
      </c>
    </row>
    <row r="39" ht="22.5" customHeight="1" spans="1:64">
      <c r="A39" s="2">
        <v>45995.3168172569</v>
      </c>
      <c r="B39" s="3" t="s">
        <v>199</v>
      </c>
      <c r="C39" s="4">
        <v>15</v>
      </c>
      <c r="D39" s="3" t="s">
        <v>200</v>
      </c>
      <c r="E39" s="3" t="s">
        <v>60</v>
      </c>
      <c r="F39" s="3" t="s">
        <v>201</v>
      </c>
      <c r="G39" s="3">
        <v>12345</v>
      </c>
      <c r="H39" s="3" t="s">
        <v>61</v>
      </c>
      <c r="I39" s="3" t="s">
        <v>62</v>
      </c>
      <c r="J39" s="3" t="s">
        <v>161</v>
      </c>
      <c r="K39" s="3" t="s">
        <v>64</v>
      </c>
      <c r="L39" s="3" t="s">
        <v>65</v>
      </c>
      <c r="M39" s="3" t="s">
        <v>66</v>
      </c>
      <c r="N39" s="3" t="s">
        <v>67</v>
      </c>
      <c r="O39" s="3" t="s">
        <v>68</v>
      </c>
      <c r="P39" s="3" t="s">
        <v>74</v>
      </c>
      <c r="Q39" s="3" t="s">
        <v>70</v>
      </c>
      <c r="R39" s="3" t="s">
        <v>71</v>
      </c>
      <c r="S39" s="3" t="s">
        <v>72</v>
      </c>
      <c r="T39" s="3" t="s">
        <v>92</v>
      </c>
      <c r="U39" s="3" t="s">
        <v>69</v>
      </c>
      <c r="V39" s="3" t="s">
        <v>185</v>
      </c>
      <c r="W39" s="3" t="s">
        <v>76</v>
      </c>
      <c r="X39" s="3" t="s">
        <v>77</v>
      </c>
      <c r="Y39" s="3" t="s">
        <v>78</v>
      </c>
      <c r="Z39" s="3" t="s">
        <v>79</v>
      </c>
      <c r="AA39" s="3" t="s">
        <v>80</v>
      </c>
      <c r="AB39" s="3">
        <v>5</v>
      </c>
      <c r="AC39" s="3">
        <v>18</v>
      </c>
      <c r="AD39" s="3">
        <v>26</v>
      </c>
      <c r="AE39" s="3">
        <v>1</v>
      </c>
      <c r="AF39" s="3">
        <v>3</v>
      </c>
      <c r="AG39" s="5">
        <f>IF(H39=H$50,1,0)</f>
        <v>1</v>
      </c>
      <c r="AH39" s="5">
        <f>IF(I39=I$50,1,0)</f>
        <v>1</v>
      </c>
      <c r="AI39" s="5">
        <f>IF(J39=J$50,1,0)</f>
        <v>0</v>
      </c>
      <c r="AJ39" s="5">
        <f>IF(K39=K$50,1,0)</f>
        <v>1</v>
      </c>
      <c r="AK39" s="5">
        <f>IF(L39=L$50,1,0)</f>
        <v>1</v>
      </c>
      <c r="AL39" s="5">
        <f>IF(M39=M$50,1,0)</f>
        <v>1</v>
      </c>
      <c r="AM39" s="5">
        <f>IF(N39=N$50,1,0)</f>
        <v>1</v>
      </c>
      <c r="AN39" s="5">
        <f>IF(O39=O$50,1,0)</f>
        <v>1</v>
      </c>
      <c r="AO39" s="5">
        <f>IF(P39=P$50,1,0)</f>
        <v>0</v>
      </c>
      <c r="AP39" s="5">
        <f>IF(Q39=Q$50,1,0)</f>
        <v>1</v>
      </c>
      <c r="AQ39" s="5">
        <f>IF(R39=R$50,1,0)</f>
        <v>1</v>
      </c>
      <c r="AR39" s="5">
        <f>IF(S39=S$50,1,0)</f>
        <v>1</v>
      </c>
      <c r="AS39" s="5">
        <f>IF(T39=T$50,1,0)</f>
        <v>0</v>
      </c>
      <c r="AT39" s="5">
        <f>IF(U39=U$50,1,0)</f>
        <v>0</v>
      </c>
      <c r="AU39" s="5">
        <f>IF(V39=V$50,1,0)</f>
        <v>0</v>
      </c>
      <c r="AV39" s="5">
        <f>IF(W39=W$50,1,0)</f>
        <v>1</v>
      </c>
      <c r="AW39" s="5">
        <f>IF(X39=X$50,1,0)</f>
        <v>1</v>
      </c>
      <c r="AX39" s="5">
        <f>IF(Y39=Y$50,1,0)</f>
        <v>1</v>
      </c>
      <c r="AY39" s="5">
        <f>IF(Z39=Z$50,1,0)</f>
        <v>1</v>
      </c>
      <c r="AZ39" s="5">
        <f>IF(AA39=AA$50,1,0)</f>
        <v>1</v>
      </c>
      <c r="BA39" s="5">
        <f>IF(AB39=AB$50,1,0)</f>
        <v>1</v>
      </c>
      <c r="BB39" s="5">
        <f>IF(AC39=AC$50,1,0)</f>
        <v>1</v>
      </c>
      <c r="BC39" s="5">
        <f>IF(AD39=AD$50,1,0)</f>
        <v>1</v>
      </c>
      <c r="BD39" s="5">
        <f>IF(AE39=AE$50,1,0)</f>
        <v>1</v>
      </c>
      <c r="BE39" s="5">
        <f>IF(AF39=AF$50,1,0)</f>
        <v>1</v>
      </c>
      <c r="BF39" s="5"/>
      <c r="BG39" s="5">
        <f>SUM(AG39:BF39)*4</f>
        <v>80</v>
      </c>
    </row>
    <row r="40" ht="22.5" customHeight="1" spans="1:64">
      <c r="A40" s="2">
        <v>45995.3139799421</v>
      </c>
      <c r="B40" s="3" t="s">
        <v>202</v>
      </c>
      <c r="C40" s="4">
        <v>20</v>
      </c>
      <c r="D40" s="3" t="s">
        <v>203</v>
      </c>
      <c r="E40" s="3" t="s">
        <v>60</v>
      </c>
      <c r="F40" s="3" t="s">
        <v>204</v>
      </c>
      <c r="G40" s="3">
        <v>12345</v>
      </c>
      <c r="H40" s="3" t="s">
        <v>61</v>
      </c>
      <c r="I40" s="3" t="s">
        <v>62</v>
      </c>
      <c r="J40" s="3" t="s">
        <v>63</v>
      </c>
      <c r="K40" s="3" t="s">
        <v>64</v>
      </c>
      <c r="L40" s="3" t="s">
        <v>65</v>
      </c>
      <c r="M40" s="3" t="s">
        <v>66</v>
      </c>
      <c r="N40" s="3" t="s">
        <v>67</v>
      </c>
      <c r="O40" s="3" t="s">
        <v>68</v>
      </c>
      <c r="P40" s="3" t="s">
        <v>69</v>
      </c>
      <c r="Q40" s="3" t="s">
        <v>70</v>
      </c>
      <c r="R40" s="3" t="s">
        <v>71</v>
      </c>
      <c r="S40" s="3" t="s">
        <v>72</v>
      </c>
      <c r="T40" s="3" t="s">
        <v>73</v>
      </c>
      <c r="U40" s="3" t="s">
        <v>74</v>
      </c>
      <c r="V40" s="3" t="s">
        <v>75</v>
      </c>
      <c r="W40" s="3" t="s">
        <v>76</v>
      </c>
      <c r="X40" s="3" t="s">
        <v>77</v>
      </c>
      <c r="Y40" s="3" t="s">
        <v>78</v>
      </c>
      <c r="Z40" s="3" t="s">
        <v>79</v>
      </c>
      <c r="AA40" s="3" t="s">
        <v>80</v>
      </c>
      <c r="AB40" s="3">
        <v>5</v>
      </c>
      <c r="AC40" s="3">
        <v>18</v>
      </c>
      <c r="AD40" s="3">
        <v>26</v>
      </c>
      <c r="AE40" s="3">
        <v>1</v>
      </c>
      <c r="AF40" s="3">
        <v>3</v>
      </c>
      <c r="AG40" s="5">
        <f>IF(H40=H$50,1,0)</f>
        <v>1</v>
      </c>
      <c r="AH40" s="5">
        <f>IF(I40=I$50,1,0)</f>
        <v>1</v>
      </c>
      <c r="AI40" s="5">
        <f>IF(J40=J$50,1,0)</f>
        <v>1</v>
      </c>
      <c r="AJ40" s="5">
        <f>IF(K40=K$50,1,0)</f>
        <v>1</v>
      </c>
      <c r="AK40" s="5">
        <f>IF(L40=L$50,1,0)</f>
        <v>1</v>
      </c>
      <c r="AL40" s="5">
        <f>IF(M40=M$50,1,0)</f>
        <v>1</v>
      </c>
      <c r="AM40" s="5">
        <f>IF(N40=N$50,1,0)</f>
        <v>1</v>
      </c>
      <c r="AN40" s="5">
        <f>IF(O40=O$50,1,0)</f>
        <v>1</v>
      </c>
      <c r="AO40" s="5">
        <f>IF(P40=P$50,1,0)</f>
        <v>1</v>
      </c>
      <c r="AP40" s="5">
        <f>IF(Q40=Q$50,1,0)</f>
        <v>1</v>
      </c>
      <c r="AQ40" s="5">
        <f>IF(R40=R$50,1,0)</f>
        <v>1</v>
      </c>
      <c r="AR40" s="5">
        <f>IF(S40=S$50,1,0)</f>
        <v>1</v>
      </c>
      <c r="AS40" s="5">
        <f>IF(T40=T$50,1,0)</f>
        <v>1</v>
      </c>
      <c r="AT40" s="5">
        <f>IF(U40=U$50,1,0)</f>
        <v>1</v>
      </c>
      <c r="AU40" s="5">
        <f>IF(V40=V$50,1,0)</f>
        <v>1</v>
      </c>
      <c r="AV40" s="5">
        <f>IF(W40=W$50,1,0)</f>
        <v>1</v>
      </c>
      <c r="AW40" s="5">
        <f>IF(X40=X$50,1,0)</f>
        <v>1</v>
      </c>
      <c r="AX40" s="5">
        <f>IF(Y40=Y$50,1,0)</f>
        <v>1</v>
      </c>
      <c r="AY40" s="5">
        <f>IF(Z40=Z$50,1,0)</f>
        <v>1</v>
      </c>
      <c r="AZ40" s="5">
        <f>IF(AA40=AA$50,1,0)</f>
        <v>1</v>
      </c>
      <c r="BA40" s="5">
        <f>IF(AB40=AB$50,1,0)</f>
        <v>1</v>
      </c>
      <c r="BB40" s="5">
        <f>IF(AC40=AC$50,1,0)</f>
        <v>1</v>
      </c>
      <c r="BC40" s="5">
        <f>IF(AD40=AD$50,1,0)</f>
        <v>1</v>
      </c>
      <c r="BD40" s="5">
        <f>IF(AE40=AE$50,1,0)</f>
        <v>1</v>
      </c>
      <c r="BE40" s="5">
        <f>IF(AF40=AF$50,1,0)</f>
        <v>1</v>
      </c>
      <c r="BF40" s="5"/>
      <c r="BG40" s="5">
        <f>SUM(AG40:BF40)*4</f>
        <v>100</v>
      </c>
    </row>
    <row r="41" ht="22.5" customHeight="1" spans="1:64">
      <c r="A41" s="2">
        <v>45995.3110773264</v>
      </c>
      <c r="B41" s="3" t="s">
        <v>205</v>
      </c>
      <c r="C41" s="4">
        <v>20</v>
      </c>
      <c r="D41" s="3" t="s">
        <v>206</v>
      </c>
      <c r="E41" s="3" t="s">
        <v>60</v>
      </c>
      <c r="F41" s="3" t="s">
        <v>207</v>
      </c>
      <c r="G41" s="3">
        <v>12345</v>
      </c>
      <c r="H41" s="3" t="s">
        <v>61</v>
      </c>
      <c r="I41" s="3" t="s">
        <v>62</v>
      </c>
      <c r="J41" s="3" t="s">
        <v>63</v>
      </c>
      <c r="K41" s="3" t="s">
        <v>64</v>
      </c>
      <c r="L41" s="3" t="s">
        <v>65</v>
      </c>
      <c r="M41" s="3" t="s">
        <v>66</v>
      </c>
      <c r="N41" s="3" t="s">
        <v>67</v>
      </c>
      <c r="O41" s="3" t="s">
        <v>68</v>
      </c>
      <c r="P41" s="3" t="s">
        <v>69</v>
      </c>
      <c r="Q41" s="3" t="s">
        <v>70</v>
      </c>
      <c r="R41" s="3" t="s">
        <v>71</v>
      </c>
      <c r="S41" s="3" t="s">
        <v>72</v>
      </c>
      <c r="T41" s="3" t="s">
        <v>73</v>
      </c>
      <c r="U41" s="3" t="s">
        <v>74</v>
      </c>
      <c r="V41" s="3" t="s">
        <v>75</v>
      </c>
      <c r="W41" s="3" t="s">
        <v>76</v>
      </c>
      <c r="X41" s="3" t="s">
        <v>77</v>
      </c>
      <c r="Y41" s="3" t="s">
        <v>78</v>
      </c>
      <c r="Z41" s="3" t="s">
        <v>79</v>
      </c>
      <c r="AA41" s="3" t="s">
        <v>80</v>
      </c>
      <c r="AB41" s="3">
        <v>5</v>
      </c>
      <c r="AC41" s="3">
        <v>18</v>
      </c>
      <c r="AD41" s="3">
        <v>26</v>
      </c>
      <c r="AE41" s="3">
        <v>1</v>
      </c>
      <c r="AF41" s="3">
        <v>3</v>
      </c>
      <c r="AG41" s="5">
        <f>IF(H41=H$50,1,0)</f>
        <v>1</v>
      </c>
      <c r="AH41" s="5">
        <f>IF(I41=I$50,1,0)</f>
        <v>1</v>
      </c>
      <c r="AI41" s="5">
        <f>IF(J41=J$50,1,0)</f>
        <v>1</v>
      </c>
      <c r="AJ41" s="5">
        <f>IF(K41=K$50,1,0)</f>
        <v>1</v>
      </c>
      <c r="AK41" s="5">
        <f>IF(L41=L$50,1,0)</f>
        <v>1</v>
      </c>
      <c r="AL41" s="5">
        <f>IF(M41=M$50,1,0)</f>
        <v>1</v>
      </c>
      <c r="AM41" s="5">
        <f>IF(N41=N$50,1,0)</f>
        <v>1</v>
      </c>
      <c r="AN41" s="5">
        <f>IF(O41=O$50,1,0)</f>
        <v>1</v>
      </c>
      <c r="AO41" s="5">
        <f>IF(P41=P$50,1,0)</f>
        <v>1</v>
      </c>
      <c r="AP41" s="5">
        <f>IF(Q41=Q$50,1,0)</f>
        <v>1</v>
      </c>
      <c r="AQ41" s="5">
        <f>IF(R41=R$50,1,0)</f>
        <v>1</v>
      </c>
      <c r="AR41" s="5">
        <f>IF(S41=S$50,1,0)</f>
        <v>1</v>
      </c>
      <c r="AS41" s="5">
        <f>IF(T41=T$50,1,0)</f>
        <v>1</v>
      </c>
      <c r="AT41" s="5">
        <f>IF(U41=U$50,1,0)</f>
        <v>1</v>
      </c>
      <c r="AU41" s="5">
        <f>IF(V41=V$50,1,0)</f>
        <v>1</v>
      </c>
      <c r="AV41" s="5">
        <f>IF(W41=W$50,1,0)</f>
        <v>1</v>
      </c>
      <c r="AW41" s="5">
        <f>IF(X41=X$50,1,0)</f>
        <v>1</v>
      </c>
      <c r="AX41" s="5">
        <f>IF(Y41=Y$50,1,0)</f>
        <v>1</v>
      </c>
      <c r="AY41" s="5">
        <f>IF(Z41=Z$50,1,0)</f>
        <v>1</v>
      </c>
      <c r="AZ41" s="5">
        <f>IF(AA41=AA$50,1,0)</f>
        <v>1</v>
      </c>
      <c r="BA41" s="5">
        <f>IF(AB41=AB$50,1,0)</f>
        <v>1</v>
      </c>
      <c r="BB41" s="5">
        <f>IF(AC41=AC$50,1,0)</f>
        <v>1</v>
      </c>
      <c r="BC41" s="5">
        <f>IF(AD41=AD$50,1,0)</f>
        <v>1</v>
      </c>
      <c r="BD41" s="5">
        <f>IF(AE41=AE$50,1,0)</f>
        <v>1</v>
      </c>
      <c r="BE41" s="5">
        <f>IF(AF41=AF$50,1,0)</f>
        <v>1</v>
      </c>
      <c r="BF41" s="5"/>
      <c r="BG41" s="5">
        <f>SUM(AG41:BF41)*4</f>
        <v>100</v>
      </c>
    </row>
    <row r="42" ht="22.5" customHeight="1" spans="1:64">
      <c r="A42" s="2">
        <v>45995.3116562847</v>
      </c>
      <c r="B42" s="3" t="s">
        <v>208</v>
      </c>
      <c r="C42" s="4">
        <v>20</v>
      </c>
      <c r="D42" s="3" t="s">
        <v>209</v>
      </c>
      <c r="E42" s="3" t="s">
        <v>60</v>
      </c>
      <c r="F42" s="3" t="s">
        <v>210</v>
      </c>
      <c r="G42" s="3">
        <v>12345</v>
      </c>
      <c r="H42" s="3" t="s">
        <v>61</v>
      </c>
      <c r="I42" s="3" t="s">
        <v>62</v>
      </c>
      <c r="J42" s="3" t="s">
        <v>63</v>
      </c>
      <c r="K42" s="3" t="s">
        <v>64</v>
      </c>
      <c r="L42" s="3" t="s">
        <v>65</v>
      </c>
      <c r="M42" s="3" t="s">
        <v>66</v>
      </c>
      <c r="N42" s="3" t="s">
        <v>67</v>
      </c>
      <c r="O42" s="3" t="s">
        <v>68</v>
      </c>
      <c r="P42" s="3" t="s">
        <v>69</v>
      </c>
      <c r="Q42" s="3" t="s">
        <v>70</v>
      </c>
      <c r="R42" s="3" t="s">
        <v>71</v>
      </c>
      <c r="S42" s="3" t="s">
        <v>72</v>
      </c>
      <c r="T42" s="3" t="s">
        <v>73</v>
      </c>
      <c r="U42" s="3" t="s">
        <v>74</v>
      </c>
      <c r="V42" s="3" t="s">
        <v>75</v>
      </c>
      <c r="W42" s="3" t="s">
        <v>76</v>
      </c>
      <c r="X42" s="3" t="s">
        <v>77</v>
      </c>
      <c r="Y42" s="3" t="s">
        <v>78</v>
      </c>
      <c r="Z42" s="3" t="s">
        <v>79</v>
      </c>
      <c r="AA42" s="3" t="s">
        <v>80</v>
      </c>
      <c r="AB42" s="3">
        <v>5</v>
      </c>
      <c r="AC42" s="3">
        <v>18</v>
      </c>
      <c r="AD42" s="3">
        <v>26</v>
      </c>
      <c r="AE42" s="3">
        <v>1</v>
      </c>
      <c r="AF42" s="3">
        <v>3</v>
      </c>
      <c r="AG42" s="5">
        <f>IF(H42=H$50,1,0)</f>
        <v>1</v>
      </c>
      <c r="AH42" s="5">
        <f>IF(I42=I$50,1,0)</f>
        <v>1</v>
      </c>
      <c r="AI42" s="5">
        <f>IF(J42=J$50,1,0)</f>
        <v>1</v>
      </c>
      <c r="AJ42" s="5">
        <f>IF(K42=K$50,1,0)</f>
        <v>1</v>
      </c>
      <c r="AK42" s="5">
        <f>IF(L42=L$50,1,0)</f>
        <v>1</v>
      </c>
      <c r="AL42" s="5">
        <f>IF(M42=M$50,1,0)</f>
        <v>1</v>
      </c>
      <c r="AM42" s="5">
        <f>IF(N42=N$50,1,0)</f>
        <v>1</v>
      </c>
      <c r="AN42" s="5">
        <f>IF(O42=O$50,1,0)</f>
        <v>1</v>
      </c>
      <c r="AO42" s="5">
        <f>IF(P42=P$50,1,0)</f>
        <v>1</v>
      </c>
      <c r="AP42" s="5">
        <f>IF(Q42=Q$50,1,0)</f>
        <v>1</v>
      </c>
      <c r="AQ42" s="5">
        <f>IF(R42=R$50,1,0)</f>
        <v>1</v>
      </c>
      <c r="AR42" s="5">
        <f>IF(S42=S$50,1,0)</f>
        <v>1</v>
      </c>
      <c r="AS42" s="5">
        <f>IF(T42=T$50,1,0)</f>
        <v>1</v>
      </c>
      <c r="AT42" s="5">
        <f>IF(U42=U$50,1,0)</f>
        <v>1</v>
      </c>
      <c r="AU42" s="5">
        <f>IF(V42=V$50,1,0)</f>
        <v>1</v>
      </c>
      <c r="AV42" s="5">
        <f>IF(W42=W$50,1,0)</f>
        <v>1</v>
      </c>
      <c r="AW42" s="5">
        <f>IF(X42=X$50,1,0)</f>
        <v>1</v>
      </c>
      <c r="AX42" s="5">
        <f>IF(Y42=Y$50,1,0)</f>
        <v>1</v>
      </c>
      <c r="AY42" s="5">
        <f>IF(Z42=Z$50,1,0)</f>
        <v>1</v>
      </c>
      <c r="AZ42" s="5">
        <f>IF(AA42=AA$50,1,0)</f>
        <v>1</v>
      </c>
      <c r="BA42" s="5">
        <f>IF(AB42=AB$50,1,0)</f>
        <v>1</v>
      </c>
      <c r="BB42" s="5">
        <f>IF(AC42=AC$50,1,0)</f>
        <v>1</v>
      </c>
      <c r="BC42" s="5">
        <f>IF(AD42=AD$50,1,0)</f>
        <v>1</v>
      </c>
      <c r="BD42" s="5">
        <f>IF(AE42=AE$50,1,0)</f>
        <v>1</v>
      </c>
      <c r="BE42" s="5">
        <f>IF(AF42=AF$50,1,0)</f>
        <v>1</v>
      </c>
      <c r="BF42" s="5"/>
      <c r="BG42" s="5">
        <f>SUM(AG42:BF42)*4</f>
        <v>100</v>
      </c>
    </row>
    <row r="43" ht="22.5" customHeight="1" spans="1:64">
      <c r="A43" s="2">
        <v>45995.3165894907</v>
      </c>
      <c r="B43" s="3" t="s">
        <v>211</v>
      </c>
      <c r="C43" s="4">
        <v>20</v>
      </c>
      <c r="D43" s="3" t="s">
        <v>212</v>
      </c>
      <c r="E43" s="3" t="s">
        <v>60</v>
      </c>
      <c r="F43" s="3" t="s">
        <v>211</v>
      </c>
      <c r="G43" s="3">
        <v>12345</v>
      </c>
      <c r="H43" s="3" t="s">
        <v>61</v>
      </c>
      <c r="I43" s="3" t="s">
        <v>62</v>
      </c>
      <c r="J43" s="3" t="s">
        <v>63</v>
      </c>
      <c r="K43" s="3" t="s">
        <v>64</v>
      </c>
      <c r="L43" s="3" t="s">
        <v>65</v>
      </c>
      <c r="M43" s="3" t="s">
        <v>66</v>
      </c>
      <c r="N43" s="3" t="s">
        <v>67</v>
      </c>
      <c r="O43" s="3" t="s">
        <v>68</v>
      </c>
      <c r="P43" s="3" t="s">
        <v>69</v>
      </c>
      <c r="Q43" s="3" t="s">
        <v>70</v>
      </c>
      <c r="R43" s="3" t="s">
        <v>71</v>
      </c>
      <c r="S43" s="3" t="s">
        <v>72</v>
      </c>
      <c r="T43" s="3" t="s">
        <v>73</v>
      </c>
      <c r="U43" s="3" t="s">
        <v>74</v>
      </c>
      <c r="V43" s="3" t="s">
        <v>75</v>
      </c>
      <c r="W43" s="3" t="s">
        <v>76</v>
      </c>
      <c r="X43" s="3" t="s">
        <v>77</v>
      </c>
      <c r="Y43" s="3" t="s">
        <v>78</v>
      </c>
      <c r="Z43" s="3" t="s">
        <v>79</v>
      </c>
      <c r="AA43" s="3" t="s">
        <v>80</v>
      </c>
      <c r="AB43" s="3">
        <v>5</v>
      </c>
      <c r="AC43" s="3">
        <v>18</v>
      </c>
      <c r="AD43" s="3">
        <v>26</v>
      </c>
      <c r="AE43" s="3">
        <v>1</v>
      </c>
      <c r="AF43" s="3">
        <v>3</v>
      </c>
      <c r="AG43" s="5">
        <f>IF(H43=H$50,1,0)</f>
        <v>1</v>
      </c>
      <c r="AH43" s="5">
        <f>IF(I43=I$50,1,0)</f>
        <v>1</v>
      </c>
      <c r="AI43" s="5">
        <f>IF(J43=J$50,1,0)</f>
        <v>1</v>
      </c>
      <c r="AJ43" s="5">
        <f>IF(K43=K$50,1,0)</f>
        <v>1</v>
      </c>
      <c r="AK43" s="5">
        <f>IF(L43=L$50,1,0)</f>
        <v>1</v>
      </c>
      <c r="AL43" s="5">
        <f>IF(M43=M$50,1,0)</f>
        <v>1</v>
      </c>
      <c r="AM43" s="5">
        <f>IF(N43=N$50,1,0)</f>
        <v>1</v>
      </c>
      <c r="AN43" s="5">
        <f>IF(O43=O$50,1,0)</f>
        <v>1</v>
      </c>
      <c r="AO43" s="5">
        <f>IF(P43=P$50,1,0)</f>
        <v>1</v>
      </c>
      <c r="AP43" s="5">
        <f>IF(Q43=Q$50,1,0)</f>
        <v>1</v>
      </c>
      <c r="AQ43" s="5">
        <f>IF(R43=R$50,1,0)</f>
        <v>1</v>
      </c>
      <c r="AR43" s="5">
        <f>IF(S43=S$50,1,0)</f>
        <v>1</v>
      </c>
      <c r="AS43" s="5">
        <f>IF(T43=T$50,1,0)</f>
        <v>1</v>
      </c>
      <c r="AT43" s="5">
        <f>IF(U43=U$50,1,0)</f>
        <v>1</v>
      </c>
      <c r="AU43" s="5">
        <f>IF(V43=V$50,1,0)</f>
        <v>1</v>
      </c>
      <c r="AV43" s="5">
        <f>IF(W43=W$50,1,0)</f>
        <v>1</v>
      </c>
      <c r="AW43" s="5">
        <f>IF(X43=X$50,1,0)</f>
        <v>1</v>
      </c>
      <c r="AX43" s="5">
        <f>IF(Y43=Y$50,1,0)</f>
        <v>1</v>
      </c>
      <c r="AY43" s="5">
        <f>IF(Z43=Z$50,1,0)</f>
        <v>1</v>
      </c>
      <c r="AZ43" s="5">
        <f>IF(AA43=AA$50,1,0)</f>
        <v>1</v>
      </c>
      <c r="BA43" s="5">
        <f>IF(AB43=AB$50,1,0)</f>
        <v>1</v>
      </c>
      <c r="BB43" s="5">
        <f>IF(AC43=AC$50,1,0)</f>
        <v>1</v>
      </c>
      <c r="BC43" s="5">
        <f>IF(AD43=AD$50,1,0)</f>
        <v>1</v>
      </c>
      <c r="BD43" s="5">
        <f>IF(AE43=AE$50,1,0)</f>
        <v>1</v>
      </c>
      <c r="BE43" s="5">
        <f>IF(AF43=AF$50,1,0)</f>
        <v>1</v>
      </c>
      <c r="BF43" s="5"/>
      <c r="BG43" s="5">
        <f>SUM(AG43:BF43)*4</f>
        <v>100</v>
      </c>
    </row>
    <row r="44" ht="22.5" customHeight="1" spans="1:64">
      <c r="A44" s="2">
        <v>45995.3114996991</v>
      </c>
      <c r="B44" s="3" t="s">
        <v>213</v>
      </c>
      <c r="C44" s="4">
        <v>20</v>
      </c>
      <c r="D44" s="3" t="s">
        <v>214</v>
      </c>
      <c r="E44" s="3" t="s">
        <v>60</v>
      </c>
      <c r="F44" s="3" t="s">
        <v>215</v>
      </c>
      <c r="G44" s="3">
        <v>12345</v>
      </c>
      <c r="H44" s="3" t="s">
        <v>61</v>
      </c>
      <c r="I44" s="3" t="s">
        <v>62</v>
      </c>
      <c r="J44" s="3" t="s">
        <v>63</v>
      </c>
      <c r="K44" s="3" t="s">
        <v>64</v>
      </c>
      <c r="L44" s="3" t="s">
        <v>65</v>
      </c>
      <c r="M44" s="3" t="s">
        <v>66</v>
      </c>
      <c r="N44" s="3" t="s">
        <v>67</v>
      </c>
      <c r="O44" s="3" t="s">
        <v>68</v>
      </c>
      <c r="P44" s="3" t="s">
        <v>69</v>
      </c>
      <c r="Q44" s="3" t="s">
        <v>70</v>
      </c>
      <c r="R44" s="3" t="s">
        <v>71</v>
      </c>
      <c r="S44" s="3" t="s">
        <v>72</v>
      </c>
      <c r="T44" s="3" t="s">
        <v>73</v>
      </c>
      <c r="U44" s="3" t="s">
        <v>74</v>
      </c>
      <c r="V44" s="3" t="s">
        <v>75</v>
      </c>
      <c r="W44" s="3" t="s">
        <v>76</v>
      </c>
      <c r="X44" s="3" t="s">
        <v>77</v>
      </c>
      <c r="Y44" s="3" t="s">
        <v>78</v>
      </c>
      <c r="Z44" s="3" t="s">
        <v>79</v>
      </c>
      <c r="AA44" s="3" t="s">
        <v>80</v>
      </c>
      <c r="AB44" s="3">
        <v>5</v>
      </c>
      <c r="AC44" s="3">
        <v>18</v>
      </c>
      <c r="AD44" s="3">
        <v>26</v>
      </c>
      <c r="AE44" s="3">
        <v>1</v>
      </c>
      <c r="AF44" s="3">
        <v>3</v>
      </c>
      <c r="AG44" s="5">
        <f>IF(H44=H$50,1,0)</f>
        <v>1</v>
      </c>
      <c r="AH44" s="5">
        <f>IF(I44=I$50,1,0)</f>
        <v>1</v>
      </c>
      <c r="AI44" s="5">
        <f>IF(J44=J$50,1,0)</f>
        <v>1</v>
      </c>
      <c r="AJ44" s="5">
        <f>IF(K44=K$50,1,0)</f>
        <v>1</v>
      </c>
      <c r="AK44" s="5">
        <f>IF(L44=L$50,1,0)</f>
        <v>1</v>
      </c>
      <c r="AL44" s="5">
        <f>IF(M44=M$50,1,0)</f>
        <v>1</v>
      </c>
      <c r="AM44" s="5">
        <f>IF(N44=N$50,1,0)</f>
        <v>1</v>
      </c>
      <c r="AN44" s="5">
        <f>IF(O44=O$50,1,0)</f>
        <v>1</v>
      </c>
      <c r="AO44" s="5">
        <f>IF(P44=P$50,1,0)</f>
        <v>1</v>
      </c>
      <c r="AP44" s="5">
        <f>IF(Q44=Q$50,1,0)</f>
        <v>1</v>
      </c>
      <c r="AQ44" s="5">
        <f>IF(R44=R$50,1,0)</f>
        <v>1</v>
      </c>
      <c r="AR44" s="5">
        <f>IF(S44=S$50,1,0)</f>
        <v>1</v>
      </c>
      <c r="AS44" s="5">
        <f>IF(T44=T$50,1,0)</f>
        <v>1</v>
      </c>
      <c r="AT44" s="5">
        <f>IF(U44=U$50,1,0)</f>
        <v>1</v>
      </c>
      <c r="AU44" s="5">
        <f>IF(V44=V$50,1,0)</f>
        <v>1</v>
      </c>
      <c r="AV44" s="5">
        <f>IF(W44=W$50,1,0)</f>
        <v>1</v>
      </c>
      <c r="AW44" s="5">
        <f>IF(X44=X$50,1,0)</f>
        <v>1</v>
      </c>
      <c r="AX44" s="5">
        <f>IF(Y44=Y$50,1,0)</f>
        <v>1</v>
      </c>
      <c r="AY44" s="5">
        <f>IF(Z44=Z$50,1,0)</f>
        <v>1</v>
      </c>
      <c r="AZ44" s="5">
        <f>IF(AA44=AA$50,1,0)</f>
        <v>1</v>
      </c>
      <c r="BA44" s="5">
        <f>IF(AB44=AB$50,1,0)</f>
        <v>1</v>
      </c>
      <c r="BB44" s="5">
        <f>IF(AC44=AC$50,1,0)</f>
        <v>1</v>
      </c>
      <c r="BC44" s="5">
        <f>IF(AD44=AD$50,1,0)</f>
        <v>1</v>
      </c>
      <c r="BD44" s="5">
        <f>IF(AE44=AE$50,1,0)</f>
        <v>1</v>
      </c>
      <c r="BE44" s="5">
        <f>IF(AF44=AF$50,1,0)</f>
        <v>1</v>
      </c>
      <c r="BF44" s="5"/>
      <c r="BG44" s="5">
        <f>SUM(AG44:BF44)*4</f>
        <v>100</v>
      </c>
    </row>
    <row r="45" ht="22.5" customHeight="1" spans="1:64">
      <c r="A45" s="2">
        <v>45995.3246691667</v>
      </c>
      <c r="B45" s="3" t="s">
        <v>216</v>
      </c>
      <c r="C45" s="4">
        <v>13</v>
      </c>
      <c r="D45" s="3" t="s">
        <v>217</v>
      </c>
      <c r="E45" s="3" t="s">
        <v>60</v>
      </c>
      <c r="F45" s="3" t="s">
        <v>216</v>
      </c>
      <c r="G45" s="3">
        <v>12345</v>
      </c>
      <c r="H45" s="3" t="s">
        <v>61</v>
      </c>
      <c r="I45" s="3" t="s">
        <v>83</v>
      </c>
      <c r="J45" s="3" t="s">
        <v>63</v>
      </c>
      <c r="K45" s="3" t="s">
        <v>64</v>
      </c>
      <c r="L45" s="3" t="s">
        <v>65</v>
      </c>
      <c r="M45" s="3" t="s">
        <v>66</v>
      </c>
      <c r="N45" s="3" t="s">
        <v>218</v>
      </c>
      <c r="O45" s="3" t="s">
        <v>162</v>
      </c>
      <c r="P45" s="3" t="s">
        <v>69</v>
      </c>
      <c r="Q45" s="3" t="s">
        <v>104</v>
      </c>
      <c r="R45" s="3" t="s">
        <v>71</v>
      </c>
      <c r="S45" s="3" t="s">
        <v>179</v>
      </c>
      <c r="T45" s="3" t="s">
        <v>73</v>
      </c>
      <c r="U45" s="3" t="s">
        <v>89</v>
      </c>
      <c r="V45" s="3" t="s">
        <v>75</v>
      </c>
      <c r="W45" s="3" t="s">
        <v>76</v>
      </c>
      <c r="X45" s="3" t="s">
        <v>77</v>
      </c>
      <c r="Y45" s="3" t="s">
        <v>219</v>
      </c>
      <c r="Z45" s="3" t="s">
        <v>79</v>
      </c>
      <c r="AA45" s="3" t="s">
        <v>80</v>
      </c>
      <c r="AB45" s="3">
        <v>5</v>
      </c>
      <c r="AC45" s="3">
        <v>18</v>
      </c>
      <c r="AD45" s="3">
        <v>26</v>
      </c>
      <c r="AE45" s="3">
        <v>1</v>
      </c>
      <c r="AF45" s="3">
        <v>3</v>
      </c>
      <c r="AG45" s="5">
        <f>IF(H45=H$50,1,0)</f>
        <v>1</v>
      </c>
      <c r="AH45" s="5">
        <f>IF(I45=I$50,1,0)</f>
        <v>0</v>
      </c>
      <c r="AI45" s="5">
        <f>IF(J45=J$50,1,0)</f>
        <v>1</v>
      </c>
      <c r="AJ45" s="5">
        <f>IF(K45=K$50,1,0)</f>
        <v>1</v>
      </c>
      <c r="AK45" s="5">
        <f>IF(L45=L$50,1,0)</f>
        <v>1</v>
      </c>
      <c r="AL45" s="5">
        <f>IF(M45=M$50,1,0)</f>
        <v>1</v>
      </c>
      <c r="AM45" s="5">
        <f>IF(N45=N$50,1,0)</f>
        <v>0</v>
      </c>
      <c r="AN45" s="5">
        <f>IF(O45=O$50,1,0)</f>
        <v>0</v>
      </c>
      <c r="AO45" s="5">
        <f>IF(P45=P$50,1,0)</f>
        <v>1</v>
      </c>
      <c r="AP45" s="5">
        <f>IF(Q45=Q$50,1,0)</f>
        <v>0</v>
      </c>
      <c r="AQ45" s="5">
        <f>IF(R45=R$50,1,0)</f>
        <v>1</v>
      </c>
      <c r="AR45" s="5">
        <f>IF(S45=S$50,1,0)</f>
        <v>0</v>
      </c>
      <c r="AS45" s="5">
        <f>IF(T45=T$50,1,0)</f>
        <v>1</v>
      </c>
      <c r="AT45" s="5">
        <f>IF(U45=U$50,1,0)</f>
        <v>0</v>
      </c>
      <c r="AU45" s="5">
        <f>IF(V45=V$50,1,0)</f>
        <v>1</v>
      </c>
      <c r="AV45" s="5">
        <f>IF(W45=W$50,1,0)</f>
        <v>1</v>
      </c>
      <c r="AW45" s="5">
        <f>IF(X45=X$50,1,0)</f>
        <v>1</v>
      </c>
      <c r="AX45" s="5">
        <f>IF(Y45=Y$50,1,0)</f>
        <v>0</v>
      </c>
      <c r="AY45" s="5">
        <f>IF(Z45=Z$50,1,0)</f>
        <v>1</v>
      </c>
      <c r="AZ45" s="5">
        <f>IF(AA45=AA$50,1,0)</f>
        <v>1</v>
      </c>
      <c r="BA45" s="5">
        <f>IF(AB45=AB$50,1,0)</f>
        <v>1</v>
      </c>
      <c r="BB45" s="5">
        <f>IF(AC45=AC$50,1,0)</f>
        <v>1</v>
      </c>
      <c r="BC45" s="5">
        <f>IF(AD45=AD$50,1,0)</f>
        <v>1</v>
      </c>
      <c r="BD45" s="5">
        <f>IF(AE45=AE$50,1,0)</f>
        <v>1</v>
      </c>
      <c r="BE45" s="5">
        <f>IF(AF45=AF$50,1,0)</f>
        <v>1</v>
      </c>
      <c r="BF45" s="5"/>
      <c r="BG45" s="5">
        <f>SUM(AG45:BF45)*4</f>
        <v>72</v>
      </c>
    </row>
    <row r="46" ht="22.5" customHeight="1" spans="1:64">
      <c r="A46" s="2">
        <v>45995.3127987153</v>
      </c>
      <c r="B46" s="3" t="s">
        <v>220</v>
      </c>
      <c r="C46" s="4">
        <v>18</v>
      </c>
      <c r="D46" s="3" t="s">
        <v>221</v>
      </c>
      <c r="E46" s="3" t="s">
        <v>60</v>
      </c>
      <c r="F46" s="3" t="s">
        <v>220</v>
      </c>
      <c r="G46" s="3">
        <v>12345</v>
      </c>
      <c r="H46" s="3" t="s">
        <v>61</v>
      </c>
      <c r="I46" s="3" t="s">
        <v>62</v>
      </c>
      <c r="J46" s="3" t="s">
        <v>63</v>
      </c>
      <c r="K46" s="3" t="s">
        <v>64</v>
      </c>
      <c r="L46" s="3" t="s">
        <v>65</v>
      </c>
      <c r="M46" s="3" t="s">
        <v>66</v>
      </c>
      <c r="N46" s="3" t="s">
        <v>67</v>
      </c>
      <c r="O46" s="3" t="s">
        <v>86</v>
      </c>
      <c r="P46" s="3" t="s">
        <v>69</v>
      </c>
      <c r="Q46" s="3" t="s">
        <v>70</v>
      </c>
      <c r="R46" s="3" t="s">
        <v>71</v>
      </c>
      <c r="S46" s="3" t="s">
        <v>72</v>
      </c>
      <c r="T46" s="3" t="s">
        <v>73</v>
      </c>
      <c r="U46" s="3" t="s">
        <v>74</v>
      </c>
      <c r="V46" s="3" t="s">
        <v>75</v>
      </c>
      <c r="W46" s="3" t="s">
        <v>76</v>
      </c>
      <c r="X46" s="3" t="s">
        <v>77</v>
      </c>
      <c r="Y46" s="3" t="s">
        <v>78</v>
      </c>
      <c r="Z46" s="3" t="s">
        <v>222</v>
      </c>
      <c r="AA46" s="3" t="s">
        <v>80</v>
      </c>
      <c r="AB46" s="3" t="s">
        <v>223</v>
      </c>
      <c r="AC46" s="3">
        <v>5</v>
      </c>
      <c r="AD46" s="3">
        <v>26</v>
      </c>
      <c r="AE46" s="3">
        <v>1</v>
      </c>
      <c r="AF46" s="3">
        <v>3</v>
      </c>
      <c r="AG46" s="5">
        <f>IF(H46=H$50,1,0)</f>
        <v>1</v>
      </c>
      <c r="AH46" s="5">
        <f>IF(I46=I$50,1,0)</f>
        <v>1</v>
      </c>
      <c r="AI46" s="5">
        <f>IF(J46=J$50,1,0)</f>
        <v>1</v>
      </c>
      <c r="AJ46" s="5">
        <f>IF(K46=K$50,1,0)</f>
        <v>1</v>
      </c>
      <c r="AK46" s="5">
        <f>IF(L46=L$50,1,0)</f>
        <v>1</v>
      </c>
      <c r="AL46" s="5">
        <f>IF(M46=M$50,1,0)</f>
        <v>1</v>
      </c>
      <c r="AM46" s="5">
        <f>IF(N46=N$50,1,0)</f>
        <v>1</v>
      </c>
      <c r="AN46" s="5">
        <f>IF(O46=O$50,1,0)</f>
        <v>0</v>
      </c>
      <c r="AO46" s="5">
        <f>IF(P46=P$50,1,0)</f>
        <v>1</v>
      </c>
      <c r="AP46" s="5">
        <f>IF(Q46=Q$50,1,0)</f>
        <v>1</v>
      </c>
      <c r="AQ46" s="5">
        <f>IF(R46=R$50,1,0)</f>
        <v>1</v>
      </c>
      <c r="AR46" s="5">
        <f>IF(S46=S$50,1,0)</f>
        <v>1</v>
      </c>
      <c r="AS46" s="5">
        <f>IF(T46=T$50,1,0)</f>
        <v>1</v>
      </c>
      <c r="AT46" s="5">
        <f>IF(U46=U$50,1,0)</f>
        <v>1</v>
      </c>
      <c r="AU46" s="5">
        <f>IF(V46=V$50,1,0)</f>
        <v>1</v>
      </c>
      <c r="AV46" s="5">
        <f>IF(W46=W$50,1,0)</f>
        <v>1</v>
      </c>
      <c r="AW46" s="5">
        <f>IF(X46=X$50,1,0)</f>
        <v>1</v>
      </c>
      <c r="AX46" s="5">
        <f>IF(Y46=Y$50,1,0)</f>
        <v>1</v>
      </c>
      <c r="AY46" s="5">
        <f>IF(Z46=Z$50,1,0)</f>
        <v>0</v>
      </c>
      <c r="AZ46" s="5">
        <f>IF(AA46=AA$50,1,0)</f>
        <v>1</v>
      </c>
      <c r="BA46" s="5">
        <f>IF(AB46=AB$50,1,0)</f>
        <v>0</v>
      </c>
      <c r="BB46" s="5">
        <f>IF(AC46=AC$50,1,0)</f>
        <v>0</v>
      </c>
      <c r="BC46" s="5">
        <f>IF(AD46=AD$50,1,0)</f>
        <v>1</v>
      </c>
      <c r="BD46" s="5">
        <f>IF(AE46=AE$50,1,0)</f>
        <v>1</v>
      </c>
      <c r="BE46" s="5">
        <f>IF(AF46=AF$50,1,0)</f>
        <v>1</v>
      </c>
      <c r="BF46" s="5"/>
      <c r="BG46" s="5">
        <f>SUM(AG46:BF46)*4</f>
        <v>84</v>
      </c>
    </row>
    <row r="47" ht="22.5" customHeight="1" spans="1:64">
      <c r="A47" s="2">
        <v>45995.3105226968</v>
      </c>
      <c r="B47" s="3" t="s">
        <v>224</v>
      </c>
      <c r="C47" s="4">
        <v>19</v>
      </c>
      <c r="D47" s="3" t="s">
        <v>225</v>
      </c>
      <c r="E47" s="3" t="s">
        <v>60</v>
      </c>
      <c r="F47" s="3" t="s">
        <v>224</v>
      </c>
      <c r="G47" s="3">
        <v>12345</v>
      </c>
      <c r="H47" s="3" t="s">
        <v>61</v>
      </c>
      <c r="I47" s="3" t="s">
        <v>62</v>
      </c>
      <c r="J47" s="3" t="s">
        <v>63</v>
      </c>
      <c r="K47" s="3" t="s">
        <v>64</v>
      </c>
      <c r="L47" s="3" t="s">
        <v>65</v>
      </c>
      <c r="M47" s="3" t="s">
        <v>66</v>
      </c>
      <c r="N47" s="3" t="s">
        <v>67</v>
      </c>
      <c r="O47" s="3" t="s">
        <v>68</v>
      </c>
      <c r="P47" s="3" t="s">
        <v>69</v>
      </c>
      <c r="Q47" s="3" t="s">
        <v>70</v>
      </c>
      <c r="R47" s="3" t="s">
        <v>71</v>
      </c>
      <c r="S47" s="3" t="s">
        <v>72</v>
      </c>
      <c r="T47" s="3" t="s">
        <v>73</v>
      </c>
      <c r="U47" s="3" t="s">
        <v>74</v>
      </c>
      <c r="V47" s="3" t="s">
        <v>75</v>
      </c>
      <c r="W47" s="3" t="s">
        <v>76</v>
      </c>
      <c r="X47" s="3" t="s">
        <v>77</v>
      </c>
      <c r="Y47" s="3" t="s">
        <v>107</v>
      </c>
      <c r="Z47" s="3" t="s">
        <v>79</v>
      </c>
      <c r="AA47" s="3" t="s">
        <v>80</v>
      </c>
      <c r="AB47" s="3">
        <v>5</v>
      </c>
      <c r="AC47" s="3">
        <v>18</v>
      </c>
      <c r="AD47" s="3">
        <v>26</v>
      </c>
      <c r="AE47" s="3">
        <v>1</v>
      </c>
      <c r="AF47" s="3">
        <v>3</v>
      </c>
      <c r="AG47" s="5">
        <f>IF(H47=H$50,1,0)</f>
        <v>1</v>
      </c>
      <c r="AH47" s="5">
        <f>IF(I47=I$50,1,0)</f>
        <v>1</v>
      </c>
      <c r="AI47" s="5">
        <f>IF(J47=J$50,1,0)</f>
        <v>1</v>
      </c>
      <c r="AJ47" s="5">
        <f>IF(K47=K$50,1,0)</f>
        <v>1</v>
      </c>
      <c r="AK47" s="5">
        <f>IF(L47=L$50,1,0)</f>
        <v>1</v>
      </c>
      <c r="AL47" s="5">
        <f>IF(M47=M$50,1,0)</f>
        <v>1</v>
      </c>
      <c r="AM47" s="5">
        <f>IF(N47=N$50,1,0)</f>
        <v>1</v>
      </c>
      <c r="AN47" s="5">
        <f>IF(O47=O$50,1,0)</f>
        <v>1</v>
      </c>
      <c r="AO47" s="5">
        <f>IF(P47=P$50,1,0)</f>
        <v>1</v>
      </c>
      <c r="AP47" s="5">
        <f>IF(Q47=Q$50,1,0)</f>
        <v>1</v>
      </c>
      <c r="AQ47" s="5">
        <f>IF(R47=R$50,1,0)</f>
        <v>1</v>
      </c>
      <c r="AR47" s="5">
        <f>IF(S47=S$50,1,0)</f>
        <v>1</v>
      </c>
      <c r="AS47" s="5">
        <f>IF(T47=T$50,1,0)</f>
        <v>1</v>
      </c>
      <c r="AT47" s="5">
        <f>IF(U47=U$50,1,0)</f>
        <v>1</v>
      </c>
      <c r="AU47" s="5">
        <f>IF(V47=V$50,1,0)</f>
        <v>1</v>
      </c>
      <c r="AV47" s="5">
        <f>IF(W47=W$50,1,0)</f>
        <v>1</v>
      </c>
      <c r="AW47" s="5">
        <f>IF(X47=X$50,1,0)</f>
        <v>1</v>
      </c>
      <c r="AX47" s="5">
        <f>IF(Y47=Y$50,1,0)</f>
        <v>0</v>
      </c>
      <c r="AY47" s="5">
        <f>IF(Z47=Z$50,1,0)</f>
        <v>1</v>
      </c>
      <c r="AZ47" s="5">
        <f>IF(AA47=AA$50,1,0)</f>
        <v>1</v>
      </c>
      <c r="BA47" s="5">
        <f>IF(AB47=AB$50,1,0)</f>
        <v>1</v>
      </c>
      <c r="BB47" s="5">
        <f>IF(AC47=AC$50,1,0)</f>
        <v>1</v>
      </c>
      <c r="BC47" s="5">
        <f>IF(AD47=AD$50,1,0)</f>
        <v>1</v>
      </c>
      <c r="BD47" s="5">
        <f>IF(AE47=AE$50,1,0)</f>
        <v>1</v>
      </c>
      <c r="BE47" s="5">
        <f>IF(AF47=AF$50,1,0)</f>
        <v>1</v>
      </c>
      <c r="BF47" s="5"/>
      <c r="BG47" s="5">
        <f>SUM(AG47:BF47)*4</f>
        <v>96</v>
      </c>
      <c r="BL47">
        <v>86</v>
      </c>
    </row>
    <row r="48" ht="22.5" customHeight="1" spans="1:64">
      <c r="A48" s="2">
        <v>45995.3011651968</v>
      </c>
      <c r="B48" s="3" t="s">
        <v>226</v>
      </c>
      <c r="C48" s="4">
        <v>17</v>
      </c>
      <c r="D48" s="3" t="s">
        <v>227</v>
      </c>
      <c r="E48" s="3" t="s">
        <v>60</v>
      </c>
      <c r="F48" s="3" t="s">
        <v>228</v>
      </c>
      <c r="G48" s="3">
        <v>12345</v>
      </c>
      <c r="H48" s="3" t="s">
        <v>84</v>
      </c>
      <c r="I48" s="3" t="s">
        <v>62</v>
      </c>
      <c r="J48" s="3" t="s">
        <v>84</v>
      </c>
      <c r="K48" s="3" t="s">
        <v>64</v>
      </c>
      <c r="L48" s="3" t="s">
        <v>65</v>
      </c>
      <c r="M48" s="3" t="s">
        <v>66</v>
      </c>
      <c r="N48" s="3" t="s">
        <v>67</v>
      </c>
      <c r="O48" s="3" t="s">
        <v>68</v>
      </c>
      <c r="P48" s="3" t="s">
        <v>69</v>
      </c>
      <c r="Q48" s="3" t="s">
        <v>229</v>
      </c>
      <c r="R48" s="3" t="s">
        <v>71</v>
      </c>
      <c r="S48" s="3" t="s">
        <v>72</v>
      </c>
      <c r="T48" s="3" t="s">
        <v>73</v>
      </c>
      <c r="U48" s="3" t="s">
        <v>74</v>
      </c>
      <c r="V48" s="3" t="s">
        <v>75</v>
      </c>
      <c r="W48" s="3" t="s">
        <v>76</v>
      </c>
      <c r="X48" s="3" t="s">
        <v>77</v>
      </c>
      <c r="Y48" s="3" t="s">
        <v>78</v>
      </c>
      <c r="Z48" s="3" t="s">
        <v>79</v>
      </c>
      <c r="AA48" s="3" t="s">
        <v>80</v>
      </c>
      <c r="AB48" s="3">
        <v>5</v>
      </c>
      <c r="AC48" s="3">
        <v>18</v>
      </c>
      <c r="AD48" s="3">
        <v>26</v>
      </c>
      <c r="AE48" s="3">
        <v>1</v>
      </c>
      <c r="AF48" s="3">
        <v>3</v>
      </c>
      <c r="AG48" s="5">
        <f>IF(H48=H$50,1,0)</f>
        <v>0</v>
      </c>
      <c r="AH48" s="5">
        <f>IF(I48=I$50,1,0)</f>
        <v>1</v>
      </c>
      <c r="AI48" s="5">
        <f>IF(J48=J$50,1,0)</f>
        <v>0</v>
      </c>
      <c r="AJ48" s="5">
        <f>IF(K48=K$50,1,0)</f>
        <v>1</v>
      </c>
      <c r="AK48" s="5">
        <f>IF(L48=L$50,1,0)</f>
        <v>1</v>
      </c>
      <c r="AL48" s="5">
        <f>IF(M48=M$50,1,0)</f>
        <v>1</v>
      </c>
      <c r="AM48" s="5">
        <f>IF(N48=N$50,1,0)</f>
        <v>1</v>
      </c>
      <c r="AN48" s="5">
        <f>IF(O48=O$50,1,0)</f>
        <v>1</v>
      </c>
      <c r="AO48" s="5">
        <f>IF(P48=P$50,1,0)</f>
        <v>1</v>
      </c>
      <c r="AP48" s="5">
        <f>IF(Q48=Q$50,1,0)</f>
        <v>0</v>
      </c>
      <c r="AQ48" s="5">
        <f>IF(R48=R$50,1,0)</f>
        <v>1</v>
      </c>
      <c r="AR48" s="5">
        <f>IF(S48=S$50,1,0)</f>
        <v>1</v>
      </c>
      <c r="AS48" s="5">
        <f>IF(T48=T$50,1,0)</f>
        <v>1</v>
      </c>
      <c r="AT48" s="5">
        <f>IF(U48=U$50,1,0)</f>
        <v>1</v>
      </c>
      <c r="AU48" s="5">
        <f>IF(V48=V$50,1,0)</f>
        <v>1</v>
      </c>
      <c r="AV48" s="5">
        <f>IF(W48=W$50,1,0)</f>
        <v>1</v>
      </c>
      <c r="AW48" s="5">
        <f>IF(X48=X$50,1,0)</f>
        <v>1</v>
      </c>
      <c r="AX48" s="5">
        <f>IF(Y48=Y$50,1,0)</f>
        <v>1</v>
      </c>
      <c r="AY48" s="5">
        <f>IF(Z48=Z$50,1,0)</f>
        <v>1</v>
      </c>
      <c r="AZ48" s="5">
        <f>IF(AA48=AA$50,1,0)</f>
        <v>1</v>
      </c>
      <c r="BA48" s="5">
        <f>IF(AB48=AB$50,1,0)</f>
        <v>1</v>
      </c>
      <c r="BB48" s="5">
        <f>IF(AC48=AC$50,1,0)</f>
        <v>1</v>
      </c>
      <c r="BC48" s="5">
        <f>IF(AD48=AD$50,1,0)</f>
        <v>1</v>
      </c>
      <c r="BD48" s="5">
        <f>IF(AE48=AE$50,1,0)</f>
        <v>1</v>
      </c>
      <c r="BE48" s="5">
        <f>IF(AF48=AF$50,1,0)</f>
        <v>1</v>
      </c>
      <c r="BF48" s="5"/>
      <c r="BG48" s="5">
        <f>SUM(AG48:BF48)*4</f>
        <v>88</v>
      </c>
      <c r="BL48">
        <v>84.8</v>
      </c>
    </row>
    <row r="49" ht="22.5" customHeight="1" spans="1:64">
      <c r="A49" s="2">
        <v>45995.3137207176</v>
      </c>
      <c r="B49" s="3" t="s">
        <v>230</v>
      </c>
      <c r="C49" s="4">
        <v>16</v>
      </c>
      <c r="D49" s="3" t="s">
        <v>231</v>
      </c>
      <c r="E49" s="3" t="s">
        <v>60</v>
      </c>
      <c r="F49" s="3" t="s">
        <v>232</v>
      </c>
      <c r="G49" s="3">
        <v>12345</v>
      </c>
      <c r="H49" s="3" t="s">
        <v>63</v>
      </c>
      <c r="I49" s="3" t="s">
        <v>62</v>
      </c>
      <c r="J49" s="3" t="s">
        <v>63</v>
      </c>
      <c r="K49" s="3" t="s">
        <v>64</v>
      </c>
      <c r="L49" s="3" t="s">
        <v>65</v>
      </c>
      <c r="M49" s="3" t="s">
        <v>66</v>
      </c>
      <c r="N49" s="3" t="s">
        <v>67</v>
      </c>
      <c r="O49" s="3" t="s">
        <v>68</v>
      </c>
      <c r="P49" s="3" t="s">
        <v>69</v>
      </c>
      <c r="Q49" s="3" t="s">
        <v>70</v>
      </c>
      <c r="R49" s="3" t="s">
        <v>71</v>
      </c>
      <c r="S49" s="3" t="s">
        <v>72</v>
      </c>
      <c r="T49" s="3" t="s">
        <v>73</v>
      </c>
      <c r="U49" s="3" t="s">
        <v>74</v>
      </c>
      <c r="V49" s="3" t="s">
        <v>136</v>
      </c>
      <c r="W49" s="3" t="s">
        <v>94</v>
      </c>
      <c r="X49" s="3" t="s">
        <v>233</v>
      </c>
      <c r="Y49" s="3" t="s">
        <v>78</v>
      </c>
      <c r="Z49" s="3" t="s">
        <v>79</v>
      </c>
      <c r="AA49" s="3" t="s">
        <v>80</v>
      </c>
      <c r="AB49" s="3">
        <v>5</v>
      </c>
      <c r="AC49" s="3">
        <v>28</v>
      </c>
      <c r="AD49" s="3">
        <v>26</v>
      </c>
      <c r="AE49" s="3">
        <v>1</v>
      </c>
      <c r="AF49" s="3">
        <v>14</v>
      </c>
      <c r="AG49" s="5">
        <f>IF(H49=H$50,1,0)</f>
        <v>0</v>
      </c>
      <c r="AH49" s="5">
        <f>IF(I49=I$50,1,0)</f>
        <v>1</v>
      </c>
      <c r="AI49" s="5">
        <f>IF(J49=J$50,1,0)</f>
        <v>1</v>
      </c>
      <c r="AJ49" s="5">
        <f>IF(K49=K$50,1,0)</f>
        <v>1</v>
      </c>
      <c r="AK49" s="5">
        <f>IF(L49=L$50,1,0)</f>
        <v>1</v>
      </c>
      <c r="AL49" s="5">
        <f>IF(M49=M$50,1,0)</f>
        <v>1</v>
      </c>
      <c r="AM49" s="5">
        <f>IF(N49=N$50,1,0)</f>
        <v>1</v>
      </c>
      <c r="AN49" s="5">
        <f>IF(O49=O$50,1,0)</f>
        <v>1</v>
      </c>
      <c r="AO49" s="5">
        <f>IF(P49=P$50,1,0)</f>
        <v>1</v>
      </c>
      <c r="AP49" s="5">
        <f>IF(Q49=Q$50,1,0)</f>
        <v>1</v>
      </c>
      <c r="AQ49" s="5">
        <f>IF(R49=R$50,1,0)</f>
        <v>1</v>
      </c>
      <c r="AR49" s="5">
        <f>IF(S49=S$50,1,0)</f>
        <v>1</v>
      </c>
      <c r="AS49" s="5">
        <f>IF(T49=T$50,1,0)</f>
        <v>1</v>
      </c>
      <c r="AT49" s="5">
        <f>IF(U49=U$50,1,0)</f>
        <v>1</v>
      </c>
      <c r="AU49" s="5">
        <f>IF(V49=V$50,1,0)</f>
        <v>0</v>
      </c>
      <c r="AV49" s="5">
        <f>IF(W49=W$50,1,0)</f>
        <v>0</v>
      </c>
      <c r="AW49" s="5">
        <f>IF(X49=X$50,1,0)</f>
        <v>0</v>
      </c>
      <c r="AX49" s="5">
        <f>IF(Y49=Y$50,1,0)</f>
        <v>1</v>
      </c>
      <c r="AY49" s="5">
        <f>IF(Z49=Z$50,1,0)</f>
        <v>1</v>
      </c>
      <c r="AZ49" s="5">
        <f>IF(AA49=AA$50,1,0)</f>
        <v>1</v>
      </c>
      <c r="BA49" s="5">
        <f>IF(AB49=AB$50,1,0)</f>
        <v>1</v>
      </c>
      <c r="BB49" s="5">
        <f>IF(AC49=AC$50,1,0)</f>
        <v>0</v>
      </c>
      <c r="BC49" s="5">
        <f>IF(AD49=AD$50,1,0)</f>
        <v>1</v>
      </c>
      <c r="BD49" s="5">
        <f>IF(AE49=AE$50,1,0)</f>
        <v>1</v>
      </c>
      <c r="BE49" s="5">
        <f>IF(AF49=AF$50,1,0)</f>
        <v>0</v>
      </c>
      <c r="BF49" s="5"/>
      <c r="BG49" s="5">
        <f>SUM(AG49:BF49)*4</f>
        <v>76</v>
      </c>
      <c r="BL49">
        <v>82.5</v>
      </c>
    </row>
    <row r="50" customHeight="1" spans="1:64">
      <c r="H50" s="6" t="s">
        <v>61</v>
      </c>
      <c r="I50" s="6" t="s">
        <v>62</v>
      </c>
      <c r="J50" s="6" t="s">
        <v>63</v>
      </c>
      <c r="K50" s="6" t="s">
        <v>64</v>
      </c>
      <c r="L50" s="6" t="s">
        <v>65</v>
      </c>
      <c r="M50" s="6" t="s">
        <v>66</v>
      </c>
      <c r="N50" s="6" t="s">
        <v>67</v>
      </c>
      <c r="O50" s="6" t="s">
        <v>68</v>
      </c>
      <c r="P50" s="6" t="s">
        <v>69</v>
      </c>
      <c r="Q50" s="6" t="s">
        <v>70</v>
      </c>
      <c r="R50" s="6" t="s">
        <v>71</v>
      </c>
      <c r="S50" s="6" t="s">
        <v>72</v>
      </c>
      <c r="T50" s="7" t="s">
        <v>73</v>
      </c>
      <c r="U50" s="7" t="s">
        <v>74</v>
      </c>
      <c r="V50" s="7" t="s">
        <v>75</v>
      </c>
      <c r="W50" s="7" t="s">
        <v>76</v>
      </c>
      <c r="X50" s="7" t="s">
        <v>77</v>
      </c>
      <c r="Y50" s="7" t="s">
        <v>78</v>
      </c>
      <c r="Z50" s="7" t="s">
        <v>79</v>
      </c>
      <c r="AA50" s="7" t="s">
        <v>80</v>
      </c>
      <c r="AB50" s="6">
        <v>5</v>
      </c>
      <c r="AC50" s="6">
        <v>18</v>
      </c>
      <c r="AD50" s="6">
        <v>26</v>
      </c>
      <c r="AE50" s="6">
        <v>1</v>
      </c>
      <c r="AF50" s="6">
        <v>3</v>
      </c>
      <c r="AG50" s="5"/>
      <c r="BG50" s="5"/>
      <c r="BL50">
        <f>AVERAGE(BL47:BL49)</f>
        <v>84.4333333333333</v>
      </c>
    </row>
    <row r="51" customHeight="1" spans="1:6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9">
        <f>IF(H51=H$50,1,0)</f>
        <v>0</v>
      </c>
      <c r="BG51" s="5">
        <f>AVERAGE(BG2:BG49)</f>
        <v>86</v>
      </c>
    </row>
    <row r="53" customHeight="1" spans="1:64">
      <c r="BG53">
        <f>MAX(BG2:BG49)</f>
        <v>100</v>
      </c>
    </row>
    <row r="54" customHeight="1" spans="1:64">
      <c r="BG54">
        <f>MIN(BG2:BG49)</f>
        <v>8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daniarsyah</cp:lastModifiedBy>
  <dcterms:created xsi:type="dcterms:W3CDTF">2025-12-04T16:44:00Z</dcterms:created>
  <dcterms:modified xsi:type="dcterms:W3CDTF">2025-12-16T10:46:26Z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7787559D53979B4C2CF630694B6CC7C9_43</vt:lpwstr>
  </property>
  <property fmtid="{D5CDD505-2E9C-101B-9397-08002B2CF9AE}" pid="3" name="KSOProductBuildVer">
    <vt:lpwstr>1033-12.1.2.23578</vt:lpwstr>
  </property>
</Properties>
</file>